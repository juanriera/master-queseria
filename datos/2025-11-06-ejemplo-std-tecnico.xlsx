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959" documentId="8_{5F9E455A-213A-447C-A11C-7E9616724FEA}" xr6:coauthVersionLast="47" xr6:coauthVersionMax="47" xr10:uidLastSave="{1D9DDED1-E90C-4CC9-8D4B-8C486BDEE985}"/>
  <bookViews>
    <workbookView xWindow="-120" yWindow="-120" windowWidth="29040" windowHeight="16440" tabRatio="675" xr2:uid="{6977E7F1-D64B-47FE-B2A7-D4E9B0399E18}"/>
  </bookViews>
  <sheets>
    <sheet name="Estándar técnico" sheetId="2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0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0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0" hidden="1">{#N/A,#N/A,FALSE,"RIEP"}</definedName>
    <definedName name="aaaaa" hidden="1">{#N/A,#N/A,FALSE,"RIEP"}</definedName>
    <definedName name="aaaaaaaaaaaaaaaa" localSheetId="0" hidden="1">{#N/A,#N/A,FALSE,"RIEP"}</definedName>
    <definedName name="aaaaaaaaaaaaaaaa" hidden="1">{#N/A,#N/A,FALSE,"RIEP"}</definedName>
    <definedName name="AASAS" localSheetId="0" hidden="1">{"QQQ",#N/A,FALSE,"RIEP"}</definedName>
    <definedName name="AASAS" hidden="1">{"QQQ",#N/A,FALSE,"RIEP"}</definedName>
    <definedName name="ADV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0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0" hidden="1">{"SPM1",#N/A,FALSE,"RIEP"}</definedName>
    <definedName name="ardqer" hidden="1">{"SPM1",#N/A,FALSE,"RIEP"}</definedName>
    <definedName name="ASD" localSheetId="0" hidden="1">{"QQQ",#N/A,FALSE,"RIEP"}</definedName>
    <definedName name="ASD" hidden="1">{"QQQ",#N/A,FALSE,"RIEP"}</definedName>
    <definedName name="ASDF" localSheetId="0" hidden="1">{#N/A,#N/A,FALSE,"RIEP"}</definedName>
    <definedName name="ASDF" hidden="1">{#N/A,#N/A,FALSE,"RIEP"}</definedName>
    <definedName name="asdfas" localSheetId="0" hidden="1">{#N/A,#N/A,FALSE,"RIEP"}</definedName>
    <definedName name="asdfas" hidden="1">{#N/A,#N/A,FALSE,"RIEP"}</definedName>
    <definedName name="aùsw" localSheetId="0" hidden="1">{"SPM1",#N/A,FALSE,"RIEP"}</definedName>
    <definedName name="aùsw" hidden="1">{"SPM1",#N/A,FALSE,"RIEP"}</definedName>
    <definedName name="bbbbb" localSheetId="0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0" hidden="1">{"SPM1",#N/A,FALSE,"RIEP"}</definedName>
    <definedName name="byikbyuj" hidden="1">{"SPM1",#N/A,FALSE,"RIEP"}</definedName>
    <definedName name="byubtyuj" localSheetId="0" hidden="1">{"QQQ",#N/A,FALSE,"RIEP"}</definedName>
    <definedName name="byubtyuj" hidden="1">{"QQQ",#N/A,FALSE,"RIEP"}</definedName>
    <definedName name="byukkty" localSheetId="0" hidden="1">{#N/A,#N/A,FALSE,"RIEP"}</definedName>
    <definedName name="byukkty" hidden="1">{#N/A,#N/A,FALSE,"RIEP"}</definedName>
    <definedName name="byuku" localSheetId="0" hidden="1">{#N/A,#N/A,FALSE,"RIEP"}</definedName>
    <definedName name="byuku" hidden="1">{#N/A,#N/A,FALSE,"RIEP"}</definedName>
    <definedName name="č" localSheetId="0" hidden="1">{"'domaće količine'!$K$34:$P$47"}</definedName>
    <definedName name="č" hidden="1">{"'domaće količine'!$K$34:$P$47"}</definedName>
    <definedName name="cc" localSheetId="0" hidden="1">{#N/A,#N/A,FALSE,"RIEP"}</definedName>
    <definedName name="cc" hidden="1">{#N/A,#N/A,FALSE,"RIEP"}</definedName>
    <definedName name="ccc" localSheetId="0" hidden="1">{"SPM1",#N/A,FALSE,"RIEP"}</definedName>
    <definedName name="ccc" hidden="1">{"SPM1",#N/A,FALSE,"RIEP"}</definedName>
    <definedName name="cccc" localSheetId="0" hidden="1">{"SPM1",#N/A,FALSE,"RIEP"}</definedName>
    <definedName name="cccc" hidden="1">{"SPM1",#N/A,FALSE,"RIEP"}</definedName>
    <definedName name="CCSFDFRDF" localSheetId="0" hidden="1">{"SPM1",#N/A,FALSE,"RIEP"}</definedName>
    <definedName name="CCSFDFRDF" hidden="1">{"SPM1",#N/A,FALSE,"RIEP"}</definedName>
    <definedName name="cdf" localSheetId="0" hidden="1">{"SPM1",#N/A,FALSE,"RIEP"}</definedName>
    <definedName name="cdf" hidden="1">{"SPM1",#N/A,FALSE,"RIEP"}</definedName>
    <definedName name="CDVF" localSheetId="0" hidden="1">{"SPM1",#N/A,FALSE,"RIEP"}</definedName>
    <definedName name="CDVF" hidden="1">{"SPM1",#N/A,FALSE,"RIEP"}</definedName>
    <definedName name="copie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0" hidden="1">{#N/A,#N/A,FALSE,"RIEP"}</definedName>
    <definedName name="D" hidden="1">{#N/A,#N/A,FALSE,"RIEP"}</definedName>
    <definedName name="DAFreofè0eirfh" localSheetId="0" hidden="1">{"SPM1",#N/A,FALSE,"RIEP"}</definedName>
    <definedName name="DAFreofè0eirfh" hidden="1">{"SPM1",#N/A,FALSE,"RIEP"}</definedName>
    <definedName name="dd">#REF!</definedName>
    <definedName name="DDD" localSheetId="0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0" hidden="1">{"SPM1",#N/A,FALSE,"RIEP"}</definedName>
    <definedName name="DDDDD" hidden="1">{"SPM1",#N/A,FALSE,"RIEP"}</definedName>
    <definedName name="ddddddd" localSheetId="0" hidden="1">{#N/A,#N/A,FALSE,"RIEP"}</definedName>
    <definedName name="ddddddd" hidden="1">{#N/A,#N/A,FALSE,"RIEP"}</definedName>
    <definedName name="d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0" hidden="1">{"SPM1",#N/A,FALSE,"RIEP"}</definedName>
    <definedName name="dfa" hidden="1">{"SPM1",#N/A,FALSE,"RIEP"}</definedName>
    <definedName name="DFda" localSheetId="0" hidden="1">{#N/A,#N/A,FALSE,"RIEP"}</definedName>
    <definedName name="DFda" hidden="1">{#N/A,#N/A,FALSE,"RIEP"}</definedName>
    <definedName name="DFRSFG" localSheetId="0" hidden="1">{"SPM1",#N/A,FALSE,"RIEP"}</definedName>
    <definedName name="DFRSFG" hidden="1">{"SPM1",#N/A,FALSE,"RIEP"}</definedName>
    <definedName name="djdjdj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0" hidden="1">{"'domaće količine'!$K$34:$P$47"}</definedName>
    <definedName name="DRAGAN" hidden="1">{"'domaće količine'!$K$34:$P$47"}</definedName>
    <definedName name="draganć" localSheetId="0" hidden="1">{"'domaće količine'!$K$34:$P$47"}</definedName>
    <definedName name="draganć" hidden="1">{"'domaće količine'!$K$34:$P$47"}</definedName>
    <definedName name="DSFSDGFG" localSheetId="0" hidden="1">{"SPM1",#N/A,FALSE,"RIEP"}</definedName>
    <definedName name="DSFSDGFG" hidden="1">{"SPM1",#N/A,FALSE,"RIEP"}</definedName>
    <definedName name="dthrrr" localSheetId="0" hidden="1">{"SPM1",#N/A,FALSE,"RIEP"}</definedName>
    <definedName name="dthrrr" hidden="1">{"SPM1",#N/A,FALSE,"RIEP"}</definedName>
    <definedName name="ECA" localSheetId="0" hidden="1">{#N/A,#N/A,FALSE,"ANALYSE";#N/A,#N/A,FALSE,"PM VALEUR"}</definedName>
    <definedName name="ECA" hidden="1">{#N/A,#N/A,FALSE,"ANALYSE";#N/A,#N/A,FALSE,"PM VALEUR"}</definedName>
    <definedName name="ECARTBM" localSheetId="0" hidden="1">{"DETAIL",#N/A,FALSE,"REELBUDGET";"TOTAL",#N/A,FALSE,"REELBUDGET"}</definedName>
    <definedName name="ECARTBM" hidden="1">{"DETAIL",#N/A,FALSE,"REELBUDGET";"TOTAL",#N/A,FALSE,"REELBUDGET"}</definedName>
    <definedName name="eeee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0" hidden="1">{"QQQ",#N/A,FALSE,"RIEP"}</definedName>
    <definedName name="ere" hidden="1">{"QQQ",#N/A,FALSE,"RIEP"}</definedName>
    <definedName name="erte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0" hidden="1">{"'domaće količine'!$K$34:$P$47"}</definedName>
    <definedName name="EXCEL" hidden="1">{"'domaće količine'!$K$34:$P$47"}</definedName>
    <definedName name="ez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0" hidden="1">{#N/A,#N/A,FALSE,"RIEP"}</definedName>
    <definedName name="FDDSFDSGF" hidden="1">{#N/A,#N/A,FALSE,"RIEP"}</definedName>
    <definedName name="fdsdsgfsggd" localSheetId="0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0" hidden="1">{"QQQ",#N/A,FALSE,"RIEP"}</definedName>
    <definedName name="ffffffffff" hidden="1">{"QQQ",#N/A,FALSE,"RIEP"}</definedName>
    <definedName name="fg" localSheetId="0" hidden="1">{#N/A,#N/A,FALSE,"RIEP"}</definedName>
    <definedName name="fg" hidden="1">{#N/A,#N/A,FALSE,"RIEP"}</definedName>
    <definedName name="fgffg" localSheetId="0" hidden="1">{#N/A,#N/A,FALSE,"RIEP"}</definedName>
    <definedName name="fgffg" hidden="1">{#N/A,#N/A,FALSE,"RIEP"}</definedName>
    <definedName name="FSDG" localSheetId="0" hidden="1">{#N/A,#N/A,FALSE,"RIEP"}</definedName>
    <definedName name="FSDG" hidden="1">{#N/A,#N/A,FALSE,"RIEP"}</definedName>
    <definedName name="ftereare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0" hidden="1">{#N/A,#N/A,FALSE,"RIEP"}</definedName>
    <definedName name="gfhkkmh" hidden="1">{#N/A,#N/A,FALSE,"RIEP"}</definedName>
    <definedName name="GG" hidden="1">[7]ACTIVITE!#REF!</definedName>
    <definedName name="GGGG" localSheetId="0" hidden="1">{"SPM1",#N/A,FALSE,"RIEP"}</definedName>
    <definedName name="GGGG" hidden="1">{"SPM1",#N/A,FALSE,"RIEP"}</definedName>
    <definedName name="ggg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0" hidden="1">{"QQQ",#N/A,FALSE,"RIEP"}</definedName>
    <definedName name="ggggggggggg" hidden="1">{"QQQ",#N/A,FALSE,"RIEP"}</definedName>
    <definedName name="GHJ" localSheetId="0" hidden="1">{"SPM1",#N/A,FALSE,"RIEP"}</definedName>
    <definedName name="GHJ" hidden="1">{"SPM1",#N/A,FALSE,"RIEP"}</definedName>
    <definedName name="gsdgs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0" hidden="1">{"SPM1",#N/A,FALSE,"RIEP"}</definedName>
    <definedName name="hbhajx" hidden="1">{"SPM1",#N/A,FALSE,"RIEP"}</definedName>
    <definedName name="hfderfPOURE" localSheetId="0" hidden="1">{#N/A,#N/A,FALSE,"RIEP"}</definedName>
    <definedName name="hfderfPOURE" hidden="1">{#N/A,#N/A,FALSE,"RIEP"}</definedName>
    <definedName name="hfhf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0" hidden="1">{"QQQ",#N/A,FALSE,"RIEP"}</definedName>
    <definedName name="hg" hidden="1">{"QQQ",#N/A,FALSE,"RIEP"}</definedName>
    <definedName name="hhfxhxf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0" hidden="1">{"QQQ",#N/A,FALSE,"RIEP"}</definedName>
    <definedName name="hhhh" hidden="1">{"QQQ",#N/A,FALSE,"RIEP"}</definedName>
    <definedName name="hhhhhhh" localSheetId="0" hidden="1">{"SPM1",#N/A,FALSE,"RIEP"}</definedName>
    <definedName name="hhhhhhh" hidden="1">{"SPM1",#N/A,FALSE,"RIEP"}</definedName>
    <definedName name="HTML_CodePage" hidden="1">1250</definedName>
    <definedName name="HTML_Control" localSheetId="0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0" hidden="1">{"'domaće količine'!$K$34:$P$47"}</definedName>
    <definedName name="IZVQ01" hidden="1">{"'domaće količine'!$K$34:$P$47"}</definedName>
    <definedName name="j" localSheetId="0" hidden="1">{"SPM1",#N/A,FALSE,"RIEP"}</definedName>
    <definedName name="j" hidden="1">{"SPM1",#N/A,FALSE,"RIEP"}</definedName>
    <definedName name="jcjfjfjjf" localSheetId="0" hidden="1">{#N/A,#N/A,FALSE,"RIEP"}</definedName>
    <definedName name="jcjfjfjjf" hidden="1">{#N/A,#N/A,FALSE,"RIEP"}</definedName>
    <definedName name="j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0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0" hidden="1">{"QQQ",#N/A,FALSE,"RIEP"}</definedName>
    <definedName name="jjfhfh" hidden="1">{"QQQ",#N/A,FALSE,"RIEP"}</definedName>
    <definedName name="jjj" localSheetId="0" hidden="1">{"SPM1",#N/A,FALSE,"RIEP"}</definedName>
    <definedName name="jjj" hidden="1">{"SPM1",#N/A,FALSE,"RIEP"}</definedName>
    <definedName name="jjjjj" localSheetId="0" hidden="1">{"SPM1",#N/A,FALSE,"RIEP"}</definedName>
    <definedName name="jjjjj" hidden="1">{"SPM1",#N/A,FALSE,"RIEP"}</definedName>
    <definedName name="kfkfkf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0" hidden="1">{#N/A,#N/A,FALSE,"RIEP"}</definedName>
    <definedName name="kfkfkfkfkkf" hidden="1">{#N/A,#N/A,FALSE,"RIEP"}</definedName>
    <definedName name="khkhkh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0" hidden="1">{#N/A,#N/A,FALSE,"RIEP"}</definedName>
    <definedName name="kjfsoyiupo6rhtgz" hidden="1">{#N/A,#N/A,FALSE,"RIEP"}</definedName>
    <definedName name="kjhjhkjh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0" hidden="1">{#N/A,#N/A,FALSE,"RIEP"}</definedName>
    <definedName name="kk" hidden="1">{#N/A,#N/A,FALSE,"RIEP"}</definedName>
    <definedName name="k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0" hidden="1">{"QQQ",#N/A,FALSE,"RIEP"}</definedName>
    <definedName name="LLL" hidden="1">{"QQQ",#N/A,FALSE,"RIEP"}</definedName>
    <definedName name="m" localSheetId="0" hidden="1">{"'domaće količine'!$K$34:$P$47"}</definedName>
    <definedName name="m" hidden="1">{"'domaće količine'!$K$34:$P$47"}</definedName>
    <definedName name="MARTESANA">#REF!</definedName>
    <definedName name="minnii" localSheetId="0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0" hidden="1">{"SPM1",#N/A,FALSE,"RIEP"}</definedName>
    <definedName name="ño" hidden="1">{"SPM1",#N/A,FALSE,"RIEP"}</definedName>
    <definedName name="ODRŽ." localSheetId="0" hidden="1">{"'domaće količine'!$K$34:$P$47"}</definedName>
    <definedName name="ODRŽ." hidden="1">{"'domaće količine'!$K$34:$P$47"}</definedName>
    <definedName name="òflfgfppfpf" localSheetId="0" hidden="1">{"SPM1",#N/A,FALSE,"RIEP"}</definedName>
    <definedName name="òflfgfppfpf" hidden="1">{"SPM1",#N/A,FALSE,"RIEP"}</definedName>
    <definedName name="OIOIIUIUG" localSheetId="0" hidden="1">{"SPM1",#N/A,FALSE,"RIEP"}</definedName>
    <definedName name="OIOIIUIUG" hidden="1">{"SPM1",#N/A,FALSE,"RIEP"}</definedName>
    <definedName name="ooo" localSheetId="0" hidden="1">{"QQQ",#N/A,FALSE,"RIEP"}</definedName>
    <definedName name="ooo" hidden="1">{"QQQ",#N/A,FALSE,"RIEP"}</definedName>
    <definedName name="oooooo" localSheetId="0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0" hidden="1">{#N/A,#N/A,FALSE,"RIEP"}</definedName>
    <definedName name="pippo" hidden="1">{#N/A,#N/A,FALSE,"RIEP"}</definedName>
    <definedName name="pluto" localSheetId="0" hidden="1">{"SPM1",#N/A,FALSE,"RIEP"}</definedName>
    <definedName name="pluto" hidden="1">{"SPM1",#N/A,FALSE,"RIEP"}</definedName>
    <definedName name="PO" localSheetId="0" hidden="1">{"QQQ",#N/A,FALSE,"RIEP"}</definedName>
    <definedName name="PO" hidden="1">{"QQQ",#N/A,FALSE,"RIEP"}</definedName>
    <definedName name="poùH" localSheetId="0" hidden="1">{#N/A,#N/A,FALSE,"RIEP"}</definedName>
    <definedName name="poùH" hidden="1">{#N/A,#N/A,FALSE,"RIEP"}</definedName>
    <definedName name="ppp" localSheetId="0" hidden="1">{"QQQ",#N/A,FALSE,"RIEP"}</definedName>
    <definedName name="ppp" hidden="1">{"QQQ",#N/A,FALSE,"RIEP"}</definedName>
    <definedName name="PROD." localSheetId="0" hidden="1">{"'domaće količine'!$K$34:$P$47"}</definedName>
    <definedName name="PROD." hidden="1">{"'domaće količine'!$K$34:$P$47"}</definedName>
    <definedName name="prw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0" hidden="1">{#N/A,#N/A,FALSE,"RIEP"}</definedName>
    <definedName name="QQQQQQQQQQQQ" hidden="1">{#N/A,#N/A,FALSE,"RIEP"}</definedName>
    <definedName name="qw" localSheetId="0" hidden="1">{#N/A,#N/A,FALSE,"RIEP"}</definedName>
    <definedName name="qw" hidden="1">{#N/A,#N/A,FALSE,"RIEP"}</definedName>
    <definedName name="ret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0" hidden="1">{"SPM1",#N/A,FALSE,"RIEP"}</definedName>
    <definedName name="sd" hidden="1">{"SPM1",#N/A,FALSE,"RIEP"}</definedName>
    <definedName name="SDFDSJF" localSheetId="0" hidden="1">{#N/A,#N/A,FALSE,"RIEP"}</definedName>
    <definedName name="SDFDSJF" hidden="1">{#N/A,#N/A,FALSE,"RIEP"}</definedName>
    <definedName name="sdsd" localSheetId="0" hidden="1">{"SPM1",#N/A,FALSE,"RIEP"}</definedName>
    <definedName name="sdsd" hidden="1">{"SPM1",#N/A,FALSE,"RIEP"}</definedName>
    <definedName name="SEDSDS" localSheetId="0" hidden="1">{#N/A,#N/A,FALSE,"RIEP"}</definedName>
    <definedName name="SEDSDS" hidden="1">{#N/A,#N/A,FALSE,"RIEP"}</definedName>
    <definedName name="sencount" hidden="1">1</definedName>
    <definedName name="SSSADADSF" localSheetId="0" hidden="1">{"SPM1",#N/A,FALSE,"RIEP"}</definedName>
    <definedName name="SSSADADSF" hidden="1">{"SPM1",#N/A,FALSE,"RIEP"}</definedName>
    <definedName name="ssss" hidden="1">#REF!</definedName>
    <definedName name="sssssss" localSheetId="0" hidden="1">{#N/A,#N/A,FALSE,"RIEP"}</definedName>
    <definedName name="sssssss" hidden="1">{#N/A,#N/A,FALSE,"RIEP"}</definedName>
    <definedName name="ssssssssssssssssssssssssss" localSheetId="0" hidden="1">{"QQQ",#N/A,FALSE,"RIEP"}</definedName>
    <definedName name="ssssssssssssssssssssssssss" hidden="1">{"QQQ",#N/A,FALSE,"RIEP"}</definedName>
    <definedName name="stsrhs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0" hidden="1">{#N/A,#N/A,FALSE,"RIEP"}</definedName>
    <definedName name="Sweden" hidden="1">{#N/A,#N/A,FALSE,"RIEP"}</definedName>
    <definedName name="t" localSheetId="0" hidden="1">{"QQQ",#N/A,FALSE,"RIEP"}</definedName>
    <definedName name="t" hidden="1">{"QQQ",#N/A,FALSE,"RIEP"}</definedName>
    <definedName name="T04CC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0" hidden="1">{#N/A,#N/A,FALSE,"RIEP"}</definedName>
    <definedName name="t79oto97t" hidden="1">{#N/A,#N/A,FALSE,"RIEP"}</definedName>
    <definedName name="t7u74u" localSheetId="0" hidden="1">{"QQQ",#N/A,FALSE,"RIEP"}</definedName>
    <definedName name="t7u74u" hidden="1">{"QQQ",#N/A,FALSE,"RIEP"}</definedName>
    <definedName name="t7u75" localSheetId="0" hidden="1">{"SPM1",#N/A,FALSE,"RIEP"}</definedName>
    <definedName name="t7u75" hidden="1">{"SPM1",#N/A,FALSE,"RIEP"}</definedName>
    <definedName name="t7ur7u" localSheetId="0" hidden="1">{#N/A,#N/A,FALSE,"RIEP"}</definedName>
    <definedName name="t7ur7u" hidden="1">{#N/A,#N/A,FALSE,"RIEP"}</definedName>
    <definedName name="tgfcvds" localSheetId="0" hidden="1">{#N/A,#N/A,FALSE,"RIEP"}</definedName>
    <definedName name="tgfcvds" hidden="1">{#N/A,#N/A,FALSE,"RIEP"}</definedName>
    <definedName name="tgr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0" hidden="1">{#N/A,#N/A,FALSE,"RIEP"}</definedName>
    <definedName name="tikl679o679o" hidden="1">{#N/A,#N/A,FALSE,"RIEP"}</definedName>
    <definedName name="TM1REBUILDOPTION">0</definedName>
    <definedName name="tom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0" hidden="1">{"SPM1",#N/A,FALSE,"RIEP"}</definedName>
    <definedName name="trjk5i57" hidden="1">{"SPM1",#N/A,FALSE,"RIEP"}</definedName>
    <definedName name="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0" hidden="1">{"QQQ",#N/A,FALSE,"RIEP"}</definedName>
    <definedName name="tyiltu9ol" hidden="1">{"QQQ",#N/A,FALSE,"RIEP"}</definedName>
    <definedName name="ugkj" localSheetId="0" hidden="1">{"QQQ",#N/A,FALSE,"RIEP"}</definedName>
    <definedName name="ugkj" hidden="1">{"QQQ",#N/A,FALSE,"RIEP"}</definedName>
    <definedName name="u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0" hidden="1">{"QQQ",#N/A,FALSE,"RIEP"}</definedName>
    <definedName name="uttkjg" hidden="1">{"QQQ",#N/A,FALSE,"RIEP"}</definedName>
    <definedName name="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0" hidden="1">{#N/A,#N/A,FALSE,"RIEP"}</definedName>
    <definedName name="v6uyjyu" hidden="1">{#N/A,#N/A,FALSE,"RIEP"}</definedName>
    <definedName name="vcbbxb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0" hidden="1">{"QQQ",#N/A,FALSE,"RIEP"}</definedName>
    <definedName name="vvvv" hidden="1">{"QQQ",#N/A,FALSE,"RIEP"}</definedName>
    <definedName name="vvvvbbbb" localSheetId="0" hidden="1">{#N/A,#N/A,FALSE,"RIEP"}</definedName>
    <definedName name="vvvvbbbb" hidden="1">{#N/A,#N/A,FALSE,"RIEP"}</definedName>
    <definedName name="vvvvvv" localSheetId="0" hidden="1">{#N/A,#N/A,FALSE,"RIEP"}</definedName>
    <definedName name="vvvvvv" hidden="1">{#N/A,#N/A,FALSE,"RIEP"}</definedName>
    <definedName name="vvvvvvvv" localSheetId="0" hidden="1">{"SPM1",#N/A,FALSE,"RIEP"}</definedName>
    <definedName name="vvvvvvvv" hidden="1">{"SPM1",#N/A,FALSE,"RIEP"}</definedName>
    <definedName name="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0" hidden="1">{"SPM1",#N/A,FALSE,"RIEP"}</definedName>
    <definedName name="we" hidden="1">{"SPM1",#N/A,FALSE,"RIEP"}</definedName>
    <definedName name="wer" localSheetId="0" hidden="1">{#N/A,#N/A,FALSE,"ANALYSE";#N/A,#N/A,FALSE,"PM VALEUR"}</definedName>
    <definedName name="wer" hidden="1">{#N/A,#N/A,FALSE,"ANALYSE";#N/A,#N/A,FALSE,"PM VALEUR"}</definedName>
    <definedName name="wetrwrt" localSheetId="0" hidden="1">{"QQQ",#N/A,FALSE,"RIEP"}</definedName>
    <definedName name="wetrwrt" hidden="1">{"QQQ",#N/A,FALSE,"RIEP"}</definedName>
    <definedName name="wewe" localSheetId="0" hidden="1">{"SPM1",#N/A,FALSE,"RIEP"}</definedName>
    <definedName name="wewe" hidden="1">{"SPM1",#N/A,FALSE,"RIEP"}</definedName>
    <definedName name="wrn.CCC." localSheetId="0" hidden="1">{"QQQ",#N/A,FALSE,"RIEP"}</definedName>
    <definedName name="wrn.CCC." hidden="1">{"QQQ",#N/A,FALSE,"RIEP"}</definedName>
    <definedName name="wrn.Charges." localSheetId="0" hidden="1">{"Analyse charges",#N/A,FALSE,"Feuil1 (2)"}</definedName>
    <definedName name="wrn.Charges." hidden="1">{"Analyse charges",#N/A,FALSE,"Feuil1 (2)"}</definedName>
    <definedName name="wrn.Charges._.Clécy." localSheetId="0" hidden="1">{#N/A,#N/A,FALSE,"Evol98";#N/A,#N/A,FALSE,"Saisie98"}</definedName>
    <definedName name="wrn.Charges._.Clécy." hidden="1">{#N/A,#N/A,FALSE,"Evol98";#N/A,#N/A,FALSE,"Saisie98"}</definedName>
    <definedName name="wrn.CLECY.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0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0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0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0" hidden="1">{#N/A,#N/A,FALSE,"ANALYSE";#N/A,#N/A,FALSE,"PM VALEUR"}</definedName>
    <definedName name="wrn.ex." hidden="1">{#N/A,#N/A,FALSE,"ANALYSE";#N/A,#N/A,FALSE,"PM VALEUR"}</definedName>
    <definedName name="wrn.Impression._.totale." localSheetId="0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0" hidden="1">{"Indicateurs",#N/A,FALSE,"Feuil1 (2)"}</definedName>
    <definedName name="wrn.Indicateurs." hidden="1">{"Indicateurs",#N/A,FALSE,"Feuil1 (2)"}</definedName>
    <definedName name="wrn.MENSUEL.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0" hidden="1">{"Ratios activités",#N/A,FALSE,"Feuil1 (2)"}</definedName>
    <definedName name="wrn.Ratios." hidden="1">{"Ratios activités",#N/A,FALSE,"Feuil1 (2)"}</definedName>
    <definedName name="wrn.REELBUD." localSheetId="0" hidden="1">{"DETAIL",#N/A,FALSE,"REELBUDGET";"TOTAL",#N/A,FALSE,"REELBUDGET"}</definedName>
    <definedName name="wrn.REELBUD." hidden="1">{"DETAIL",#N/A,FALSE,"REELBUDGET";"TOTAL",#N/A,FALSE,"REELBUDGET"}</definedName>
    <definedName name="wrn.Résultat." localSheetId="0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0" hidden="1">{#N/A,#N/A,FALSE,"RIEP"}</definedName>
    <definedName name="wrn.SPA1." hidden="1">{#N/A,#N/A,FALSE,"RIEP"}</definedName>
    <definedName name="wrn.SPM1." localSheetId="0" hidden="1">{"SPM1",#N/A,FALSE,"RIEP"}</definedName>
    <definedName name="wrn.SPM1." hidden="1">{"SPM1",#N/A,FALSE,"RIEP"}</definedName>
    <definedName name="wrn.SYNTHESE.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0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0" hidden="1">{"QQQ",#N/A,FALSE,"RIEP"}</definedName>
    <definedName name="wrn1.CCC." hidden="1">{"QQQ",#N/A,FALSE,"RIEP"}</definedName>
    <definedName name="wwww" localSheetId="0" hidden="1">{#N/A,#N/A,FALSE,"RIEP"}</definedName>
    <definedName name="wwww" hidden="1">{#N/A,#N/A,FALSE,"RIEP"}</definedName>
    <definedName name="wwwww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0" hidden="1">{"QQQ",#N/A,FALSE,"RIEP"}</definedName>
    <definedName name="wwwwwwwwwwww" hidden="1">{"QQQ",#N/A,FALSE,"RIEP"}</definedName>
    <definedName name="ybukkbyitkituk" localSheetId="0" hidden="1">{#N/A,#N/A,FALSE,"RIEP"}</definedName>
    <definedName name="ybukkbyitkituk" hidden="1">{#N/A,#N/A,FALSE,"RIEP"}</definedName>
    <definedName name="yert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0" hidden="1">{"QQQ",#N/A,FALSE,"RIEP"}</definedName>
    <definedName name="yrnukuilky8u" hidden="1">{"QQQ",#N/A,FALSE,"RIEP"}</definedName>
    <definedName name="YY" localSheetId="0" hidden="1">{#N/A,#N/A,FALSE,"RIEP"}</definedName>
    <definedName name="YY" hidden="1">{#N/A,#N/A,FALSE,"RIEP"}</definedName>
    <definedName name="yyqeyq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0" hidden="1">{#N/A,#N/A,FALSE,"RIEP"}</definedName>
    <definedName name="zzzzzzzzzz" hidden="1">{#N/A,#N/A,FALSE,"RIEP"}</definedName>
    <definedName name="zzzzzzzzzzzzz" localSheetId="0" hidden="1">{#N/A,#N/A,FALSE,"RIEP"}</definedName>
    <definedName name="zzzzzzzzzzzzz" hidden="1">{#N/A,#N/A,FALSE,"RIEP"}</definedName>
    <definedName name="zzzzzzzzzzzzzz" localSheetId="0" hidden="1">{"QQQ",#N/A,FALSE,"RIEP"}</definedName>
    <definedName name="zzzzzzzzzzzzzz" hidden="1">{"QQQ",#N/A,FALSE,"RIEP"}</definedName>
    <definedName name="zzzzzzzzzzzzzzzzzz" localSheetId="0" hidden="1">{"QQQ",#N/A,FALSE,"RIEP"}</definedName>
    <definedName name="zzzzzzzzzzzzzzzzzz" hidden="1">{"QQQ",#N/A,FALSE,"RIEP"}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1" l="1"/>
  <c r="G15" i="21"/>
  <c r="G8" i="21"/>
  <c r="G6" i="21"/>
  <c r="G16" i="21" s="1"/>
  <c r="F15" i="21"/>
  <c r="E15" i="21"/>
  <c r="C15" i="21"/>
  <c r="D15" i="21"/>
  <c r="F8" i="21"/>
  <c r="E8" i="21"/>
  <c r="C8" i="21"/>
  <c r="F7" i="21"/>
  <c r="E7" i="21"/>
  <c r="C7" i="21"/>
  <c r="F6" i="21"/>
  <c r="E6" i="21"/>
  <c r="C6" i="21"/>
  <c r="D8" i="21"/>
  <c r="D7" i="21"/>
  <c r="D6" i="21"/>
  <c r="G17" i="21" l="1"/>
  <c r="G22" i="21"/>
  <c r="G21" i="21"/>
  <c r="D16" i="21"/>
  <c r="C16" i="21"/>
  <c r="C22" i="21" s="1"/>
  <c r="E16" i="21"/>
  <c r="F16" i="21"/>
  <c r="G19" i="21" l="1"/>
  <c r="G20" i="21" s="1"/>
  <c r="G18" i="21"/>
  <c r="F17" i="21"/>
  <c r="F18" i="21" s="1"/>
  <c r="F21" i="21"/>
  <c r="F22" i="21"/>
  <c r="E17" i="21"/>
  <c r="E19" i="21" s="1"/>
  <c r="E20" i="21" s="1"/>
  <c r="E22" i="21"/>
  <c r="E21" i="21"/>
  <c r="C17" i="21"/>
  <c r="C19" i="21" s="1"/>
  <c r="C20" i="21" s="1"/>
  <c r="C21" i="21"/>
  <c r="D17" i="21"/>
  <c r="D19" i="21" s="1"/>
  <c r="D20" i="21" s="1"/>
  <c r="D22" i="21"/>
  <c r="D21" i="21"/>
  <c r="C18" i="21" l="1"/>
  <c r="E18" i="21"/>
  <c r="F19" i="21"/>
  <c r="F20" i="21" s="1"/>
  <c r="D18" i="21"/>
</calcChain>
</file>

<file path=xl/sharedStrings.xml><?xml version="1.0" encoding="utf-8"?>
<sst xmlns="http://schemas.openxmlformats.org/spreadsheetml/2006/main" count="39" uniqueCount="39">
  <si>
    <t>Estándar de producto</t>
  </si>
  <si>
    <t>Fórmulas</t>
  </si>
  <si>
    <t>Vaca</t>
  </si>
  <si>
    <t>Mezcla</t>
  </si>
  <si>
    <t>Oveja</t>
  </si>
  <si>
    <t>Bajo en MG</t>
  </si>
  <si>
    <t>Mozza</t>
  </si>
  <si>
    <t>Fabricación, KG</t>
  </si>
  <si>
    <t>1. Características del queso</t>
  </si>
  <si>
    <t>EST salida salado</t>
  </si>
  <si>
    <t>MG salida salado</t>
  </si>
  <si>
    <t>ESM</t>
  </si>
  <si>
    <t>=B4-B5</t>
  </si>
  <si>
    <t>HFD</t>
  </si>
  <si>
    <t>=(1-B4)/(1-B5)</t>
  </si>
  <si>
    <t>G/ES</t>
  </si>
  <si>
    <t>=B5/B4</t>
  </si>
  <si>
    <t>2. Composición de la leche de fabricación</t>
  </si>
  <si>
    <t>Leche en cuba MG (g/L)</t>
  </si>
  <si>
    <t>Leche en cuba MP (g/L)</t>
  </si>
  <si>
    <t>3. Datos tecnológicos</t>
  </si>
  <si>
    <t>Recup MP (dato real de la fabricación)</t>
  </si>
  <si>
    <t>4. Cálculos</t>
  </si>
  <si>
    <t>ESM queso obtenido a partir de MP leche (g/L)</t>
  </si>
  <si>
    <t>=B13*B11</t>
  </si>
  <si>
    <t>Litraje unitario</t>
  </si>
  <si>
    <t>=B6*1000/B15</t>
  </si>
  <si>
    <t>MG teórica en la cuba (g/L)</t>
  </si>
  <si>
    <t>=B5*1000/B16</t>
  </si>
  <si>
    <t>Recup MG</t>
  </si>
  <si>
    <t>=B17/B10</t>
  </si>
  <si>
    <t>MG pérdida bruta en suero (g/L)</t>
  </si>
  <si>
    <t>=B17-B10</t>
  </si>
  <si>
    <t>MG pérdida bruta en suero %</t>
  </si>
  <si>
    <t>=B19/B10</t>
  </si>
  <si>
    <t>Consumo MG/kg queso</t>
  </si>
  <si>
    <t>=B10*B16</t>
  </si>
  <si>
    <t>Consumo MP/kg queso</t>
  </si>
  <si>
    <t>=B11*B16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</si>
</sst>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_ ;[Red]\-#,##0\ "/>
    <numFmt numFmtId="165" formatCode="#,##0.000_ ;[Red]\-#,##0.000\ "/>
    <numFmt numFmtId="166" formatCode="_-* #,##0.00\ _€_-;\-* #,##0.00\ _€_-;_-* &quot;-&quot;??\ _€_-;_-@_-"/>
    <numFmt numFmtId="167" formatCode="#,##0.00_ ;[Red]\-#,##0.00\ 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46">
    <xf numFmtId="0" fontId="0" fillId="0" borderId="0" xfId="0"/>
    <xf numFmtId="164" fontId="0" fillId="0" borderId="2" xfId="0" applyNumberFormat="1" applyBorder="1" applyAlignment="1">
      <alignment horizontal="left" indent="1"/>
    </xf>
    <xf numFmtId="10" fontId="0" fillId="3" borderId="2" xfId="1" applyNumberFormat="1" applyFont="1" applyFill="1" applyBorder="1"/>
    <xf numFmtId="10" fontId="0" fillId="3" borderId="4" xfId="1" applyNumberFormat="1" applyFont="1" applyFill="1" applyBorder="1"/>
    <xf numFmtId="164" fontId="0" fillId="0" borderId="4" xfId="0" applyNumberFormat="1" applyBorder="1" applyAlignment="1">
      <alignment horizontal="left" indent="1"/>
    </xf>
    <xf numFmtId="0" fontId="4" fillId="2" borderId="1" xfId="0" applyFont="1" applyFill="1" applyBorder="1" applyAlignment="1">
      <alignment vertical="center"/>
    </xf>
    <xf numFmtId="10" fontId="0" fillId="0" borderId="2" xfId="1" applyNumberFormat="1" applyFont="1" applyFill="1" applyBorder="1"/>
    <xf numFmtId="10" fontId="1" fillId="0" borderId="2" xfId="1" applyNumberFormat="1" applyFont="1" applyFill="1" applyBorder="1"/>
    <xf numFmtId="10" fontId="0" fillId="0" borderId="4" xfId="0" applyNumberFormat="1" applyBorder="1"/>
    <xf numFmtId="167" fontId="0" fillId="0" borderId="2" xfId="0" applyNumberFormat="1" applyBorder="1"/>
    <xf numFmtId="2" fontId="0" fillId="0" borderId="3" xfId="0" applyNumberFormat="1" applyBorder="1"/>
    <xf numFmtId="2" fontId="0" fillId="0" borderId="4" xfId="0" applyNumberFormat="1" applyBorder="1"/>
    <xf numFmtId="164" fontId="0" fillId="0" borderId="3" xfId="0" applyNumberFormat="1" applyBorder="1" applyAlignment="1">
      <alignment horizontal="left" indent="1"/>
    </xf>
    <xf numFmtId="167" fontId="0" fillId="0" borderId="3" xfId="0" applyNumberFormat="1" applyBorder="1"/>
    <xf numFmtId="10" fontId="0" fillId="6" borderId="2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165" fontId="0" fillId="6" borderId="2" xfId="0" applyNumberFormat="1" applyFill="1" applyBorder="1"/>
    <xf numFmtId="164" fontId="0" fillId="0" borderId="1" xfId="0" applyNumberFormat="1" applyBorder="1" applyAlignment="1">
      <alignment horizontal="left"/>
    </xf>
    <xf numFmtId="165" fontId="0" fillId="4" borderId="1" xfId="0" applyNumberFormat="1" applyFill="1" applyBorder="1"/>
    <xf numFmtId="164" fontId="3" fillId="6" borderId="3" xfId="0" applyNumberFormat="1" applyFont="1" applyFill="1" applyBorder="1" applyAlignment="1">
      <alignment horizontal="left"/>
    </xf>
    <xf numFmtId="164" fontId="0" fillId="3" borderId="2" xfId="0" applyNumberFormat="1" applyFill="1" applyBorder="1" applyAlignment="1">
      <alignment horizontal="left" indent="1"/>
    </xf>
    <xf numFmtId="164" fontId="0" fillId="3" borderId="4" xfId="0" applyNumberFormat="1" applyFill="1" applyBorder="1" applyAlignment="1">
      <alignment horizontal="left" indent="1"/>
    </xf>
    <xf numFmtId="164" fontId="3" fillId="3" borderId="3" xfId="0" applyNumberFormat="1" applyFont="1" applyFill="1" applyBorder="1" applyAlignment="1">
      <alignment horizontal="left"/>
    </xf>
    <xf numFmtId="165" fontId="0" fillId="3" borderId="2" xfId="0" applyNumberFormat="1" applyFill="1" applyBorder="1"/>
    <xf numFmtId="164" fontId="3" fillId="2" borderId="3" xfId="0" applyNumberFormat="1" applyFont="1" applyFill="1" applyBorder="1" applyAlignment="1">
      <alignment horizontal="left"/>
    </xf>
    <xf numFmtId="10" fontId="0" fillId="2" borderId="3" xfId="0" applyNumberFormat="1" applyFill="1" applyBorder="1"/>
    <xf numFmtId="164" fontId="0" fillId="2" borderId="2" xfId="0" applyNumberFormat="1" applyFill="1" applyBorder="1" applyAlignment="1">
      <alignment horizontal="left" indent="1"/>
    </xf>
    <xf numFmtId="167" fontId="0" fillId="2" borderId="2" xfId="0" applyNumberFormat="1" applyFill="1" applyBorder="1"/>
    <xf numFmtId="164" fontId="0" fillId="2" borderId="4" xfId="0" applyNumberFormat="1" applyFill="1" applyBorder="1" applyAlignment="1">
      <alignment horizontal="left" indent="1"/>
    </xf>
    <xf numFmtId="167" fontId="0" fillId="2" borderId="4" xfId="0" applyNumberFormat="1" applyFill="1" applyBorder="1"/>
    <xf numFmtId="164" fontId="3" fillId="5" borderId="3" xfId="0" applyNumberFormat="1" applyFont="1" applyFill="1" applyBorder="1" applyAlignment="1">
      <alignment horizontal="left"/>
    </xf>
    <xf numFmtId="167" fontId="0" fillId="5" borderId="3" xfId="0" applyNumberFormat="1" applyFill="1" applyBorder="1"/>
    <xf numFmtId="164" fontId="0" fillId="5" borderId="4" xfId="0" applyNumberFormat="1" applyFill="1" applyBorder="1" applyAlignment="1">
      <alignment horizontal="left" indent="1"/>
    </xf>
    <xf numFmtId="10" fontId="0" fillId="5" borderId="4" xfId="1" applyNumberFormat="1" applyFont="1" applyFill="1" applyBorder="1"/>
    <xf numFmtId="10" fontId="0" fillId="6" borderId="3" xfId="1" applyNumberFormat="1" applyFont="1" applyFill="1" applyBorder="1"/>
    <xf numFmtId="10" fontId="0" fillId="0" borderId="4" xfId="1" applyNumberFormat="1" applyFont="1" applyBorder="1"/>
    <xf numFmtId="10" fontId="0" fillId="0" borderId="2" xfId="1" quotePrefix="1" applyNumberFormat="1" applyFont="1" applyFill="1" applyBorder="1"/>
    <xf numFmtId="10" fontId="1" fillId="0" borderId="2" xfId="1" quotePrefix="1" applyNumberFormat="1" applyFont="1" applyFill="1" applyBorder="1"/>
    <xf numFmtId="10" fontId="0" fillId="0" borderId="4" xfId="0" quotePrefix="1" applyNumberFormat="1" applyBorder="1"/>
    <xf numFmtId="167" fontId="0" fillId="0" borderId="2" xfId="0" quotePrefix="1" applyNumberFormat="1" applyBorder="1"/>
    <xf numFmtId="165" fontId="0" fillId="6" borderId="2" xfId="0" quotePrefix="1" applyNumberFormat="1" applyFill="1" applyBorder="1"/>
    <xf numFmtId="10" fontId="0" fillId="6" borderId="2" xfId="1" quotePrefix="1" applyNumberFormat="1" applyFont="1" applyFill="1" applyBorder="1"/>
    <xf numFmtId="167" fontId="0" fillId="0" borderId="3" xfId="0" quotePrefix="1" applyNumberFormat="1" applyBorder="1"/>
    <xf numFmtId="10" fontId="0" fillId="0" borderId="4" xfId="1" quotePrefix="1" applyNumberFormat="1" applyFont="1" applyBorder="1"/>
    <xf numFmtId="2" fontId="0" fillId="0" borderId="3" xfId="0" quotePrefix="1" applyNumberFormat="1" applyBorder="1"/>
    <xf numFmtId="2" fontId="0" fillId="0" borderId="4" xfId="0" quotePrefix="1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28C21CB3-7664-42D2-9D67-4CB284AD2D4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 refreshError="1"/>
      <sheetData sheetId="18" refreshError="1"/>
      <sheetData sheetId="19"/>
      <sheetData sheetId="20" refreshError="1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 refreshError="1"/>
      <sheetData sheetId="12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F947-2ABB-41E4-9BF8-362C7EA09C5F}">
  <sheetPr>
    <pageSetUpPr fitToPage="1"/>
  </sheetPr>
  <dimension ref="A1:G22"/>
  <sheetViews>
    <sheetView tabSelected="1" zoomScale="90" zoomScaleNormal="90" workbookViewId="0">
      <selection activeCell="H3" sqref="H3"/>
    </sheetView>
  </sheetViews>
  <sheetFormatPr defaultColWidth="11.42578125" defaultRowHeight="15"/>
  <cols>
    <col min="1" max="1" width="48.7109375" customWidth="1"/>
    <col min="2" max="2" width="14.28515625" customWidth="1"/>
  </cols>
  <sheetData>
    <row r="1" spans="1:7" ht="21">
      <c r="A1" s="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</row>
    <row r="2" spans="1:7">
      <c r="A2" s="17" t="s">
        <v>7</v>
      </c>
      <c r="B2" s="18"/>
      <c r="C2" s="18">
        <v>1</v>
      </c>
      <c r="D2" s="18">
        <v>1</v>
      </c>
      <c r="E2" s="18">
        <v>1</v>
      </c>
      <c r="F2" s="18">
        <v>1</v>
      </c>
      <c r="G2" s="18">
        <v>1</v>
      </c>
    </row>
    <row r="3" spans="1:7" ht="18.75">
      <c r="A3" s="22" t="s">
        <v>8</v>
      </c>
      <c r="B3" s="23"/>
      <c r="C3" s="23"/>
      <c r="D3" s="23"/>
      <c r="E3" s="23"/>
      <c r="F3" s="23"/>
      <c r="G3" s="23"/>
    </row>
    <row r="4" spans="1:7">
      <c r="A4" s="20" t="s">
        <v>9</v>
      </c>
      <c r="B4" s="2"/>
      <c r="C4" s="2">
        <v>0.54849999999999999</v>
      </c>
      <c r="D4" s="2">
        <v>0.54949999999999999</v>
      </c>
      <c r="E4" s="2">
        <v>0.5635</v>
      </c>
      <c r="F4" s="2">
        <v>0.50470000000000004</v>
      </c>
      <c r="G4" s="2">
        <v>0.4</v>
      </c>
    </row>
    <row r="5" spans="1:7">
      <c r="A5" s="21" t="s">
        <v>10</v>
      </c>
      <c r="B5" s="3"/>
      <c r="C5" s="3">
        <v>0.29799999999999999</v>
      </c>
      <c r="D5" s="3">
        <v>0.30280000000000001</v>
      </c>
      <c r="E5" s="3">
        <v>0.30930000000000002</v>
      </c>
      <c r="F5" s="3">
        <v>0.20219999999999999</v>
      </c>
      <c r="G5" s="3">
        <v>0.18</v>
      </c>
    </row>
    <row r="6" spans="1:7">
      <c r="A6" s="1" t="s">
        <v>11</v>
      </c>
      <c r="B6" s="36" t="s">
        <v>12</v>
      </c>
      <c r="C6" s="6">
        <f>C4-C5</f>
        <v>0.2505</v>
      </c>
      <c r="D6" s="6">
        <f>D4-D5</f>
        <v>0.24669999999999997</v>
      </c>
      <c r="E6" s="6">
        <f t="shared" ref="E6:F6" si="0">E4-E5</f>
        <v>0.25419999999999998</v>
      </c>
      <c r="F6" s="6">
        <f t="shared" si="0"/>
        <v>0.30250000000000005</v>
      </c>
      <c r="G6" s="6">
        <f>G4-G5</f>
        <v>0.22000000000000003</v>
      </c>
    </row>
    <row r="7" spans="1:7">
      <c r="A7" s="1" t="s">
        <v>13</v>
      </c>
      <c r="B7" s="37" t="s">
        <v>14</v>
      </c>
      <c r="C7" s="7">
        <f>(1-C4)/(1-C5)</f>
        <v>0.64316239316239321</v>
      </c>
      <c r="D7" s="7">
        <f>(1-D4)/(1-D5)</f>
        <v>0.64615605278255883</v>
      </c>
      <c r="E7" s="7">
        <f t="shared" ref="E7:F7" si="1">(1-E4)/(1-E5)</f>
        <v>0.63196756913276386</v>
      </c>
      <c r="F7" s="7">
        <f t="shared" si="1"/>
        <v>0.62083228879418395</v>
      </c>
      <c r="G7" s="7">
        <f>(1-G4)/(1-G5)</f>
        <v>0.7317073170731706</v>
      </c>
    </row>
    <row r="8" spans="1:7">
      <c r="A8" s="4" t="s">
        <v>15</v>
      </c>
      <c r="B8" s="38" t="s">
        <v>16</v>
      </c>
      <c r="C8" s="8">
        <f>C5/C4</f>
        <v>0.54329990884229717</v>
      </c>
      <c r="D8" s="8">
        <f>D5/D4</f>
        <v>0.55104640582347597</v>
      </c>
      <c r="E8" s="8">
        <f t="shared" ref="E8:F8" si="2">E5/E4</f>
        <v>0.54889086069210291</v>
      </c>
      <c r="F8" s="8">
        <f t="shared" si="2"/>
        <v>0.40063404002377645</v>
      </c>
      <c r="G8" s="8">
        <f>G5/G4</f>
        <v>0.44999999999999996</v>
      </c>
    </row>
    <row r="9" spans="1:7" ht="18.75">
      <c r="A9" s="24" t="s">
        <v>17</v>
      </c>
      <c r="B9" s="25"/>
      <c r="C9" s="25"/>
      <c r="D9" s="25"/>
      <c r="E9" s="25"/>
      <c r="F9" s="25"/>
      <c r="G9" s="25"/>
    </row>
    <row r="10" spans="1:7">
      <c r="A10" s="26" t="s">
        <v>18</v>
      </c>
      <c r="B10" s="27"/>
      <c r="C10" s="27">
        <v>38.1</v>
      </c>
      <c r="D10" s="27">
        <v>41.37</v>
      </c>
      <c r="E10" s="27">
        <v>71.05</v>
      </c>
      <c r="F10" s="27">
        <v>24.82</v>
      </c>
      <c r="G10" s="27">
        <v>38.1</v>
      </c>
    </row>
    <row r="11" spans="1:7">
      <c r="A11" s="28" t="s">
        <v>19</v>
      </c>
      <c r="B11" s="29"/>
      <c r="C11" s="29">
        <v>32.1</v>
      </c>
      <c r="D11" s="29">
        <v>32.049999999999997</v>
      </c>
      <c r="E11" s="29">
        <v>56.97</v>
      </c>
      <c r="F11" s="29">
        <v>33.659999999999997</v>
      </c>
      <c r="G11" s="29">
        <v>32.1</v>
      </c>
    </row>
    <row r="12" spans="1:7" ht="18.75">
      <c r="A12" s="30" t="s">
        <v>20</v>
      </c>
      <c r="B12" s="31"/>
      <c r="C12" s="31"/>
      <c r="D12" s="31"/>
      <c r="E12" s="31"/>
      <c r="F12" s="31"/>
      <c r="G12" s="31"/>
    </row>
    <row r="13" spans="1:7">
      <c r="A13" s="32" t="s">
        <v>21</v>
      </c>
      <c r="B13" s="33"/>
      <c r="C13" s="33">
        <v>0.9446</v>
      </c>
      <c r="D13" s="33">
        <v>0.96779999999999999</v>
      </c>
      <c r="E13" s="33">
        <v>0.93479999999999996</v>
      </c>
      <c r="F13" s="33">
        <v>0.97330000000000005</v>
      </c>
      <c r="G13" s="33">
        <v>0.9446</v>
      </c>
    </row>
    <row r="14" spans="1:7" ht="18.75">
      <c r="A14" s="19" t="s">
        <v>22</v>
      </c>
      <c r="B14" s="34"/>
      <c r="C14" s="34"/>
      <c r="D14" s="34"/>
      <c r="E14" s="34"/>
      <c r="F14" s="34"/>
      <c r="G14" s="34"/>
    </row>
    <row r="15" spans="1:7">
      <c r="A15" s="1" t="s">
        <v>23</v>
      </c>
      <c r="B15" s="39" t="s">
        <v>24</v>
      </c>
      <c r="C15" s="9">
        <f>C13*C11</f>
        <v>30.321660000000001</v>
      </c>
      <c r="D15" s="9">
        <f>D13*D11</f>
        <v>31.017989999999998</v>
      </c>
      <c r="E15" s="9">
        <f>E13*E11</f>
        <v>53.255555999999999</v>
      </c>
      <c r="F15" s="9">
        <f>F13*F11</f>
        <v>32.761277999999997</v>
      </c>
      <c r="G15" s="9">
        <f>G13*G11</f>
        <v>30.321660000000001</v>
      </c>
    </row>
    <row r="16" spans="1:7">
      <c r="A16" s="1" t="s">
        <v>25</v>
      </c>
      <c r="B16" s="40" t="s">
        <v>26</v>
      </c>
      <c r="C16" s="16">
        <f>C6*1000/C15</f>
        <v>8.2614210435708326</v>
      </c>
      <c r="D16" s="16">
        <f>D6*1000/D15</f>
        <v>7.9534489501092756</v>
      </c>
      <c r="E16" s="16">
        <f>E6*1000/E15</f>
        <v>4.7732108927752064</v>
      </c>
      <c r="F16" s="16">
        <f>F6*1000/F15</f>
        <v>9.2334615273555585</v>
      </c>
      <c r="G16" s="16">
        <f>G6*1000/G15</f>
        <v>7.2555394394634076</v>
      </c>
    </row>
    <row r="17" spans="1:7">
      <c r="A17" s="1" t="s">
        <v>27</v>
      </c>
      <c r="B17" s="39" t="s">
        <v>28</v>
      </c>
      <c r="C17" s="9">
        <f>C5*1000/C16</f>
        <v>36.071276167664678</v>
      </c>
      <c r="D17" s="9">
        <f>D5*1000/D16</f>
        <v>38.071533733279288</v>
      </c>
      <c r="E17" s="9">
        <f>E5*1000/E16</f>
        <v>64.79914819354839</v>
      </c>
      <c r="F17" s="9">
        <f>F5*1000/F16</f>
        <v>21.898612930909085</v>
      </c>
      <c r="G17" s="9">
        <f>G5*1000/G16</f>
        <v>24.808630909090905</v>
      </c>
    </row>
    <row r="18" spans="1:7">
      <c r="A18" s="1" t="s">
        <v>29</v>
      </c>
      <c r="B18" s="41" t="s">
        <v>30</v>
      </c>
      <c r="C18" s="14">
        <f>C17/C10</f>
        <v>0.94675265531928288</v>
      </c>
      <c r="D18" s="14">
        <f>D17/D10</f>
        <v>0.92026912577421538</v>
      </c>
      <c r="E18" s="14">
        <f t="shared" ref="E18:F18" si="3">E17/E10</f>
        <v>0.91202179019772545</v>
      </c>
      <c r="F18" s="14">
        <f t="shared" si="3"/>
        <v>0.88229705603985031</v>
      </c>
      <c r="G18" s="14">
        <f>G17/G10</f>
        <v>0.65114516821760904</v>
      </c>
    </row>
    <row r="19" spans="1:7">
      <c r="A19" s="12" t="s">
        <v>31</v>
      </c>
      <c r="B19" s="42" t="s">
        <v>32</v>
      </c>
      <c r="C19" s="13">
        <f>C17-C10</f>
        <v>-2.0287238323353236</v>
      </c>
      <c r="D19" s="13">
        <f>D17-D10</f>
        <v>-3.298466266720709</v>
      </c>
      <c r="E19" s="13">
        <f t="shared" ref="E19:F19" si="4">E17-E10</f>
        <v>-6.2508518064516068</v>
      </c>
      <c r="F19" s="13">
        <f t="shared" si="4"/>
        <v>-2.9213870690909154</v>
      </c>
      <c r="G19" s="13">
        <f>G17-G10</f>
        <v>-13.291369090909097</v>
      </c>
    </row>
    <row r="20" spans="1:7">
      <c r="A20" s="4" t="s">
        <v>33</v>
      </c>
      <c r="B20" s="43" t="s">
        <v>34</v>
      </c>
      <c r="C20" s="35">
        <f>C19/C10</f>
        <v>-5.3247344680717151E-2</v>
      </c>
      <c r="D20" s="35">
        <f>D19/D10</f>
        <v>-7.9730874225784606E-2</v>
      </c>
      <c r="E20" s="35">
        <f t="shared" ref="E20:F20" si="5">E19/E10</f>
        <v>-8.7978209802274554E-2</v>
      </c>
      <c r="F20" s="35">
        <f t="shared" si="5"/>
        <v>-0.11770294396014969</v>
      </c>
      <c r="G20" s="35">
        <f>G19/G10</f>
        <v>-0.34885483178239096</v>
      </c>
    </row>
    <row r="21" spans="1:7">
      <c r="A21" s="12" t="s">
        <v>35</v>
      </c>
      <c r="B21" s="44" t="s">
        <v>36</v>
      </c>
      <c r="C21" s="10">
        <f>C10*C16</f>
        <v>314.76014176004873</v>
      </c>
      <c r="D21" s="10">
        <f>D10*D16</f>
        <v>329.03418306602072</v>
      </c>
      <c r="E21" s="10">
        <f t="shared" ref="E21:F21" si="6">E10*E16</f>
        <v>339.13663393167838</v>
      </c>
      <c r="F21" s="10">
        <f t="shared" si="6"/>
        <v>229.17451510896495</v>
      </c>
      <c r="G21" s="10">
        <f>G10*G16</f>
        <v>276.43605264355585</v>
      </c>
    </row>
    <row r="22" spans="1:7">
      <c r="A22" s="4" t="s">
        <v>37</v>
      </c>
      <c r="B22" s="45" t="s">
        <v>38</v>
      </c>
      <c r="C22" s="11">
        <f>C11*C16</f>
        <v>265.19161549862372</v>
      </c>
      <c r="D22" s="11">
        <f>D11*D16</f>
        <v>254.90803885100226</v>
      </c>
      <c r="E22" s="11">
        <f t="shared" ref="E22:F22" si="7">E11*E16</f>
        <v>271.92982456140351</v>
      </c>
      <c r="F22" s="11">
        <f t="shared" si="7"/>
        <v>310.79831501078809</v>
      </c>
      <c r="G22" s="11">
        <f>G11*G16</f>
        <v>232.9028160067754</v>
      </c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Riera</dc:creator>
  <cp:keywords/>
  <dc:description/>
  <cp:lastModifiedBy>Juan Riera</cp:lastModifiedBy>
  <cp:revision/>
  <dcterms:created xsi:type="dcterms:W3CDTF">2021-08-17T11:04:57Z</dcterms:created>
  <dcterms:modified xsi:type="dcterms:W3CDTF">2026-01-30T22:27:00Z</dcterms:modified>
  <cp:category/>
  <cp:contentStatus/>
</cp:coreProperties>
</file>