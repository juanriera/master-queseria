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34bf2af71bbc2e43/Documentos/GitHub/master-queseria/website/datos/"/>
    </mc:Choice>
  </mc:AlternateContent>
  <xr:revisionPtr revIDLastSave="947" documentId="8_{5F9E455A-213A-447C-A11C-7E9616724FEA}" xr6:coauthVersionLast="47" xr6:coauthVersionMax="47" xr10:uidLastSave="{E2D2943E-0DF3-410E-AD41-3C5911498EB0}"/>
  <bookViews>
    <workbookView xWindow="13215" yWindow="855" windowWidth="15390" windowHeight="14250" tabRatio="675" xr2:uid="{6977E7F1-D64B-47FE-B2A7-D4E9B0399E18}"/>
  </bookViews>
  <sheets>
    <sheet name="Estándar técnico" sheetId="2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</externalReferences>
  <definedNames>
    <definedName name="__123Graph_AGRAFIND" hidden="1">#REF!</definedName>
    <definedName name="__123Graph_AGRAFTOT" hidden="1">#REF!</definedName>
    <definedName name="__123Graph_APRINCIPALE" hidden="1">[1]ACTIVITE!#REF!</definedName>
    <definedName name="__123Graph_BGRAFIND" hidden="1">#REF!</definedName>
    <definedName name="__123Graph_BGRAFTOT" hidden="1">#REF!</definedName>
    <definedName name="__123Graph_BPRINCIPALE" hidden="1">[1]ACTIVITE!#REF!</definedName>
    <definedName name="__123Graph_CPRINCIPALE" hidden="1">[1]ACTIVITE!#REF!</definedName>
    <definedName name="__123Graph_XPRINCIPALE" hidden="1">[1]ACTIVITE!#REF!</definedName>
    <definedName name="__Amount_for_Gross_Profit_Monthly_ASDA_All_Unit_2" hidden="1">[2]pcQueryData!#REF!</definedName>
    <definedName name="__Amount_for_Gross_Profit_Monthly_TESCO_All_1" hidden="1">#REF!</definedName>
    <definedName name="__Amount_for_Monthly_1" hidden="1">[3]pcQueryData!$A$4</definedName>
    <definedName name="__c" localSheetId="0" hidden="1">{"SPM1",#N/A,FALSE,"RIEP"}</definedName>
    <definedName name="__c" hidden="1">{"SPM1",#N/A,FALSE,"RIEP"}</definedName>
    <definedName name="_100_PV">#REF!</definedName>
    <definedName name="_100_SVI">#REF!</definedName>
    <definedName name="_1000_XM">#REF!</definedName>
    <definedName name="_145110">#REF!</definedName>
    <definedName name="_162460">[4]STEPHAN!$B$2:$P$71</definedName>
    <definedName name="_170_LIGHT">#REF!</definedName>
    <definedName name="_170_PV">#REF!</definedName>
    <definedName name="_171015">#REF!</definedName>
    <definedName name="_171064">#REF!</definedName>
    <definedName name="_171066">#REF!</definedName>
    <definedName name="_171068">#REF!</definedName>
    <definedName name="_171510">#REF!</definedName>
    <definedName name="_171562">#REF!</definedName>
    <definedName name="_172012">#REF!</definedName>
    <definedName name="_172020">#REF!</definedName>
    <definedName name="_172022">#REF!</definedName>
    <definedName name="_172062">#REF!</definedName>
    <definedName name="_172510">[4]STEPHAN!$B$2:$Q$71</definedName>
    <definedName name="_172610">[4]STEPHAN!$B$2:$Q$71</definedName>
    <definedName name="_176072">#REF!</definedName>
    <definedName name="_Amount_for_Monthly" hidden="1">[5]pcQueryData!$A$3</definedName>
    <definedName name="_Fill" hidden="1">#REF!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pcSlicerSheet_Slicer1" hidden="1">#REF!</definedName>
    <definedName name="_pcSlicerSheet_Slicer2" hidden="1">#REF!</definedName>
    <definedName name="_pcSlicerSheet_Slicer3" hidden="1">#REF!</definedName>
    <definedName name="_pcSlicerSheet1_Slicer1" hidden="1">#REF!</definedName>
    <definedName name="_pcSlicerSheet1_Slicer2" hidden="1">#REF!</definedName>
    <definedName name="_pcSlicerSheet1_Slicer3" hidden="1">#REF!</definedName>
    <definedName name="_pcSlicerSheet10_Slicer1" hidden="1">#REF!</definedName>
    <definedName name="_pcSlicerSheet11_Slicer1" hidden="1">#REF!</definedName>
    <definedName name="_pcSlicerSheet12_Slicer1" hidden="1">#REF!</definedName>
    <definedName name="_pcSlicerSheet12_Slicer2" hidden="1">#REF!</definedName>
    <definedName name="_pcSlicerSheet12_Slicer3" hidden="1">#REF!</definedName>
    <definedName name="_pcSlicerSheet13_Slicer2" hidden="1">#REF!</definedName>
    <definedName name="_pcSlicerSheet13_Slicer3" hidden="1">#REF!</definedName>
    <definedName name="_pcSlicerSheet14_Slicer1" hidden="1">[2]_pcSlicerSheet14!$A$2:$A$25</definedName>
    <definedName name="_pcSlicerSheet14_Slicer2" hidden="1">#REF!</definedName>
    <definedName name="_pcSlicerSheet14_Slicer3" hidden="1">#REF!</definedName>
    <definedName name="_pcSlicerSheet15_Slicer1" hidden="1">[2]_pcSlicerSheet15!$A$2:$A$25</definedName>
    <definedName name="_pcSlicerSheet15_Slicer2" hidden="1">#REF!</definedName>
    <definedName name="_pcSlicerSheet15_Slicer3" hidden="1">#REF!</definedName>
    <definedName name="_pcSlicerSheet16_Slicer1" hidden="1">[2]_pcSlicerSheet16!$A$2:$A$25</definedName>
    <definedName name="_pcSlicerSheet16_Slicer2" hidden="1">#REF!</definedName>
    <definedName name="_pcSlicerSheet16_Slicer3" hidden="1">#REF!</definedName>
    <definedName name="_pcSlicerSheet17_Slicer1" hidden="1">#REF!</definedName>
    <definedName name="_pcSlicerSheet17_Slicer2" hidden="1">#REF!</definedName>
    <definedName name="_pcSlicerSheet17_Slicer3" hidden="1">#REF!</definedName>
    <definedName name="_pcSlicerSheet18_Slicer1" hidden="1">#REF!</definedName>
    <definedName name="_pcSlicerSheet19_Slicer1" hidden="1">#REF!</definedName>
    <definedName name="_pcSlicerSheet2_Slicer1" hidden="1">#REF!</definedName>
    <definedName name="_pcSlicerSheet2_Slicer2" hidden="1">#REF!</definedName>
    <definedName name="_pcSlicerSheet2_Slicer3" hidden="1">#REF!</definedName>
    <definedName name="_pcSlicerSheet20_Slicer1" hidden="1">#REF!</definedName>
    <definedName name="_pcSlicerSheet20_Slicer2" hidden="1">#REF!</definedName>
    <definedName name="_pcSlicerSheet20_Slicer3" hidden="1">#REF!</definedName>
    <definedName name="_pcSlicerSheet21_Slicer1" hidden="1">#REF!</definedName>
    <definedName name="_pcSlicerSheet22_Slicer1" hidden="1">#REF!</definedName>
    <definedName name="_pcSlicerSheet22_Slicer2" hidden="1">#REF!</definedName>
    <definedName name="_pcSlicerSheet22_Slicer3" hidden="1">#REF!</definedName>
    <definedName name="_pcSlicerSheet23_Slicer1" hidden="1">#REF!</definedName>
    <definedName name="_pcSlicerSheet23_Slicer2" hidden="1">#REF!</definedName>
    <definedName name="_pcSlicerSheet23_Slicer3" hidden="1">#REF!</definedName>
    <definedName name="_pcSlicerSheet24_Slicer1" hidden="1">#REF!</definedName>
    <definedName name="_pcSlicerSheet25_Slicer1" hidden="1">#REF!</definedName>
    <definedName name="_pcSlicerSheet26_Slicer1" hidden="1">#REF!</definedName>
    <definedName name="_pcSlicerSheet27_Slicer1" hidden="1">#REF!</definedName>
    <definedName name="_pcSlicerSheet28_Slicer1" hidden="1">#REF!</definedName>
    <definedName name="_pcSlicerSheet29_Slicer1" hidden="1">#REF!</definedName>
    <definedName name="_pcSlicerSheet30_Slicer1" hidden="1">#REF!</definedName>
    <definedName name="_pcSlicerSheet31_Slicer1" hidden="1">#REF!</definedName>
    <definedName name="_pcSlicerSheet32_Slicer1" hidden="1">#REF!</definedName>
    <definedName name="_pcSlicerSheet32_Slicer2" hidden="1">#REF!</definedName>
    <definedName name="_pcSlicerSheet32_Slicer3" hidden="1">#REF!</definedName>
    <definedName name="_pcSlicerSheet33_Slicer1" hidden="1">#REF!</definedName>
    <definedName name="_pcSlicerSheet33_Slicer2" hidden="1">#REF!</definedName>
    <definedName name="_pcSlicerSheet33_Slicer3" hidden="1">#REF!</definedName>
    <definedName name="_pcSlicerSheet34_Slicer1" hidden="1">#REF!</definedName>
    <definedName name="_pcSlicerSheet34_Slicer2" hidden="1">#REF!</definedName>
    <definedName name="_pcSlicerSheet34_Slicer3" hidden="1">#REF!</definedName>
    <definedName name="_pcSlicerSheet35_Slicer1" hidden="1">#REF!</definedName>
    <definedName name="_pcSlicerSheet35_Slicer2" hidden="1">#REF!</definedName>
    <definedName name="_pcSlicerSheet35_Slicer3" hidden="1">#REF!</definedName>
    <definedName name="_pcSlicerSheet36_Slicer1" hidden="1">#REF!</definedName>
    <definedName name="_pcSlicerSheet37_Slicer1" hidden="1">#REF!</definedName>
    <definedName name="_pcSlicerSheet38_Slicer1" hidden="1">#REF!</definedName>
    <definedName name="_pcSlicerSheet39_Slicer1" hidden="1">#REF!</definedName>
    <definedName name="_pcSlicerSheet4_Slicer1" hidden="1">[2]_pcSlicerSheet4!$A$2:$A$14</definedName>
    <definedName name="_pcSlicerSheet4_Slicer2" hidden="1">#REF!</definedName>
    <definedName name="_pcSlicerSheet40_Slicer1" hidden="1">#REF!</definedName>
    <definedName name="_pcSlicerSheet41_Slicer1" hidden="1">#REF!</definedName>
    <definedName name="_pcSlicerSheet42_Slicer1" hidden="1">#REF!</definedName>
    <definedName name="_pcSlicerSheet43_Slicer1" hidden="1">#REF!</definedName>
    <definedName name="_pcSlicerSheet44_Slicer1" hidden="1">#REF!</definedName>
    <definedName name="_pcSlicerSheet45_Slicer1" hidden="1">#REF!</definedName>
    <definedName name="_pcSlicerSheet46_Slicer1" hidden="1">#REF!</definedName>
    <definedName name="_pcSlicerSheet47_Slicer1" hidden="1">#REF!</definedName>
    <definedName name="_pcSlicerSheet48_Slicer1" hidden="1">#REF!</definedName>
    <definedName name="_pcSlicerSheet49_Slicer1" hidden="1">#REF!</definedName>
    <definedName name="_pcSlicerSheet49_Slicer2" hidden="1">#REF!</definedName>
    <definedName name="_pcSlicerSheet5_Slicer1" hidden="1">#REF!</definedName>
    <definedName name="_pcSlicerSheet50_Slicer1" hidden="1">#REF!</definedName>
    <definedName name="_pcSlicerSheet50_Slicer2" hidden="1">#REF!</definedName>
    <definedName name="_pcSlicerSheet51_Slicer1" hidden="1">#REF!</definedName>
    <definedName name="_pcSlicerSheet52_Slicer1" hidden="1">#REF!</definedName>
    <definedName name="_pcSlicerSheet53_Slicer1" hidden="1">#REF!</definedName>
    <definedName name="_pcSlicerSheet54_Slicer1" hidden="1">#REF!</definedName>
    <definedName name="_pcSlicerSheet55_Slicer1" hidden="1">#REF!</definedName>
    <definedName name="_pcSlicerSheet55_Slicer2" hidden="1">#REF!</definedName>
    <definedName name="_pcSlicerSheet56_Slicer1" hidden="1">#REF!</definedName>
    <definedName name="_pcSlicerSheet58_Slicer1" hidden="1">#REF!</definedName>
    <definedName name="_pcSlicerSheet59_Slicer1" hidden="1">#REF!</definedName>
    <definedName name="_pcSlicerSheet6_Slicer1" hidden="1">#REF!</definedName>
    <definedName name="_pcSlicerSheet6_Slicer2" hidden="1">#REF!</definedName>
    <definedName name="_pcSlicerSheet60_Slicer1" hidden="1">#REF!</definedName>
    <definedName name="_pcSlicerSheet61_Slicer1" hidden="1">#REF!</definedName>
    <definedName name="_pcSlicerSheet7_Slicer1" hidden="1">#REF!</definedName>
    <definedName name="_pcSlicerSheet7_Slicer2" hidden="1">#REF!</definedName>
    <definedName name="_pcSlicerSheet8_Slicer1" hidden="1">#REF!</definedName>
    <definedName name="_pcSlicerSheet8_Slicer2" hidden="1">#REF!</definedName>
    <definedName name="_pcSlicerSheet9_Slicer1" hidden="1">#REF!</definedName>
    <definedName name="_Sort" hidden="1">#REF!</definedName>
    <definedName name="a" localSheetId="0" hidden="1">{"SPM1",#N/A,FALSE,"RIEP"}</definedName>
    <definedName name="a" hidden="1">{"SPM1",#N/A,FALSE,"RIEP"}</definedName>
    <definedName name="A_impresión_IM">#REF!</definedName>
    <definedName name="aaa" hidden="1">#REF!</definedName>
    <definedName name="aaaa" hidden="1">#REF!</definedName>
    <definedName name="aaaaa" localSheetId="0" hidden="1">{#N/A,#N/A,FALSE,"RIEP"}</definedName>
    <definedName name="aaaaa" hidden="1">{#N/A,#N/A,FALSE,"RIEP"}</definedName>
    <definedName name="aaaaaaaaaaaaaaaa" localSheetId="0" hidden="1">{#N/A,#N/A,FALSE,"RIEP"}</definedName>
    <definedName name="aaaaaaaaaaaaaaaa" hidden="1">{#N/A,#N/A,FALSE,"RIEP"}</definedName>
    <definedName name="AASAS" localSheetId="0" hidden="1">{"QQQ",#N/A,FALSE,"RIEP"}</definedName>
    <definedName name="AASAS" hidden="1">{"QQQ",#N/A,FALSE,"RIEP"}</definedName>
    <definedName name="ADV" localSheetId="0" hidden="1">{#N/A,#N/A,TRUE,"ANALYSE";#N/A,#N/A,TRUE,"PM VOLUME";#N/A,#N/A,TRUE,"PM VALEUR";#N/A,#N/A,TRUE,"AR1";#N/A,#N/A,TRUE,"AR2";#N/A,#N/A,TRUE,"RAF";#N/A,#N/A,TRUE,"BILAN";#N/A,#N/A,TRUE,"CASH FLOW";#N/A,#N/A,TRUE,"ETAT FI"}</definedName>
    <definedName name="ADV" hidden="1">{#N/A,#N/A,TRUE,"ANALYSE";#N/A,#N/A,TRUE,"PM VOLUME";#N/A,#N/A,TRUE,"PM VALEUR";#N/A,#N/A,TRUE,"AR1";#N/A,#N/A,TRUE,"AR2";#N/A,#N/A,TRUE,"RAF";#N/A,#N/A,TRUE,"BILAN";#N/A,#N/A,TRUE,"CASH FLOW";#N/A,#N/A,TRUE,"ETAT FI"}</definedName>
    <definedName name="ana" localSheetId="0" hidden="1">{#N/A,#N/A,TRUE,"EC COMM-t";#N/A,#N/A,TRUE,"EC PAR PDTS-t";#N/A,#N/A,TRUE,"EC MAT-t";#N/A,#N/A,TRUE,"SUIVI HAUSSES-t"}</definedName>
    <definedName name="ana" hidden="1">{#N/A,#N/A,TRUE,"EC COMM-t";#N/A,#N/A,TRUE,"EC PAR PDTS-t";#N/A,#N/A,TRUE,"EC MAT-t";#N/A,#N/A,TRUE,"SUIVI HAUSSES-t"}</definedName>
    <definedName name="anscount" hidden="1">1</definedName>
    <definedName name="ardqer" localSheetId="0" hidden="1">{"SPM1",#N/A,FALSE,"RIEP"}</definedName>
    <definedName name="ardqer" hidden="1">{"SPM1",#N/A,FALSE,"RIEP"}</definedName>
    <definedName name="ASD" localSheetId="0" hidden="1">{"QQQ",#N/A,FALSE,"RIEP"}</definedName>
    <definedName name="ASD" hidden="1">{"QQQ",#N/A,FALSE,"RIEP"}</definedName>
    <definedName name="ASDF" localSheetId="0" hidden="1">{#N/A,#N/A,FALSE,"RIEP"}</definedName>
    <definedName name="ASDF" hidden="1">{#N/A,#N/A,FALSE,"RIEP"}</definedName>
    <definedName name="asdfas" localSheetId="0" hidden="1">{#N/A,#N/A,FALSE,"RIEP"}</definedName>
    <definedName name="asdfas" hidden="1">{#N/A,#N/A,FALSE,"RIEP"}</definedName>
    <definedName name="aùsw" localSheetId="0" hidden="1">{"SPM1",#N/A,FALSE,"RIEP"}</definedName>
    <definedName name="aùsw" hidden="1">{"SPM1",#N/A,FALSE,"RIEP"}</definedName>
    <definedName name="bbbbb" localSheetId="0" hidden="1">{#N/A,#N/A,FALSE,"recap";#N/A,#N/A,FALSE,"matNeuf";#N/A,#N/A,FALSE,"matNdie";#N/A,#N/A,FALSE,"incNeuf";#N/A,#N/A,FALSE,"incNdie";#N/A,#N/A,FALSE,"volume";#N/A,#N/A,FALSE,"emballage";#N/A,#N/A,FALSE,"charge"}</definedName>
    <definedName name="bbbbb" hidden="1">{#N/A,#N/A,FALSE,"recap";#N/A,#N/A,FALSE,"matNeuf";#N/A,#N/A,FALSE,"matNdie";#N/A,#N/A,FALSE,"incNeuf";#N/A,#N/A,FALSE,"incNdie";#N/A,#N/A,FALSE,"volume";#N/A,#N/A,FALSE,"emballage";#N/A,#N/A,FALSE,"charge"}</definedName>
    <definedName name="bd">#REF!</definedName>
    <definedName name="bimes" localSheetId="0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bimes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bof">"ComboBox1"</definedName>
    <definedName name="byikbyuj" localSheetId="0" hidden="1">{"SPM1",#N/A,FALSE,"RIEP"}</definedName>
    <definedName name="byikbyuj" hidden="1">{"SPM1",#N/A,FALSE,"RIEP"}</definedName>
    <definedName name="byubtyuj" localSheetId="0" hidden="1">{"QQQ",#N/A,FALSE,"RIEP"}</definedName>
    <definedName name="byubtyuj" hidden="1">{"QQQ",#N/A,FALSE,"RIEP"}</definedName>
    <definedName name="byukkty" localSheetId="0" hidden="1">{#N/A,#N/A,FALSE,"RIEP"}</definedName>
    <definedName name="byukkty" hidden="1">{#N/A,#N/A,FALSE,"RIEP"}</definedName>
    <definedName name="byuku" localSheetId="0" hidden="1">{#N/A,#N/A,FALSE,"RIEP"}</definedName>
    <definedName name="byuku" hidden="1">{#N/A,#N/A,FALSE,"RIEP"}</definedName>
    <definedName name="č" localSheetId="0" hidden="1">{"'domaće količine'!$K$34:$P$47"}</definedName>
    <definedName name="č" hidden="1">{"'domaće količine'!$K$34:$P$47"}</definedName>
    <definedName name="cc" localSheetId="0" hidden="1">{#N/A,#N/A,FALSE,"RIEP"}</definedName>
    <definedName name="cc" hidden="1">{#N/A,#N/A,FALSE,"RIEP"}</definedName>
    <definedName name="ccc" localSheetId="0" hidden="1">{"SPM1",#N/A,FALSE,"RIEP"}</definedName>
    <definedName name="ccc" hidden="1">{"SPM1",#N/A,FALSE,"RIEP"}</definedName>
    <definedName name="cccc" localSheetId="0" hidden="1">{"SPM1",#N/A,FALSE,"RIEP"}</definedName>
    <definedName name="cccc" hidden="1">{"SPM1",#N/A,FALSE,"RIEP"}</definedName>
    <definedName name="CCSFDFRDF" localSheetId="0" hidden="1">{"SPM1",#N/A,FALSE,"RIEP"}</definedName>
    <definedName name="CCSFDFRDF" hidden="1">{"SPM1",#N/A,FALSE,"RIEP"}</definedName>
    <definedName name="cdf" localSheetId="0" hidden="1">{"SPM1",#N/A,FALSE,"RIEP"}</definedName>
    <definedName name="cdf" hidden="1">{"SPM1",#N/A,FALSE,"RIEP"}</definedName>
    <definedName name="CDVF" localSheetId="0" hidden="1">{"SPM1",#N/A,FALSE,"RIEP"}</definedName>
    <definedName name="CDVF" hidden="1">{"SPM1",#N/A,FALSE,"RIEP"}</definedName>
    <definedName name="copie" localSheetId="0" hidden="1">{#N/A,#N/A,TRUE,"ANALYSE";#N/A,#N/A,TRUE,"PM VOLUME";#N/A,#N/A,TRUE,"PM VALEUR";#N/A,#N/A,TRUE,"AR1";#N/A,#N/A,TRUE,"AR2";#N/A,#N/A,TRUE,"RAF";#N/A,#N/A,TRUE,"BILAN";#N/A,#N/A,TRUE,"CASH FLOW";#N/A,#N/A,TRUE,"ETAT FI"}</definedName>
    <definedName name="copie" hidden="1">{#N/A,#N/A,TRUE,"ANALYSE";#N/A,#N/A,TRUE,"PM VOLUME";#N/A,#N/A,TRUE,"PM VALEUR";#N/A,#N/A,TRUE,"AR1";#N/A,#N/A,TRUE,"AR2";#N/A,#N/A,TRUE,"RAF";#N/A,#N/A,TRUE,"BILAN";#N/A,#N/A,TRUE,"CASH FLOW";#N/A,#N/A,TRUE,"ETAT FI"}</definedName>
    <definedName name="D" localSheetId="0" hidden="1">{#N/A,#N/A,FALSE,"RIEP"}</definedName>
    <definedName name="D" hidden="1">{#N/A,#N/A,FALSE,"RIEP"}</definedName>
    <definedName name="DAFreofè0eirfh" localSheetId="0" hidden="1">{"SPM1",#N/A,FALSE,"RIEP"}</definedName>
    <definedName name="DAFreofè0eirfh" hidden="1">{"SPM1",#N/A,FALSE,"RIEP"}</definedName>
    <definedName name="dd">#REF!</definedName>
    <definedName name="DDD" localSheetId="0" hidden="1">{#N/A,#N/A,TRUE,"EC COMM-t";#N/A,#N/A,TRUE,"EC PAR PDTS-t";#N/A,#N/A,TRUE,"EC MAT-t";#N/A,#N/A,TRUE,"SUIVI HAUSSES-t"}</definedName>
    <definedName name="DDD" hidden="1">{#N/A,#N/A,TRUE,"EC COMM-t";#N/A,#N/A,TRUE,"EC PAR PDTS-t";#N/A,#N/A,TRUE,"EC MAT-t";#N/A,#N/A,TRUE,"SUIVI HAUSSES-t"}</definedName>
    <definedName name="DDDDD" localSheetId="0" hidden="1">{"SPM1",#N/A,FALSE,"RIEP"}</definedName>
    <definedName name="DDDDD" hidden="1">{"SPM1",#N/A,FALSE,"RIEP"}</definedName>
    <definedName name="ddddddd" localSheetId="0" hidden="1">{#N/A,#N/A,FALSE,"RIEP"}</definedName>
    <definedName name="ddddddd" hidden="1">{#N/A,#N/A,FALSE,"RIEP"}</definedName>
    <definedName name="ddjdjdj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djdjdj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fa" localSheetId="0" hidden="1">{"SPM1",#N/A,FALSE,"RIEP"}</definedName>
    <definedName name="dfa" hidden="1">{"SPM1",#N/A,FALSE,"RIEP"}</definedName>
    <definedName name="DFda" localSheetId="0" hidden="1">{#N/A,#N/A,FALSE,"RIEP"}</definedName>
    <definedName name="DFda" hidden="1">{#N/A,#N/A,FALSE,"RIEP"}</definedName>
    <definedName name="DFRSFG" localSheetId="0" hidden="1">{"SPM1",#N/A,FALSE,"RIEP"}</definedName>
    <definedName name="DFRSFG" hidden="1">{"SPM1",#N/A,FALSE,"RIEP"}</definedName>
    <definedName name="djdjdjd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jdjdjd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qdqdqd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qdqdqd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RAGAN" localSheetId="0" hidden="1">{"'domaće količine'!$K$34:$P$47"}</definedName>
    <definedName name="DRAGAN" hidden="1">{"'domaće količine'!$K$34:$P$47"}</definedName>
    <definedName name="draganć" localSheetId="0" hidden="1">{"'domaće količine'!$K$34:$P$47"}</definedName>
    <definedName name="draganć" hidden="1">{"'domaće količine'!$K$34:$P$47"}</definedName>
    <definedName name="DSFSDGFG" localSheetId="0" hidden="1">{"SPM1",#N/A,FALSE,"RIEP"}</definedName>
    <definedName name="DSFSDGFG" hidden="1">{"SPM1",#N/A,FALSE,"RIEP"}</definedName>
    <definedName name="dthrrr" localSheetId="0" hidden="1">{"SPM1",#N/A,FALSE,"RIEP"}</definedName>
    <definedName name="dthrrr" hidden="1">{"SPM1",#N/A,FALSE,"RIEP"}</definedName>
    <definedName name="ECA" localSheetId="0" hidden="1">{#N/A,#N/A,FALSE,"ANALYSE";#N/A,#N/A,FALSE,"PM VALEUR"}</definedName>
    <definedName name="ECA" hidden="1">{#N/A,#N/A,FALSE,"ANALYSE";#N/A,#N/A,FALSE,"PM VALEUR"}</definedName>
    <definedName name="ECARTBM" localSheetId="0" hidden="1">{"DETAIL",#N/A,FALSE,"REELBUDGET";"TOTAL",#N/A,FALSE,"REELBUDGET"}</definedName>
    <definedName name="ECARTBM" hidden="1">{"DETAIL",#N/A,FALSE,"REELBUDGET";"TOTAL",#N/A,FALSE,"REELBUDGET"}</definedName>
    <definedName name="eeeee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eee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erreerr" hidden="1">#REF!</definedName>
    <definedName name="efazefze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fazefz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hethrer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hethre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e" localSheetId="0" hidden="1">{"QQQ",#N/A,FALSE,"RIEP"}</definedName>
    <definedName name="ere" hidden="1">{"QQQ",#N/A,FALSE,"RIEP"}</definedName>
    <definedName name="ertetq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etq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etqe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etq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r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r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ssLatest">"JAN"</definedName>
    <definedName name="EssLatest_10">"JAN"</definedName>
    <definedName name="EssLatest_11">"JAN"</definedName>
    <definedName name="EssLatest_12">"JAN"</definedName>
    <definedName name="EssLatest_13">"JAN"</definedName>
    <definedName name="EssLatest_14">"JAN"</definedName>
    <definedName name="EssLatest_15">"JAN"</definedName>
    <definedName name="EssLatest_16">"JAN"</definedName>
    <definedName name="EssLatest_18">"JAN"</definedName>
    <definedName name="EssLatest_2">"JANN0"</definedName>
    <definedName name="EssLatest_20">"YTDMM01"</definedName>
    <definedName name="EssLatest_25">"YTDMM01"</definedName>
    <definedName name="EssLatest_26">"YTDMM01"</definedName>
    <definedName name="EssLatest_3">"JANN0"</definedName>
    <definedName name="EssLatest_38">"JAN"</definedName>
    <definedName name="EssLatest_39">"JAN"</definedName>
    <definedName name="EssLatest_4">"JANN0"</definedName>
    <definedName name="EssLatest_47">"JAN"</definedName>
    <definedName name="EssLatest_48">"JAN"</definedName>
    <definedName name="EssLatest_5">"JANN0"</definedName>
    <definedName name="EssLatest_6">"YTDMM01"</definedName>
    <definedName name="EssLatest_7">"YTDMM01"</definedName>
    <definedName name="EssLatest_8">"YTDMM01"</definedName>
    <definedName name="EssLatest_9">"JAN"</definedName>
    <definedName name="EssOptions_10">"A3000001100130001011001101020_01 00"</definedName>
    <definedName name="EssOptions_11">"A3000001100130001011001101020_01 00"</definedName>
    <definedName name="EssOptions_12">"A3000001100130001011001101020_01 00"</definedName>
    <definedName name="EssOptions_13">"A3000001100130001011001101020_01 00"</definedName>
    <definedName name="EssOptions_14">"A3000001100130001011001101020_01 00"</definedName>
    <definedName name="EssOptions_15">"A3000001100130001011001101020_01 00"</definedName>
    <definedName name="EssOptions_16">"A3000001100130001011001101020_01 00"</definedName>
    <definedName name="EssOptions_18">"A3000001100130001011001101020_01 00"</definedName>
    <definedName name="EssOptions_2">"A1100000010121000011001111120_01000"</definedName>
    <definedName name="EssOptions_20">"A3100000000110001011011111020_01000"</definedName>
    <definedName name="EssOptions_25">"A3100000000130000000011100020_01000"</definedName>
    <definedName name="EssOptions_26">"A3100000000110001011011111020_01000"</definedName>
    <definedName name="EssOptions_3">"A1100000010121000011001111120_01000"</definedName>
    <definedName name="EssOptions_38">"A1100000000131000011001101020_01000"</definedName>
    <definedName name="EssOptions_39">"A1100000000131000011001101020_01000"</definedName>
    <definedName name="EssOptions_4">"A1100000010121000011001111120_01000"</definedName>
    <definedName name="EssOptions_47">"A1100000000131000011001101020_01000"</definedName>
    <definedName name="EssOptions_48">"A1100000000131000011001101020_01000"</definedName>
    <definedName name="EssOptions_5">"A1100000010121000011001111120_01000"</definedName>
    <definedName name="EssOptions_6">"A3100000000110001011011111020_01000"</definedName>
    <definedName name="EssOptions_7">"A3100001100110001011011111020_01000"</definedName>
    <definedName name="EssOptions_8">"A3100000000110001011011111020_01000"</definedName>
    <definedName name="EssOptions_9">"A3000001100130001011001101020_01 00"</definedName>
    <definedName name="ESTEROPARAFF">#REF!</definedName>
    <definedName name="ESTEROPLAST">#REF!</definedName>
    <definedName name="ExactAddinConnection" hidden="1">"900"</definedName>
    <definedName name="ExactAddinConnection.900" hidden="1">"SRVSQLCZ;900;skubistova;1"</definedName>
    <definedName name="ExactAddinReports" hidden="1">1</definedName>
    <definedName name="EXCEL" localSheetId="0" hidden="1">{"'domaće količine'!$K$34:$P$47"}</definedName>
    <definedName name="EXCEL" hidden="1">{"'domaće količine'!$K$34:$P$47"}</definedName>
    <definedName name="ezfzef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z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azefzef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aze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DDSFDSGF" localSheetId="0" hidden="1">{#N/A,#N/A,FALSE,"RIEP"}</definedName>
    <definedName name="FDDSFDSGF" hidden="1">{#N/A,#N/A,FALSE,"RIEP"}</definedName>
    <definedName name="fdsdsgfsggd" localSheetId="0" hidden="1">{#N/A,#N/A,FALSE,"DIVISION";#N/A,#N/A,FALSE,"ED CAT";#N/A,#N/A,FALSE,"ED CAREL";#N/A,#N/A,FALSE,"ED JORT";#N/A,#N/A,FALSE,"ED VEYS";#N/A,#N/A,FALSE,"ED ORBEC";#N/A,#N/A,FALSE,"ED CLECY"}</definedName>
    <definedName name="fdsdsgfsggd" hidden="1">{#N/A,#N/A,FALSE,"DIVISION";#N/A,#N/A,FALSE,"ED CAT";#N/A,#N/A,FALSE,"ED CAREL";#N/A,#N/A,FALSE,"ED JORT";#N/A,#N/A,FALSE,"ED VEYS";#N/A,#N/A,FALSE,"ED ORBEC";#N/A,#N/A,FALSE,"ED CLECY"}</definedName>
    <definedName name="fdzfzefzef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dzfze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azefzaef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azefza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e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w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w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fff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ff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fffffffff" localSheetId="0" hidden="1">{"QQQ",#N/A,FALSE,"RIEP"}</definedName>
    <definedName name="ffffffffff" hidden="1">{"QQQ",#N/A,FALSE,"RIEP"}</definedName>
    <definedName name="fg" localSheetId="0" hidden="1">{#N/A,#N/A,FALSE,"RIEP"}</definedName>
    <definedName name="fg" hidden="1">{#N/A,#N/A,FALSE,"RIEP"}</definedName>
    <definedName name="fgffg" localSheetId="0" hidden="1">{#N/A,#N/A,FALSE,"RIEP"}</definedName>
    <definedName name="fgffg" hidden="1">{#N/A,#N/A,FALSE,"RIEP"}</definedName>
    <definedName name="FSDG" localSheetId="0" hidden="1">{#N/A,#N/A,FALSE,"RIEP"}</definedName>
    <definedName name="FSDG" hidden="1">{#N/A,#N/A,FALSE,"RIEP"}</definedName>
    <definedName name="fterearez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tereare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zfzfef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zfzf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BP">'[6]Nrj présentat°'!$AR$2</definedName>
    <definedName name="gegege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egeg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F" hidden="1">[7]ACTIVITE!#REF!</definedName>
    <definedName name="gfhkkmh" localSheetId="0" hidden="1">{#N/A,#N/A,FALSE,"RIEP"}</definedName>
    <definedName name="gfhkkmh" hidden="1">{#N/A,#N/A,FALSE,"RIEP"}</definedName>
    <definedName name="GG" hidden="1">[7]ACTIVITE!#REF!</definedName>
    <definedName name="GGGG" localSheetId="0" hidden="1">{"SPM1",#N/A,FALSE,"RIEP"}</definedName>
    <definedName name="GGGG" hidden="1">{"SPM1",#N/A,FALSE,"RIEP"}</definedName>
    <definedName name="ggggg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ggg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gggggggggg" localSheetId="0" hidden="1">{"QQQ",#N/A,FALSE,"RIEP"}</definedName>
    <definedName name="ggggggggggg" hidden="1">{"QQQ",#N/A,FALSE,"RIEP"}</definedName>
    <definedName name="GHJ" localSheetId="0" hidden="1">{"SPM1",#N/A,FALSE,"RIEP"}</definedName>
    <definedName name="GHJ" hidden="1">{"SPM1",#N/A,FALSE,"RIEP"}</definedName>
    <definedName name="gsdgsd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sdgsd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gtrg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gtr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ztrgr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ztrg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tzgz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tzg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g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g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rtrg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rtr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zg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zg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bhajx" localSheetId="0" hidden="1">{"SPM1",#N/A,FALSE,"RIEP"}</definedName>
    <definedName name="hbhajx" hidden="1">{"SPM1",#N/A,FALSE,"RIEP"}</definedName>
    <definedName name="hfderfPOURE" localSheetId="0" hidden="1">{#N/A,#N/A,FALSE,"RIEP"}</definedName>
    <definedName name="hfderfPOURE" hidden="1">{#N/A,#N/A,FALSE,"RIEP"}</definedName>
    <definedName name="hfhfth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fhft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g" localSheetId="0" hidden="1">{"QQQ",#N/A,FALSE,"RIEP"}</definedName>
    <definedName name="hg" hidden="1">{"QQQ",#N/A,FALSE,"RIEP"}</definedName>
    <definedName name="hhfxhxfh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hfxhxf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hhh" localSheetId="0" hidden="1">{"QQQ",#N/A,FALSE,"RIEP"}</definedName>
    <definedName name="hhhh" hidden="1">{"QQQ",#N/A,FALSE,"RIEP"}</definedName>
    <definedName name="hhhhhhh" localSheetId="0" hidden="1">{"SPM1",#N/A,FALSE,"RIEP"}</definedName>
    <definedName name="hhhhhhh" hidden="1">{"SPM1",#N/A,FALSE,"RIEP"}</definedName>
    <definedName name="HTML_CodePage" hidden="1">1250</definedName>
    <definedName name="HTML_Control" localSheetId="0" hidden="1">{"'domaće količine'!$K$34:$P$47"}</definedName>
    <definedName name="HTML_Control" hidden="1">{"'domaće količine'!$K$34:$P$47"}</definedName>
    <definedName name="HTML_Description" hidden="1">""</definedName>
    <definedName name="HTML_Email" hidden="1">""</definedName>
    <definedName name="HTML_Header" hidden="1">"domaće količine"</definedName>
    <definedName name="HTML_LastUpdate" hidden="1">"27.03.2001"</definedName>
    <definedName name="HTML_LineAfter" hidden="1">FALSE</definedName>
    <definedName name="HTML_LineBefore" hidden="1">FALSE</definedName>
    <definedName name="HTML_Name" hidden="1">"Informatika"</definedName>
    <definedName name="HTML_OBDlg2" hidden="1">TRUE</definedName>
    <definedName name="HTML_OBDlg4" hidden="1">TRUE</definedName>
    <definedName name="HTML_OS" hidden="1">0</definedName>
    <definedName name="HTML_PathFile" hidden="1">"C:\My Documents\MyHTML.htm"</definedName>
    <definedName name="HTML_Title" hidden="1">"Moja PRODAJA  II VELJAČA '2001"</definedName>
    <definedName name="hzthzhr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zthzh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ii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ii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RI_WorkspaceId" hidden="1">"bc7b7ef8a7ba454b9c6b30466fcd76e0"</definedName>
    <definedName name="ITAPLASPIC">#REF!</definedName>
    <definedName name="IZVQ01" localSheetId="0" hidden="1">{"'domaće količine'!$K$34:$P$47"}</definedName>
    <definedName name="IZVQ01" hidden="1">{"'domaće količine'!$K$34:$P$47"}</definedName>
    <definedName name="j" localSheetId="0" hidden="1">{"SPM1",#N/A,FALSE,"RIEP"}</definedName>
    <definedName name="j" hidden="1">{"SPM1",#N/A,FALSE,"RIEP"}</definedName>
    <definedName name="jcjfjfjjf" localSheetId="0" hidden="1">{#N/A,#N/A,FALSE,"RIEP"}</definedName>
    <definedName name="jcjfjfjjf" hidden="1">{#N/A,#N/A,FALSE,"RIEP"}</definedName>
    <definedName name="jdjdjdj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jdjdjdj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jej" localSheetId="0" hidden="1">{#N/A,#N/A,TRUE,"EC COMM-t";#N/A,#N/A,TRUE,"EC PAR PDTS-t";#N/A,#N/A,TRUE,"EC MAT-t";#N/A,#N/A,TRUE,"SUIVI HAUSSES-t"}</definedName>
    <definedName name="jej" hidden="1">{#N/A,#N/A,TRUE,"EC COMM-t";#N/A,#N/A,TRUE,"EC PAR PDTS-t";#N/A,#N/A,TRUE,"EC MAT-t";#N/A,#N/A,TRUE,"SUIVI HAUSSES-t"}</definedName>
    <definedName name="jjfhfh" localSheetId="0" hidden="1">{"QQQ",#N/A,FALSE,"RIEP"}</definedName>
    <definedName name="jjfhfh" hidden="1">{"QQQ",#N/A,FALSE,"RIEP"}</definedName>
    <definedName name="jjj" localSheetId="0" hidden="1">{"SPM1",#N/A,FALSE,"RIEP"}</definedName>
    <definedName name="jjj" hidden="1">{"SPM1",#N/A,FALSE,"RIEP"}</definedName>
    <definedName name="jjjjj" localSheetId="0" hidden="1">{"SPM1",#N/A,FALSE,"RIEP"}</definedName>
    <definedName name="jjjjj" hidden="1">{"SPM1",#N/A,FALSE,"RIEP"}</definedName>
    <definedName name="kfkfkfk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fkfkf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fkfkfkfkkf" localSheetId="0" hidden="1">{#N/A,#N/A,FALSE,"RIEP"}</definedName>
    <definedName name="kfkfkfkfkkf" hidden="1">{#N/A,#N/A,FALSE,"RIEP"}</definedName>
    <definedName name="khkhkhk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hkhkh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hkk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hk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irirtir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irirti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jfsoyiupo6rhtgz" localSheetId="0" hidden="1">{#N/A,#N/A,FALSE,"RIEP"}</definedName>
    <definedName name="kjfsoyiupo6rhtgz" hidden="1">{#N/A,#N/A,FALSE,"RIEP"}</definedName>
    <definedName name="kjhjhkjh" localSheetId="0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kjhjhkjh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kk" localSheetId="0" hidden="1">{#N/A,#N/A,FALSE,"RIEP"}</definedName>
    <definedName name="kk" hidden="1">{#N/A,#N/A,FALSE,"RIEP"}</definedName>
    <definedName name="kkkkk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kkk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LLL" localSheetId="0" hidden="1">{"QQQ",#N/A,FALSE,"RIEP"}</definedName>
    <definedName name="LLL" hidden="1">{"QQQ",#N/A,FALSE,"RIEP"}</definedName>
    <definedName name="m" localSheetId="0" hidden="1">{"'domaće količine'!$K$34:$P$47"}</definedName>
    <definedName name="m" hidden="1">{"'domaće količine'!$K$34:$P$47"}</definedName>
    <definedName name="MARTESANA">#REF!</definedName>
    <definedName name="minnii" localSheetId="0" hidden="1">{"SPM1",#N/A,FALSE,"RIEP"}</definedName>
    <definedName name="minnii" hidden="1">{"SPM1",#N/A,FALSE,"RIEP"}</definedName>
    <definedName name="MOIS">[8]Grille!$B$3:$C$14</definedName>
    <definedName name="Month_No.">7</definedName>
    <definedName name="nico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ico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1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ñ" hidden="1">#REF!</definedName>
    <definedName name="ño" localSheetId="0" hidden="1">{"SPM1",#N/A,FALSE,"RIEP"}</definedName>
    <definedName name="ño" hidden="1">{"SPM1",#N/A,FALSE,"RIEP"}</definedName>
    <definedName name="ODRŽ." localSheetId="0" hidden="1">{"'domaće količine'!$K$34:$P$47"}</definedName>
    <definedName name="ODRŽ." hidden="1">{"'domaće količine'!$K$34:$P$47"}</definedName>
    <definedName name="òflfgfppfpf" localSheetId="0" hidden="1">{"SPM1",#N/A,FALSE,"RIEP"}</definedName>
    <definedName name="òflfgfppfpf" hidden="1">{"SPM1",#N/A,FALSE,"RIEP"}</definedName>
    <definedName name="OIOIIUIUG" localSheetId="0" hidden="1">{"SPM1",#N/A,FALSE,"RIEP"}</definedName>
    <definedName name="OIOIIUIUG" hidden="1">{"SPM1",#N/A,FALSE,"RIEP"}</definedName>
    <definedName name="ooo" localSheetId="0" hidden="1">{"QQQ",#N/A,FALSE,"RIEP"}</definedName>
    <definedName name="ooo" hidden="1">{"QQQ",#N/A,FALSE,"RIEP"}</definedName>
    <definedName name="oooooo" localSheetId="0" hidden="1">{#N/A,#N/A,FALSE,"RIEP"}</definedName>
    <definedName name="oooooo" hidden="1">{#N/A,#N/A,FALSE,"RIEP"}</definedName>
    <definedName name="P_HostName">#REF!</definedName>
    <definedName name="P_ServerName">#REF!</definedName>
    <definedName name="pippo" localSheetId="0" hidden="1">{#N/A,#N/A,FALSE,"RIEP"}</definedName>
    <definedName name="pippo" hidden="1">{#N/A,#N/A,FALSE,"RIEP"}</definedName>
    <definedName name="pluto" localSheetId="0" hidden="1">{"SPM1",#N/A,FALSE,"RIEP"}</definedName>
    <definedName name="pluto" hidden="1">{"SPM1",#N/A,FALSE,"RIEP"}</definedName>
    <definedName name="PO" localSheetId="0" hidden="1">{"QQQ",#N/A,FALSE,"RIEP"}</definedName>
    <definedName name="PO" hidden="1">{"QQQ",#N/A,FALSE,"RIEP"}</definedName>
    <definedName name="poùH" localSheetId="0" hidden="1">{#N/A,#N/A,FALSE,"RIEP"}</definedName>
    <definedName name="poùH" hidden="1">{#N/A,#N/A,FALSE,"RIEP"}</definedName>
    <definedName name="ppp" localSheetId="0" hidden="1">{"QQQ",#N/A,FALSE,"RIEP"}</definedName>
    <definedName name="ppp" hidden="1">{"QQQ",#N/A,FALSE,"RIEP"}</definedName>
    <definedName name="PROD." localSheetId="0" hidden="1">{"'domaće količine'!$K$34:$P$47"}</definedName>
    <definedName name="PROD." hidden="1">{"'domaće količine'!$K$34:$P$47"}</definedName>
    <definedName name="prw" localSheetId="0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prw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QQQQQQQQQQQQ" localSheetId="0" hidden="1">{#N/A,#N/A,FALSE,"RIEP"}</definedName>
    <definedName name="QQQQQQQQQQQQ" hidden="1">{#N/A,#N/A,FALSE,"RIEP"}</definedName>
    <definedName name="qw" localSheetId="0" hidden="1">{#N/A,#N/A,FALSE,"RIEP"}</definedName>
    <definedName name="qw" hidden="1">{#N/A,#N/A,FALSE,"RIEP"}</definedName>
    <definedName name="reter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ete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geegeqg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geegeq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rrrrr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rrrr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eqtq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eqtq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gtgrzg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gtgrz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herrh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herr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q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q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sa" hidden="1">#REF!</definedName>
    <definedName name="SAPBEXrevision" hidden="1">3</definedName>
    <definedName name="SAPBEXsysID" hidden="1">"BPP"</definedName>
    <definedName name="SAPBEXwbID" hidden="1">"4GNIIN8XAB6OYSDJFHQ7XQLUA"</definedName>
    <definedName name="sd" localSheetId="0" hidden="1">{"SPM1",#N/A,FALSE,"RIEP"}</definedName>
    <definedName name="sd" hidden="1">{"SPM1",#N/A,FALSE,"RIEP"}</definedName>
    <definedName name="SDFDSJF" localSheetId="0" hidden="1">{#N/A,#N/A,FALSE,"RIEP"}</definedName>
    <definedName name="SDFDSJF" hidden="1">{#N/A,#N/A,FALSE,"RIEP"}</definedName>
    <definedName name="sdsd" localSheetId="0" hidden="1">{"SPM1",#N/A,FALSE,"RIEP"}</definedName>
    <definedName name="sdsd" hidden="1">{"SPM1",#N/A,FALSE,"RIEP"}</definedName>
    <definedName name="SEDSDS" localSheetId="0" hidden="1">{#N/A,#N/A,FALSE,"RIEP"}</definedName>
    <definedName name="SEDSDS" hidden="1">{#N/A,#N/A,FALSE,"RIEP"}</definedName>
    <definedName name="sencount" hidden="1">1</definedName>
    <definedName name="SSSADADSF" localSheetId="0" hidden="1">{"SPM1",#N/A,FALSE,"RIEP"}</definedName>
    <definedName name="SSSADADSF" hidden="1">{"SPM1",#N/A,FALSE,"RIEP"}</definedName>
    <definedName name="ssss" hidden="1">#REF!</definedName>
    <definedName name="sssssss" localSheetId="0" hidden="1">{#N/A,#N/A,FALSE,"RIEP"}</definedName>
    <definedName name="sssssss" hidden="1">{#N/A,#N/A,FALSE,"RIEP"}</definedName>
    <definedName name="ssssssssssssssssssssssssss" localSheetId="0" hidden="1">{"QQQ",#N/A,FALSE,"RIEP"}</definedName>
    <definedName name="ssssssssssssssssssssssssss" hidden="1">{"QQQ",#N/A,FALSE,"RIEP"}</definedName>
    <definedName name="stsrhs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stsrhs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Sweden" localSheetId="0" hidden="1">{#N/A,#N/A,FALSE,"RIEP"}</definedName>
    <definedName name="Sweden" hidden="1">{#N/A,#N/A,FALSE,"RIEP"}</definedName>
    <definedName name="t" localSheetId="0" hidden="1">{"QQQ",#N/A,FALSE,"RIEP"}</definedName>
    <definedName name="t" hidden="1">{"QQQ",#N/A,FALSE,"RIEP"}</definedName>
    <definedName name="T04CC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04CC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79oto97t" localSheetId="0" hidden="1">{#N/A,#N/A,FALSE,"RIEP"}</definedName>
    <definedName name="t79oto97t" hidden="1">{#N/A,#N/A,FALSE,"RIEP"}</definedName>
    <definedName name="t7u74u" localSheetId="0" hidden="1">{"QQQ",#N/A,FALSE,"RIEP"}</definedName>
    <definedName name="t7u74u" hidden="1">{"QQQ",#N/A,FALSE,"RIEP"}</definedName>
    <definedName name="t7u75" localSheetId="0" hidden="1">{"SPM1",#N/A,FALSE,"RIEP"}</definedName>
    <definedName name="t7u75" hidden="1">{"SPM1",#N/A,FALSE,"RIEP"}</definedName>
    <definedName name="t7ur7u" localSheetId="0" hidden="1">{#N/A,#N/A,FALSE,"RIEP"}</definedName>
    <definedName name="t7ur7u" hidden="1">{#N/A,#N/A,FALSE,"RIEP"}</definedName>
    <definedName name="tgfcvds" localSheetId="0" hidden="1">{#N/A,#N/A,FALSE,"RIEP"}</definedName>
    <definedName name="tgfcvds" hidden="1">{#N/A,#N/A,FALSE,"RIEP"}</definedName>
    <definedName name="tgrgg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grg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gzgtgrrz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gzgtgrr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ertherth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erthert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zsrhrzhtz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zsrhrzht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ikl679o679o" localSheetId="0" hidden="1">{#N/A,#N/A,FALSE,"RIEP"}</definedName>
    <definedName name="tikl679o679o" hidden="1">{#N/A,#N/A,FALSE,"RIEP"}</definedName>
    <definedName name="TM1REBUILDOPTION">0</definedName>
    <definedName name="toma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oma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rjk5i57" localSheetId="0" hidden="1">{"SPM1",#N/A,FALSE,"RIEP"}</definedName>
    <definedName name="trjk5i57" hidden="1">{"SPM1",#N/A,FALSE,"RIEP"}</definedName>
    <definedName name="t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yiltu9ol" localSheetId="0" hidden="1">{"QQQ",#N/A,FALSE,"RIEP"}</definedName>
    <definedName name="tyiltu9ol" hidden="1">{"QQQ",#N/A,FALSE,"RIEP"}</definedName>
    <definedName name="ugkj" localSheetId="0" hidden="1">{"QQQ",#N/A,FALSE,"RIEP"}</definedName>
    <definedName name="ugkj" hidden="1">{"QQQ",#N/A,FALSE,"RIEP"}</definedName>
    <definedName name="ukkkk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kkk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SD">'[6]Nrj présentat°'!$AR$3</definedName>
    <definedName name="uttkjg" localSheetId="0" hidden="1">{"QQQ",#N/A,FALSE,"RIEP"}</definedName>
    <definedName name="uttkjg" hidden="1">{"QQQ",#N/A,FALSE,"RIEP"}</definedName>
    <definedName name="uuuu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uuu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uuuuu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uuuuu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v6uyjyu" localSheetId="0" hidden="1">{#N/A,#N/A,FALSE,"RIEP"}</definedName>
    <definedName name="v6uyjyu" hidden="1">{#N/A,#N/A,FALSE,"RIEP"}</definedName>
    <definedName name="vcbbxb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vcbbxb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vvvv" localSheetId="0" hidden="1">{"QQQ",#N/A,FALSE,"RIEP"}</definedName>
    <definedName name="vvvv" hidden="1">{"QQQ",#N/A,FALSE,"RIEP"}</definedName>
    <definedName name="vvvvbbbb" localSheetId="0" hidden="1">{#N/A,#N/A,FALSE,"RIEP"}</definedName>
    <definedName name="vvvvbbbb" hidden="1">{#N/A,#N/A,FALSE,"RIEP"}</definedName>
    <definedName name="vvvvvv" localSheetId="0" hidden="1">{#N/A,#N/A,FALSE,"RIEP"}</definedName>
    <definedName name="vvvvvv" hidden="1">{#N/A,#N/A,FALSE,"RIEP"}</definedName>
    <definedName name="vvvvvvvv" localSheetId="0" hidden="1">{"SPM1",#N/A,FALSE,"RIEP"}</definedName>
    <definedName name="vvvvvvvv" hidden="1">{"SPM1",#N/A,FALSE,"RIEP"}</definedName>
    <definedName name="w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e" localSheetId="0" hidden="1">{"SPM1",#N/A,FALSE,"RIEP"}</definedName>
    <definedName name="we" hidden="1">{"SPM1",#N/A,FALSE,"RIEP"}</definedName>
    <definedName name="wer" localSheetId="0" hidden="1">{#N/A,#N/A,FALSE,"ANALYSE";#N/A,#N/A,FALSE,"PM VALEUR"}</definedName>
    <definedName name="wer" hidden="1">{#N/A,#N/A,FALSE,"ANALYSE";#N/A,#N/A,FALSE,"PM VALEUR"}</definedName>
    <definedName name="wetrwrt" localSheetId="0" hidden="1">{"QQQ",#N/A,FALSE,"RIEP"}</definedName>
    <definedName name="wetrwrt" hidden="1">{"QQQ",#N/A,FALSE,"RIEP"}</definedName>
    <definedName name="wewe" localSheetId="0" hidden="1">{"SPM1",#N/A,FALSE,"RIEP"}</definedName>
    <definedName name="wewe" hidden="1">{"SPM1",#N/A,FALSE,"RIEP"}</definedName>
    <definedName name="wrn.CCC." localSheetId="0" hidden="1">{"QQQ",#N/A,FALSE,"RIEP"}</definedName>
    <definedName name="wrn.CCC." hidden="1">{"QQQ",#N/A,FALSE,"RIEP"}</definedName>
    <definedName name="wrn.Charges." localSheetId="0" hidden="1">{"Analyse charges",#N/A,FALSE,"Feuil1 (2)"}</definedName>
    <definedName name="wrn.Charges." hidden="1">{"Analyse charges",#N/A,FALSE,"Feuil1 (2)"}</definedName>
    <definedName name="wrn.Charges._.Clécy." localSheetId="0" hidden="1">{#N/A,#N/A,FALSE,"Evol98";#N/A,#N/A,FALSE,"Saisie98"}</definedName>
    <definedName name="wrn.Charges._.Clécy." hidden="1">{#N/A,#N/A,FALSE,"Evol98";#N/A,#N/A,FALSE,"Saisie98"}</definedName>
    <definedName name="wrn.CLECY." localSheetId="0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wrn.CLECY.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wrn.CNQGLOBAL." localSheetId="0" hidden="1">{#N/A,#N/A,FALSE,"RODEZ";#N/A,#N/A,FALSE,"BLEU CAUSSES";#N/A,#N/A,FALSE,"BLOC PAST";#N/A,#N/A,FALSE,"PENA";#N/A,#N/A,FALSE,"BUCHES";"RONDELEBASE",#N/A,FALSE,"RONDELE";"LONS",#N/A,FALSE,"RONDELE";#N/A,#N/A,FALSE,"UHT";#N/A,#N/A,FALSE,"POUDRE LAIT";#N/A,#N/A,FALSE,"POUDRE SER"}</definedName>
    <definedName name="wrn.CNQGLOBAL." hidden="1">{#N/A,#N/A,FALSE,"RODEZ";#N/A,#N/A,FALSE,"BLEU CAUSSES";#N/A,#N/A,FALSE,"BLOC PAST";#N/A,#N/A,FALSE,"PENA";#N/A,#N/A,FALSE,"BUCHES";"RONDELEBASE",#N/A,FALSE,"RONDELE";"LONS",#N/A,FALSE,"RONDELE";#N/A,#N/A,FALSE,"UHT";#N/A,#N/A,FALSE,"POUDRE LAIT";#N/A,#N/A,FALSE,"POUDRE SER"}</definedName>
    <definedName name="wrn.COMMENTAIRES." localSheetId="0" hidden="1">{#N/A,#N/A,FALSE,"EC COMM-c";#N/A,#N/A,FALSE,"EC PAR PDTS-c";#N/A,#N/A,FALSE,"EC MAT-c";#N/A,#N/A,FALSE,"SUIVI HAUSSES-c"}</definedName>
    <definedName name="wrn.COMMENTAIRES." hidden="1">{#N/A,#N/A,FALSE,"EC COMM-c";#N/A,#N/A,FALSE,"EC PAR PDTS-c";#N/A,#N/A,FALSE,"EC MAT-c";#N/A,#N/A,FALSE,"SUIVI HAUSSES-c"}</definedName>
    <definedName name="wrn.Complet." localSheetId="0" hidden="1">{"fr_collecte",#N/A,FALSE,"Fr_SA";"Fr_holding",#N/A,FALSE,"Fr_SA";"Frais_from",#N/A,FALSE,"Frs";"Couverture",#N/A,FALSE,"Frs";"Activité",#N/A,FALSE,"Act";"Act_commentaires",#N/A,FALSE,"Act";"Eff_personnel",#N/A,FALSE,"Eff";"Rendement",#N/A,FALSE,"Rdt";"Péreq",#N/A,FALSE,"Péreq";"récapit_mat",#N/A,FALSE,"récap_matière";#N/A,#N/A,FALSE,"Pci";"Ing_ingrédients",#N/A,FALSE,"Ing";"pci_évolution",#N/A,FALSE,"Pci";"pci_CA",#N/A,FALSE,"Pci";"pci_amélioration",#N/A,FALSE,"Pci";"SIG_Vercel",#N/A,FALSE,"Pci";"SIG_Philipona",#N/A,FALSE,"Pci"}</definedName>
    <definedName name="wrn.Complet." hidden="1">{"fr_collecte",#N/A,FALSE,"Fr_SA";"Fr_holding",#N/A,FALSE,"Fr_SA";"Frais_from",#N/A,FALSE,"Frs";"Couverture",#N/A,FALSE,"Frs";"Activité",#N/A,FALSE,"Act";"Act_commentaires",#N/A,FALSE,"Act";"Eff_personnel",#N/A,FALSE,"Eff";"Rendement",#N/A,FALSE,"Rdt";"Péreq",#N/A,FALSE,"Péreq";"récapit_mat",#N/A,FALSE,"récap_matière";#N/A,#N/A,FALSE,"Pci";"Ing_ingrédients",#N/A,FALSE,"Ing";"pci_évolution",#N/A,FALSE,"Pci";"pci_CA",#N/A,FALSE,"Pci";"pci_amélioration",#N/A,FALSE,"Pci";"SIG_Vercel",#N/A,FALSE,"Pci";"SIG_Philipona",#N/A,FALSE,"Pci"}</definedName>
    <definedName name="wrn.CUMUL." localSheetId="0" hidden="1">{#N/A,#N/A,FALSE,"recap";#N/A,#N/A,FALSE,"matNeuf";#N/A,#N/A,FALSE,"matNdie";#N/A,#N/A,FALSE,"incNeuf";#N/A,#N/A,FALSE,"incNdie";#N/A,#N/A,FALSE,"volume";#N/A,#N/A,FALSE,"emballage";#N/A,#N/A,FALSE,"charge"}</definedName>
    <definedName name="wrn.CUMUL." hidden="1">{#N/A,#N/A,FALSE,"recap";#N/A,#N/A,FALSE,"matNeuf";#N/A,#N/A,FALSE,"matNdie";#N/A,#N/A,FALSE,"incNeuf";#N/A,#N/A,FALSE,"incNdie";#N/A,#N/A,FALSE,"volume";#N/A,#N/A,FALSE,"emballage";#N/A,#N/A,FALSE,"charge"}</definedName>
    <definedName name="wrn.EDITION." localSheetId="0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wrn.EDITION.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wrn.ex." localSheetId="0" hidden="1">{#N/A,#N/A,FALSE,"ANALYSE";#N/A,#N/A,FALSE,"PM VALEUR"}</definedName>
    <definedName name="wrn.ex." hidden="1">{#N/A,#N/A,FALSE,"ANALYSE";#N/A,#N/A,FALSE,"PM VALEUR"}</definedName>
    <definedName name="wrn.Impression._.totale." localSheetId="0" hidden="1">{"Analyse charges",#N/A,FALSE,"Feuil1 (2)";"Ratios activités",#N/A,FALSE,"Feuil1 (2)";"Indicateurs",#N/A,FALSE,"Feuil1 (2)"}</definedName>
    <definedName name="wrn.Impression._.totale." hidden="1">{"Analyse charges",#N/A,FALSE,"Feuil1 (2)";"Ratios activités",#N/A,FALSE,"Feuil1 (2)";"Indicateurs",#N/A,FALSE,"Feuil1 (2)"}</definedName>
    <definedName name="wrn.Indicateurs." localSheetId="0" hidden="1">{"Indicateurs",#N/A,FALSE,"Feuil1 (2)"}</definedName>
    <definedName name="wrn.Indicateurs." hidden="1">{"Indicateurs",#N/A,FALSE,"Feuil1 (2)"}</definedName>
    <definedName name="wrn.MENSUEL." localSheetId="0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wrn.MENSUEL.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wrn.MOYENNE." localSheetId="0" hidden="1">{#N/A,#N/A,FALSE,"recap";#N/A,#N/A,FALSE,"matNeuf";#N/A,#N/A,FALSE,"matNdie";#N/A,#N/A,FALSE,"incNeuf";#N/A,#N/A,FALSE,"incNdie";#N/A,#N/A,FALSE,"volume";#N/A,#N/A,FALSE,"emballage";#N/A,#N/A,FALSE,"charge"}</definedName>
    <definedName name="wrn.MOYENNE." hidden="1">{#N/A,#N/A,FALSE,"recap";#N/A,#N/A,FALSE,"matNeuf";#N/A,#N/A,FALSE,"matNdie";#N/A,#N/A,FALSE,"incNeuf";#N/A,#N/A,FALSE,"incNdie";#N/A,#N/A,FALSE,"volume";#N/A,#N/A,FALSE,"emballage";#N/A,#N/A,FALSE,"charge"}</definedName>
    <definedName name="wrn.novgl.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rn.novgl.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rn.Ratios." localSheetId="0" hidden="1">{"Ratios activités",#N/A,FALSE,"Feuil1 (2)"}</definedName>
    <definedName name="wrn.Ratios." hidden="1">{"Ratios activités",#N/A,FALSE,"Feuil1 (2)"}</definedName>
    <definedName name="wrn.REELBUD." localSheetId="0" hidden="1">{"DETAIL",#N/A,FALSE,"REELBUDGET";"TOTAL",#N/A,FALSE,"REELBUDGET"}</definedName>
    <definedName name="wrn.REELBUD." hidden="1">{"DETAIL",#N/A,FALSE,"REELBUDGET";"TOTAL",#N/A,FALSE,"REELBUDGET"}</definedName>
    <definedName name="wrn.Résultat." localSheetId="0" hidden="1">{"Struct",#N/A,FALSE,"Récap Struct";"Struct",#N/A,FALSE,"Récap Struct";"Chges Total",#N/A,FALSE,"Chges Récap";"Chges Détail",#N/A,FALSE,"Chges Récap";"Struct",#N/A,FALSE,"Récap Struct";"Chges Total",#N/A,FALSE,"Chges Récap";"Chges Détail",#N/A,FALSE,"Chges Récap";"Détail",#N/A,FALSE,"Chges Détail"}</definedName>
    <definedName name="wrn.Résultat." hidden="1">{"Struct",#N/A,FALSE,"Récap Struct";"Struct",#N/A,FALSE,"Récap Struct";"Chges Total",#N/A,FALSE,"Chges Récap";"Chges Détail",#N/A,FALSE,"Chges Récap";"Struct",#N/A,FALSE,"Récap Struct";"Chges Total",#N/A,FALSE,"Chges Récap";"Chges Détail",#N/A,FALSE,"Chges Récap";"Détail",#N/A,FALSE,"Chges Détail"}</definedName>
    <definedName name="wrn.SPA1." localSheetId="0" hidden="1">{#N/A,#N/A,FALSE,"RIEP"}</definedName>
    <definedName name="wrn.SPA1." hidden="1">{#N/A,#N/A,FALSE,"RIEP"}</definedName>
    <definedName name="wrn.SPM1." localSheetId="0" hidden="1">{"SPM1",#N/A,FALSE,"RIEP"}</definedName>
    <definedName name="wrn.SPM1." hidden="1">{"SPM1",#N/A,FALSE,"RIEP"}</definedName>
    <definedName name="wrn.SYNTHESE." localSheetId="0" hidden="1">{#N/A,#N/A,TRUE,"ANALYSE";#N/A,#N/A,TRUE,"PM VOLUME";#N/A,#N/A,TRUE,"PM VALEUR";#N/A,#N/A,TRUE,"AR1";#N/A,#N/A,TRUE,"AR2";#N/A,#N/A,TRUE,"RAF";#N/A,#N/A,TRUE,"BILAN";#N/A,#N/A,TRUE,"CASH FLOW";#N/A,#N/A,TRUE,"ETAT FI"}</definedName>
    <definedName name="wrn.SYNTHESE." hidden="1">{#N/A,#N/A,TRUE,"ANALYSE";#N/A,#N/A,TRUE,"PM VOLUME";#N/A,#N/A,TRUE,"PM VALEUR";#N/A,#N/A,TRUE,"AR1";#N/A,#N/A,TRUE,"AR2";#N/A,#N/A,TRUE,"RAF";#N/A,#N/A,TRUE,"BILAN";#N/A,#N/A,TRUE,"CASH FLOW";#N/A,#N/A,TRUE,"ETAT FI"}</definedName>
    <definedName name="wrn.TABLEAUX." localSheetId="0" hidden="1">{#N/A,#N/A,TRUE,"EC COMM-t";#N/A,#N/A,TRUE,"EC PAR PDTS-t";#N/A,#N/A,TRUE,"EC MAT-t";#N/A,#N/A,TRUE,"SUIVI HAUSSES-t"}</definedName>
    <definedName name="wrn.TABLEAUX." hidden="1">{#N/A,#N/A,TRUE,"EC COMM-t";#N/A,#N/A,TRUE,"EC PAR PDTS-t";#N/A,#N/A,TRUE,"EC MAT-t";#N/A,#N/A,TRUE,"SUIVI HAUSSES-t"}</definedName>
    <definedName name="wrn1.CCC." localSheetId="0" hidden="1">{"QQQ",#N/A,FALSE,"RIEP"}</definedName>
    <definedName name="wrn1.CCC." hidden="1">{"QQQ",#N/A,FALSE,"RIEP"}</definedName>
    <definedName name="wwww" localSheetId="0" hidden="1">{#N/A,#N/A,FALSE,"RIEP"}</definedName>
    <definedName name="wwww" hidden="1">{#N/A,#N/A,FALSE,"RIEP"}</definedName>
    <definedName name="wwwwww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wwwww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wwwwwwwwwww" localSheetId="0" hidden="1">{"QQQ",#N/A,FALSE,"RIEP"}</definedName>
    <definedName name="wwwwwwwwwwww" hidden="1">{"QQQ",#N/A,FALSE,"RIEP"}</definedName>
    <definedName name="ybukkbyitkituk" localSheetId="0" hidden="1">{#N/A,#N/A,FALSE,"RIEP"}</definedName>
    <definedName name="ybukkbyitkituk" hidden="1">{#N/A,#N/A,FALSE,"RIEP"}</definedName>
    <definedName name="yertyyyy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ert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eyyyy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e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rnukuilky8u" localSheetId="0" hidden="1">{"QQQ",#N/A,FALSE,"RIEP"}</definedName>
    <definedName name="yrnukuilky8u" hidden="1">{"QQQ",#N/A,FALSE,"RIEP"}</definedName>
    <definedName name="YY" localSheetId="0" hidden="1">{#N/A,#N/A,FALSE,"RIEP"}</definedName>
    <definedName name="YY" hidden="1">{#N/A,#N/A,FALSE,"RIEP"}</definedName>
    <definedName name="yyqeyqy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qeyq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y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aefze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aefz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erfzef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er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gtrgzg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gtrgzg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" hidden="1">#REF!</definedName>
    <definedName name="zzfzafz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fzaf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" hidden="1">#REF!</definedName>
    <definedName name="zzzzz" hidden="1">#REF!</definedName>
    <definedName name="zzzzzz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z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zzzz" localSheetId="0" hidden="1">{#N/A,#N/A,FALSE,"RIEP"}</definedName>
    <definedName name="zzzzzzzzzz" hidden="1">{#N/A,#N/A,FALSE,"RIEP"}</definedName>
    <definedName name="zzzzzzzzzzzzz" localSheetId="0" hidden="1">{#N/A,#N/A,FALSE,"RIEP"}</definedName>
    <definedName name="zzzzzzzzzzzzz" hidden="1">{#N/A,#N/A,FALSE,"RIEP"}</definedName>
    <definedName name="zzzzzzzzzzzzzz" localSheetId="0" hidden="1">{"QQQ",#N/A,FALSE,"RIEP"}</definedName>
    <definedName name="zzzzzzzzzzzzzz" hidden="1">{"QQQ",#N/A,FALSE,"RIEP"}</definedName>
    <definedName name="zzzzzzzzzzzzzzzzzz" localSheetId="0" hidden="1">{"QQQ",#N/A,FALSE,"RIEP"}</definedName>
    <definedName name="zzzzzzzzzzzzzzzzzz" hidden="1">{"QQQ",#N/A,FALSE,"RIEP"}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5" i="21" l="1"/>
  <c r="E15" i="21"/>
  <c r="C15" i="21"/>
  <c r="D15" i="21"/>
  <c r="F8" i="21"/>
  <c r="E8" i="21"/>
  <c r="C8" i="21"/>
  <c r="F7" i="21"/>
  <c r="E7" i="21"/>
  <c r="C7" i="21"/>
  <c r="F6" i="21"/>
  <c r="E6" i="21"/>
  <c r="C6" i="21"/>
  <c r="D8" i="21"/>
  <c r="D7" i="21"/>
  <c r="D6" i="21"/>
  <c r="D16" i="21" l="1"/>
  <c r="C16" i="21"/>
  <c r="C22" i="21" s="1"/>
  <c r="E16" i="21"/>
  <c r="F16" i="21"/>
  <c r="F17" i="21" l="1"/>
  <c r="F18" i="21" s="1"/>
  <c r="F21" i="21"/>
  <c r="F22" i="21"/>
  <c r="E17" i="21"/>
  <c r="E19" i="21" s="1"/>
  <c r="E20" i="21" s="1"/>
  <c r="E22" i="21"/>
  <c r="E21" i="21"/>
  <c r="C17" i="21"/>
  <c r="C19" i="21" s="1"/>
  <c r="C20" i="21" s="1"/>
  <c r="C21" i="21"/>
  <c r="D17" i="21"/>
  <c r="D19" i="21" s="1"/>
  <c r="D20" i="21" s="1"/>
  <c r="D22" i="21"/>
  <c r="D21" i="21"/>
  <c r="C18" i="21" l="1"/>
  <c r="E18" i="21"/>
  <c r="F19" i="21"/>
  <c r="F20" i="21" s="1"/>
  <c r="D18" i="21"/>
</calcChain>
</file>

<file path=xl/sharedStrings.xml><?xml version="1.0" encoding="utf-8"?>
<sst xmlns="http://schemas.openxmlformats.org/spreadsheetml/2006/main" count="38" uniqueCount="38">
  <si>
    <t>ESM</t>
  </si>
  <si>
    <t>Litraje unitario</t>
  </si>
  <si>
    <t>MG teórica en la cuba (g/L)</t>
  </si>
  <si>
    <t>Mezcla</t>
  </si>
  <si>
    <t>Vaca</t>
  </si>
  <si>
    <t>Oveja</t>
  </si>
  <si>
    <t>Bajo en MG</t>
  </si>
  <si>
    <t>Fabricación, KG</t>
  </si>
  <si>
    <t>HFD</t>
  </si>
  <si>
    <t>G/ES</t>
  </si>
  <si>
    <t>Recup MG</t>
  </si>
  <si>
    <t>Consumo MP/kg queso</t>
  </si>
  <si>
    <t>MG pérdida bruta en suero %</t>
  </si>
  <si>
    <t>Consumo MG/kg queso</t>
  </si>
  <si>
    <t>Estándar de producto</t>
  </si>
  <si>
    <t>ESM queso obtenido a partir de MP leche (g/L)</t>
  </si>
  <si>
    <t>MG pérdida bruta en suero (g/L)</t>
  </si>
  <si>
    <t>Leche en cuba MG (g/L)</t>
  </si>
  <si>
    <t>Leche en cuba MP (g/L)</t>
  </si>
  <si>
    <t>=B4-B5</t>
  </si>
  <si>
    <t>=(1-B4)/(1-B5)</t>
  </si>
  <si>
    <t>=B5/B4</t>
  </si>
  <si>
    <t>Fórmulas</t>
  </si>
  <si>
    <t>=B13*B11</t>
  </si>
  <si>
    <t>=B6*1000/B15</t>
  </si>
  <si>
    <t>=B5*1000/B16</t>
  </si>
  <si>
    <t>=B17/B10</t>
  </si>
  <si>
    <t>=B17-B10</t>
  </si>
  <si>
    <t>=B19/B10</t>
  </si>
  <si>
    <t>=B10*B16</t>
  </si>
  <si>
    <t>=B11*B16</t>
  </si>
  <si>
    <t>Recup MP (dato real de la fabricación)</t>
  </si>
  <si>
    <t>EST salida salado</t>
  </si>
  <si>
    <t>MG salida salado</t>
  </si>
  <si>
    <t>1. Características del queso</t>
  </si>
  <si>
    <t>2. Composición de la leche de fabricación</t>
  </si>
  <si>
    <t>3. Datos tecnológicos</t>
  </si>
  <si>
    <t>4. Cálculos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</si>
</sst>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_ ;[Red]\-#,##0\ "/>
    <numFmt numFmtId="165" formatCode="#,##0.000_ ;[Red]\-#,##0.000\ "/>
    <numFmt numFmtId="166" formatCode="_-* #,##0.00\ _€_-;\-* #,##0.00\ _€_-;_-* &quot;-&quot;??\ _€_-;_-@_-"/>
    <numFmt numFmtId="167" formatCode="#,##0.00_ ;[Red]\-#,##0.00\ 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</cellStyleXfs>
  <cellXfs count="46">
    <xf numFmtId="0" fontId="0" fillId="0" borderId="0" xfId="0"/>
    <xf numFmtId="164" fontId="0" fillId="0" borderId="2" xfId="0" applyNumberFormat="1" applyBorder="1" applyAlignment="1">
      <alignment horizontal="left" indent="1"/>
    </xf>
    <xf numFmtId="10" fontId="0" fillId="3" borderId="2" xfId="1" applyNumberFormat="1" applyFont="1" applyFill="1" applyBorder="1"/>
    <xf numFmtId="10" fontId="0" fillId="3" borderId="4" xfId="1" applyNumberFormat="1" applyFont="1" applyFill="1" applyBorder="1"/>
    <xf numFmtId="164" fontId="0" fillId="0" borderId="4" xfId="0" applyNumberFormat="1" applyBorder="1" applyAlignment="1">
      <alignment horizontal="left" indent="1"/>
    </xf>
    <xf numFmtId="0" fontId="4" fillId="2" borderId="1" xfId="0" applyFont="1" applyFill="1" applyBorder="1" applyAlignment="1">
      <alignment vertical="center"/>
    </xf>
    <xf numFmtId="10" fontId="0" fillId="0" borderId="2" xfId="1" applyNumberFormat="1" applyFont="1" applyFill="1" applyBorder="1"/>
    <xf numFmtId="10" fontId="1" fillId="0" borderId="2" xfId="1" applyNumberFormat="1" applyFont="1" applyFill="1" applyBorder="1"/>
    <xf numFmtId="10" fontId="0" fillId="0" borderId="4" xfId="0" applyNumberFormat="1" applyBorder="1"/>
    <xf numFmtId="167" fontId="0" fillId="0" borderId="2" xfId="0" applyNumberFormat="1" applyBorder="1"/>
    <xf numFmtId="2" fontId="0" fillId="0" borderId="3" xfId="0" applyNumberFormat="1" applyBorder="1"/>
    <xf numFmtId="2" fontId="0" fillId="0" borderId="4" xfId="0" applyNumberFormat="1" applyBorder="1"/>
    <xf numFmtId="164" fontId="0" fillId="0" borderId="3" xfId="0" applyNumberFormat="1" applyBorder="1" applyAlignment="1">
      <alignment horizontal="left" indent="1"/>
    </xf>
    <xf numFmtId="167" fontId="0" fillId="0" borderId="3" xfId="0" applyNumberFormat="1" applyBorder="1"/>
    <xf numFmtId="10" fontId="0" fillId="6" borderId="2" xfId="1" applyNumberFormat="1" applyFont="1" applyFill="1" applyBorder="1"/>
    <xf numFmtId="0" fontId="2" fillId="2" borderId="1" xfId="0" applyFont="1" applyFill="1" applyBorder="1" applyAlignment="1">
      <alignment horizontal="center" vertical="center" wrapText="1"/>
    </xf>
    <xf numFmtId="165" fontId="0" fillId="6" borderId="2" xfId="0" applyNumberFormat="1" applyFill="1" applyBorder="1"/>
    <xf numFmtId="164" fontId="0" fillId="0" borderId="1" xfId="0" applyNumberFormat="1" applyBorder="1" applyAlignment="1">
      <alignment horizontal="left"/>
    </xf>
    <xf numFmtId="165" fontId="0" fillId="4" borderId="1" xfId="0" applyNumberFormat="1" applyFill="1" applyBorder="1"/>
    <xf numFmtId="164" fontId="3" fillId="6" borderId="3" xfId="0" applyNumberFormat="1" applyFont="1" applyFill="1" applyBorder="1" applyAlignment="1">
      <alignment horizontal="left"/>
    </xf>
    <xf numFmtId="164" fontId="0" fillId="3" borderId="2" xfId="0" applyNumberFormat="1" applyFill="1" applyBorder="1" applyAlignment="1">
      <alignment horizontal="left" indent="1"/>
    </xf>
    <xf numFmtId="164" fontId="0" fillId="3" borderId="4" xfId="0" applyNumberFormat="1" applyFill="1" applyBorder="1" applyAlignment="1">
      <alignment horizontal="left" indent="1"/>
    </xf>
    <xf numFmtId="164" fontId="3" fillId="3" borderId="3" xfId="0" applyNumberFormat="1" applyFont="1" applyFill="1" applyBorder="1" applyAlignment="1">
      <alignment horizontal="left"/>
    </xf>
    <xf numFmtId="165" fontId="0" fillId="3" borderId="2" xfId="0" applyNumberFormat="1" applyFill="1" applyBorder="1"/>
    <xf numFmtId="164" fontId="3" fillId="2" borderId="3" xfId="0" applyNumberFormat="1" applyFont="1" applyFill="1" applyBorder="1" applyAlignment="1">
      <alignment horizontal="left"/>
    </xf>
    <xf numFmtId="10" fontId="0" fillId="2" borderId="3" xfId="0" applyNumberFormat="1" applyFill="1" applyBorder="1"/>
    <xf numFmtId="164" fontId="0" fillId="2" borderId="2" xfId="0" applyNumberFormat="1" applyFill="1" applyBorder="1" applyAlignment="1">
      <alignment horizontal="left" indent="1"/>
    </xf>
    <xf numFmtId="167" fontId="0" fillId="2" borderId="2" xfId="0" applyNumberFormat="1" applyFill="1" applyBorder="1"/>
    <xf numFmtId="164" fontId="0" fillId="2" borderId="4" xfId="0" applyNumberFormat="1" applyFill="1" applyBorder="1" applyAlignment="1">
      <alignment horizontal="left" indent="1"/>
    </xf>
    <xf numFmtId="167" fontId="0" fillId="2" borderId="4" xfId="0" applyNumberFormat="1" applyFill="1" applyBorder="1"/>
    <xf numFmtId="164" fontId="3" fillId="5" borderId="3" xfId="0" applyNumberFormat="1" applyFont="1" applyFill="1" applyBorder="1" applyAlignment="1">
      <alignment horizontal="left"/>
    </xf>
    <xf numFmtId="167" fontId="0" fillId="5" borderId="3" xfId="0" applyNumberFormat="1" applyFill="1" applyBorder="1"/>
    <xf numFmtId="164" fontId="0" fillId="5" borderId="4" xfId="0" applyNumberFormat="1" applyFill="1" applyBorder="1" applyAlignment="1">
      <alignment horizontal="left" indent="1"/>
    </xf>
    <xf numFmtId="10" fontId="0" fillId="5" borderId="4" xfId="1" applyNumberFormat="1" applyFont="1" applyFill="1" applyBorder="1"/>
    <xf numFmtId="10" fontId="0" fillId="6" borderId="3" xfId="1" applyNumberFormat="1" applyFont="1" applyFill="1" applyBorder="1"/>
    <xf numFmtId="10" fontId="0" fillId="0" borderId="4" xfId="1" applyNumberFormat="1" applyFont="1" applyBorder="1"/>
    <xf numFmtId="10" fontId="0" fillId="0" borderId="2" xfId="1" quotePrefix="1" applyNumberFormat="1" applyFont="1" applyFill="1" applyBorder="1"/>
    <xf numFmtId="10" fontId="1" fillId="0" borderId="2" xfId="1" quotePrefix="1" applyNumberFormat="1" applyFont="1" applyFill="1" applyBorder="1"/>
    <xf numFmtId="10" fontId="0" fillId="0" borderId="4" xfId="0" quotePrefix="1" applyNumberFormat="1" applyBorder="1"/>
    <xf numFmtId="167" fontId="0" fillId="0" borderId="2" xfId="0" quotePrefix="1" applyNumberFormat="1" applyBorder="1"/>
    <xf numFmtId="165" fontId="0" fillId="6" borderId="2" xfId="0" quotePrefix="1" applyNumberFormat="1" applyFill="1" applyBorder="1"/>
    <xf numFmtId="10" fontId="0" fillId="6" borderId="2" xfId="1" quotePrefix="1" applyNumberFormat="1" applyFont="1" applyFill="1" applyBorder="1"/>
    <xf numFmtId="167" fontId="0" fillId="0" borderId="3" xfId="0" quotePrefix="1" applyNumberFormat="1" applyBorder="1"/>
    <xf numFmtId="10" fontId="0" fillId="0" borderId="4" xfId="1" quotePrefix="1" applyNumberFormat="1" applyFont="1" applyBorder="1"/>
    <xf numFmtId="2" fontId="0" fillId="0" borderId="3" xfId="0" quotePrefix="1" applyNumberFormat="1" applyBorder="1"/>
    <xf numFmtId="2" fontId="0" fillId="0" borderId="4" xfId="0" quotePrefix="1" applyNumberFormat="1" applyBorder="1"/>
  </cellXfs>
  <cellStyles count="3">
    <cellStyle name="Millares 2" xfId="2" xr:uid="{0DF497A4-B1A4-4A8E-B2C1-3A725AAFDCC2}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microsoft.com/office/2017/10/relationships/person" Target="persons/person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styles" Target="styles.xml"/><Relationship Id="rId5" Type="http://schemas.openxmlformats.org/officeDocument/2006/relationships/externalLink" Target="externalLinks/externalLink4.xml"/><Relationship Id="rId10" Type="http://schemas.openxmlformats.org/officeDocument/2006/relationships/theme" Target="theme/theme1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es001688/Lactalis%20Industrial/Presupuesto%202017/VR/B11%20BVR%204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Commercial\Cheddar\Analysis\2009\01-%20Janary%202009\Performance%20Metrics%20Jan%2009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Documents%20and%20Settings\naigeeg.UK\Local%20Settings\Temporary%20Internet%20Files\OLK4\BR%20Variance%20analysis%20Cust%20Class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COGEST\BDG%2005\ScTempi\TempiFusi204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Commercial\2007\09%20September\Variance%20analysis%20by%20Cust%20Class%20Mar07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indcdg\indcdg\Usines%20Industriel\Budget%202013\0-Synth&#232;se\Analyses%20transversales\Synth&#232;se%20comp%20usine%20budget%202013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Precdg/INDUSTRIEL/Budget%20Industriel/BUDGET%20INDUSTRIEL%202009/BOUVRON/Precdg/INDUSTRIEL/PCI/CREATIONS%20DE%20PCI/PPC%20&amp;%20PPNC/BOUVRON%20PPC/071029%20-%20Mozza%20Galbani/071030%20-%20B08%20BVR%20-%20Mozza%20R&#226;p&#233;%20Galbani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IntInd\Res%20Mens\0CONSO\RECAPVOLUME%202006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DT (2)"/>
      <sheetName val="VERIF"/>
      <sheetName val="Atterrissage PPNC"/>
      <sheetName val="Atterrissage PPC"/>
      <sheetName val="Synthèse Usine PPC"/>
      <sheetName val="Synthèse Usine PPNC"/>
      <sheetName val="SYNT"/>
      <sheetName val="PE"/>
      <sheetName val="U1"/>
      <sheetName val="DI"/>
      <sheetName val="SIG"/>
      <sheetName val="VOL"/>
      <sheetName val="ACTIVITE"/>
      <sheetName val="FR22"/>
      <sheetName val="MIXM"/>
      <sheetName val="RDT"/>
      <sheetName val="FACON"/>
      <sheetName val="PRODté"/>
      <sheetName val="PCI PPNC"/>
      <sheetName val="PCI PPC"/>
      <sheetName val="Nvx Codes apres Bud"/>
      <sheetName val="INTERFACE"/>
    </sheetNames>
    <sheetDataSet>
      <sheetData sheetId="0" refreshError="1"/>
      <sheetData sheetId="1">
        <row r="10">
          <cell r="B10" t="str">
            <v>2010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6">
          <cell r="O6">
            <v>29.297000000000001</v>
          </cell>
        </row>
      </sheetData>
      <sheetData sheetId="12">
        <row r="73">
          <cell r="G73">
            <v>1.54</v>
          </cell>
        </row>
      </sheetData>
      <sheetData sheetId="13" refreshError="1"/>
      <sheetData sheetId="14">
        <row r="258">
          <cell r="F258">
            <v>2.2000000000000002</v>
          </cell>
        </row>
      </sheetData>
      <sheetData sheetId="15"/>
      <sheetData sheetId="16">
        <row r="270">
          <cell r="C270" t="str">
            <v>E1</v>
          </cell>
        </row>
      </sheetData>
      <sheetData sheetId="17" refreshError="1"/>
      <sheetData sheetId="18" refreshError="1"/>
      <sheetData sheetId="19">
        <row r="9">
          <cell r="AD9">
            <v>4.3841000000000001</v>
          </cell>
        </row>
      </sheetData>
      <sheetData sheetId="20" refreshError="1"/>
      <sheetData sheetId="21">
        <row r="3">
          <cell r="E3" t="str">
            <v>JAN2010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cBookData"/>
      <sheetName val="pcQueryData"/>
      <sheetName val="Cover"/>
      <sheetName val="Contents"/>
      <sheetName val="Summary Superfamily"/>
      <sheetName val="_pcSlicerSheet13"/>
      <sheetName val="_pcHiddenSheet93"/>
      <sheetName val="Customer Continental"/>
      <sheetName val="Customer Cheddar"/>
      <sheetName val="_pcSlicerSheet14"/>
      <sheetName val="_pcHiddenSheet96"/>
      <sheetName val="_pcSlicerSheet15"/>
      <sheetName val="_pcHiddenSheet97"/>
      <sheetName val="_pcSlicerSheet16"/>
      <sheetName val="_pcHiddenSheet98"/>
      <sheetName val="_pcSlicerSheet1"/>
      <sheetName val="_pcHiddenSheet13"/>
      <sheetName val="_pcSlicerSheet4"/>
      <sheetName val="_pcHiddenSheet14"/>
      <sheetName val="Product Analysis"/>
      <sheetName val="_pcSlicerSheet"/>
      <sheetName val="_pcHiddenSheet12"/>
      <sheetName val="Promotions"/>
      <sheetName val="Brand Analysis"/>
      <sheetName val="Ratios"/>
      <sheetName val="Wastage"/>
      <sheetName val="1. Summary DB"/>
      <sheetName val="_pcHiddenSheet95"/>
      <sheetName val="2. Customer Analysis DB"/>
      <sheetName val="Glasgow"/>
      <sheetName val="_pcSlicerSheet57"/>
      <sheetName val="_pcHiddenSheet87"/>
      <sheetName val="_pcSlicerSheet3"/>
      <sheetName val="_pcHiddenSheet47"/>
      <sheetName val="_pcSlicerSheet2"/>
      <sheetName val="_pcHiddenSheet56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>
        <row r="2">
          <cell r="A2" t="str">
            <v>January 2008</v>
          </cell>
        </row>
        <row r="3">
          <cell r="A3" t="str">
            <v>February 2008</v>
          </cell>
        </row>
        <row r="4">
          <cell r="A4" t="str">
            <v>March 2008</v>
          </cell>
        </row>
        <row r="5">
          <cell r="A5" t="str">
            <v>April 2008</v>
          </cell>
        </row>
        <row r="6">
          <cell r="A6" t="str">
            <v>May 2008</v>
          </cell>
        </row>
        <row r="7">
          <cell r="A7" t="str">
            <v>June 2008</v>
          </cell>
        </row>
        <row r="8">
          <cell r="A8" t="str">
            <v>July 2008</v>
          </cell>
        </row>
        <row r="9">
          <cell r="A9" t="str">
            <v>August 2008</v>
          </cell>
        </row>
        <row r="10">
          <cell r="A10" t="str">
            <v>September 2008</v>
          </cell>
        </row>
        <row r="11">
          <cell r="A11" t="str">
            <v>October 2008</v>
          </cell>
        </row>
        <row r="12">
          <cell r="A12" t="str">
            <v>November 2008</v>
          </cell>
        </row>
        <row r="13">
          <cell r="A13" t="str">
            <v>December 2008</v>
          </cell>
        </row>
        <row r="14">
          <cell r="A14" t="str">
            <v>January 2009</v>
          </cell>
        </row>
        <row r="15">
          <cell r="A15" t="str">
            <v>February 2009</v>
          </cell>
        </row>
        <row r="16">
          <cell r="A16" t="str">
            <v>March 2009</v>
          </cell>
        </row>
        <row r="17">
          <cell r="A17" t="str">
            <v>April 2009</v>
          </cell>
        </row>
        <row r="18">
          <cell r="A18" t="str">
            <v>May 2009</v>
          </cell>
        </row>
        <row r="19">
          <cell r="A19" t="str">
            <v>June 2009</v>
          </cell>
        </row>
        <row r="20">
          <cell r="A20" t="str">
            <v>July 2009</v>
          </cell>
        </row>
        <row r="21">
          <cell r="A21" t="str">
            <v>August 2009</v>
          </cell>
        </row>
        <row r="22">
          <cell r="A22" t="str">
            <v>September 2009</v>
          </cell>
        </row>
        <row r="23">
          <cell r="A23" t="str">
            <v>October 2009</v>
          </cell>
        </row>
        <row r="24">
          <cell r="A24" t="str">
            <v>November 2009</v>
          </cell>
        </row>
        <row r="25">
          <cell r="A25" t="str">
            <v>December 2009</v>
          </cell>
        </row>
      </sheetData>
      <sheetData sheetId="10"/>
      <sheetData sheetId="11" refreshError="1">
        <row r="2">
          <cell r="A2" t="str">
            <v>January 2008</v>
          </cell>
        </row>
        <row r="3">
          <cell r="A3" t="str">
            <v>February 2008</v>
          </cell>
        </row>
        <row r="4">
          <cell r="A4" t="str">
            <v>March 2008</v>
          </cell>
        </row>
        <row r="5">
          <cell r="A5" t="str">
            <v>April 2008</v>
          </cell>
        </row>
        <row r="6">
          <cell r="A6" t="str">
            <v>May 2008</v>
          </cell>
        </row>
        <row r="7">
          <cell r="A7" t="str">
            <v>June 2008</v>
          </cell>
        </row>
        <row r="8">
          <cell r="A8" t="str">
            <v>July 2008</v>
          </cell>
        </row>
        <row r="9">
          <cell r="A9" t="str">
            <v>August 2008</v>
          </cell>
        </row>
        <row r="10">
          <cell r="A10" t="str">
            <v>September 2008</v>
          </cell>
        </row>
        <row r="11">
          <cell r="A11" t="str">
            <v>October 2008</v>
          </cell>
        </row>
        <row r="12">
          <cell r="A12" t="str">
            <v>November 2008</v>
          </cell>
        </row>
        <row r="13">
          <cell r="A13" t="str">
            <v>December 2008</v>
          </cell>
        </row>
        <row r="14">
          <cell r="A14" t="str">
            <v>January 2009</v>
          </cell>
        </row>
        <row r="15">
          <cell r="A15" t="str">
            <v>February 2009</v>
          </cell>
        </row>
        <row r="16">
          <cell r="A16" t="str">
            <v>March 2009</v>
          </cell>
        </row>
        <row r="17">
          <cell r="A17" t="str">
            <v>April 2009</v>
          </cell>
        </row>
        <row r="18">
          <cell r="A18" t="str">
            <v>May 2009</v>
          </cell>
        </row>
        <row r="19">
          <cell r="A19" t="str">
            <v>June 2009</v>
          </cell>
        </row>
        <row r="20">
          <cell r="A20" t="str">
            <v>July 2009</v>
          </cell>
        </row>
        <row r="21">
          <cell r="A21" t="str">
            <v>August 2009</v>
          </cell>
        </row>
        <row r="22">
          <cell r="A22" t="str">
            <v>September 2009</v>
          </cell>
        </row>
        <row r="23">
          <cell r="A23" t="str">
            <v>October 2009</v>
          </cell>
        </row>
        <row r="24">
          <cell r="A24" t="str">
            <v>November 2009</v>
          </cell>
        </row>
        <row r="25">
          <cell r="A25" t="str">
            <v>December 2009</v>
          </cell>
        </row>
      </sheetData>
      <sheetData sheetId="12"/>
      <sheetData sheetId="13" refreshError="1">
        <row r="2">
          <cell r="A2" t="str">
            <v>January 2008</v>
          </cell>
        </row>
        <row r="3">
          <cell r="A3" t="str">
            <v>February 2008</v>
          </cell>
        </row>
        <row r="4">
          <cell r="A4" t="str">
            <v>March 2008</v>
          </cell>
        </row>
        <row r="5">
          <cell r="A5" t="str">
            <v>April 2008</v>
          </cell>
        </row>
        <row r="6">
          <cell r="A6" t="str">
            <v>May 2008</v>
          </cell>
        </row>
        <row r="7">
          <cell r="A7" t="str">
            <v>June 2008</v>
          </cell>
        </row>
        <row r="8">
          <cell r="A8" t="str">
            <v>July 2008</v>
          </cell>
        </row>
        <row r="9">
          <cell r="A9" t="str">
            <v>August 2008</v>
          </cell>
        </row>
        <row r="10">
          <cell r="A10" t="str">
            <v>September 2008</v>
          </cell>
        </row>
        <row r="11">
          <cell r="A11" t="str">
            <v>October 2008</v>
          </cell>
        </row>
        <row r="12">
          <cell r="A12" t="str">
            <v>November 2008</v>
          </cell>
        </row>
        <row r="13">
          <cell r="A13" t="str">
            <v>December 2008</v>
          </cell>
        </row>
        <row r="14">
          <cell r="A14" t="str">
            <v>January 2009</v>
          </cell>
        </row>
        <row r="15">
          <cell r="A15" t="str">
            <v>February 2009</v>
          </cell>
        </row>
        <row r="16">
          <cell r="A16" t="str">
            <v>March 2009</v>
          </cell>
        </row>
        <row r="17">
          <cell r="A17" t="str">
            <v>April 2009</v>
          </cell>
        </row>
        <row r="18">
          <cell r="A18" t="str">
            <v>May 2009</v>
          </cell>
        </row>
        <row r="19">
          <cell r="A19" t="str">
            <v>June 2009</v>
          </cell>
        </row>
        <row r="20">
          <cell r="A20" t="str">
            <v>July 2009</v>
          </cell>
        </row>
        <row r="21">
          <cell r="A21" t="str">
            <v>August 2009</v>
          </cell>
        </row>
        <row r="22">
          <cell r="A22" t="str">
            <v>September 2009</v>
          </cell>
        </row>
        <row r="23">
          <cell r="A23" t="str">
            <v>October 2009</v>
          </cell>
        </row>
        <row r="24">
          <cell r="A24" t="str">
            <v>November 2009</v>
          </cell>
        </row>
        <row r="25">
          <cell r="A25" t="str">
            <v>December 2009</v>
          </cell>
        </row>
      </sheetData>
      <sheetData sheetId="14"/>
      <sheetData sheetId="15"/>
      <sheetData sheetId="16"/>
      <sheetData sheetId="17" refreshError="1">
        <row r="2">
          <cell r="A2" t="str">
            <v>December 2008</v>
          </cell>
        </row>
        <row r="3">
          <cell r="A3" t="str">
            <v>January 2009</v>
          </cell>
        </row>
        <row r="4">
          <cell r="A4" t="str">
            <v>February 2009</v>
          </cell>
        </row>
        <row r="5">
          <cell r="A5" t="str">
            <v>March 2009</v>
          </cell>
        </row>
        <row r="6">
          <cell r="A6" t="str">
            <v>April 2009</v>
          </cell>
        </row>
        <row r="7">
          <cell r="A7" t="str">
            <v>May 2009</v>
          </cell>
        </row>
        <row r="8">
          <cell r="A8" t="str">
            <v>June 2009</v>
          </cell>
        </row>
        <row r="9">
          <cell r="A9" t="str">
            <v>July 2009</v>
          </cell>
        </row>
        <row r="10">
          <cell r="A10" t="str">
            <v>August 2009</v>
          </cell>
        </row>
        <row r="11">
          <cell r="A11" t="str">
            <v>September 2009</v>
          </cell>
        </row>
        <row r="12">
          <cell r="A12" t="str">
            <v>October 2009</v>
          </cell>
        </row>
        <row r="13">
          <cell r="A13" t="str">
            <v>November 2009</v>
          </cell>
        </row>
        <row r="14">
          <cell r="A14" t="str">
            <v>December 2009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cBookData"/>
      <sheetName val="pcQueryData"/>
      <sheetName val="_pcSlicerSheet"/>
      <sheetName val="_pcHiddenSheet1"/>
      <sheetName val="Vol and GP Report"/>
      <sheetName val="CUST LOOKUP"/>
      <sheetName val="_pcSlicerSheet1"/>
      <sheetName val="_pcHiddenSheet2"/>
      <sheetName val="TRADING REPORT"/>
      <sheetName val="Jnl breakdown"/>
      <sheetName val="_pcHiddenSheet3"/>
      <sheetName val="PROMOTION VOLS"/>
    </sheetNames>
    <sheetDataSet>
      <sheetData sheetId="0"/>
      <sheetData sheetId="1" refreshError="1">
        <row r="4">
          <cell r="A4" t="str">
            <v>__Amount_for_Monthly_1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EPHAN"/>
      <sheetName val="2409_10"/>
      <sheetName val="2410_10"/>
      <sheetName val="2410_10 xRAI"/>
      <sheetName val="2410_ K1 (2)"/>
      <sheetName val="CBP +_K1 (2)"/>
      <sheetName val="SALSA 4F_ K1  (2)"/>
      <sheetName val="TIRAMISU"/>
      <sheetName val="PROCESSATO"/>
      <sheetName val="FABB_ K1"/>
      <sheetName val="Invest Wolf"/>
      <sheetName val="2411_10"/>
      <sheetName val="2430_10"/>
      <sheetName val="2458_10"/>
      <sheetName val="2462_10"/>
      <sheetName val="Mellin x 6 IPO 4H"/>
      <sheetName val="Mellin x 6 IPO 8H"/>
      <sheetName val="2465_10"/>
      <sheetName val="2476_60"/>
      <sheetName val="2510_10"/>
      <sheetName val="2512_10"/>
      <sheetName val="2530_10"/>
      <sheetName val="2580_10"/>
      <sheetName val="Foglio1"/>
      <sheetName val="Foglio1 (2)"/>
      <sheetName val="FILONE MOZZARELLA K2"/>
      <sheetName val="FILONE MOZZARELLA K1,2 UK"/>
      <sheetName val="FILONE MOZZARELLA K4"/>
      <sheetName val="RAPE"/>
      <sheetName val="CUBETTATO"/>
      <sheetName val="TRASPORTI"/>
      <sheetName val="LABCHIM"/>
      <sheetName val="CAPIREP"/>
      <sheetName val="PROGRES"/>
      <sheetName val="2410_10_xRAI"/>
      <sheetName val="2410__K1_(2)"/>
      <sheetName val="CBP_+_K1_(2)"/>
      <sheetName val="SALSA_4F__K1__(2)"/>
      <sheetName val="FABB__K1"/>
      <sheetName val="Invest_Wolf"/>
      <sheetName val="Mellin_x_6_IPO_4H"/>
      <sheetName val="Mellin_x_6_IPO_8H"/>
      <sheetName val="Foglio1_(2)"/>
      <sheetName val="FILONE_MOZZARELLA_K2"/>
      <sheetName val="FILONE_MOZZARELLA_K1,2_UK"/>
      <sheetName val="FILONE_MOZZARELLA_K4"/>
      <sheetName val="2410_10_xRAI1"/>
      <sheetName val="2410__K1_(2)1"/>
      <sheetName val="CBP_+_K1_(2)1"/>
      <sheetName val="SALSA_4F__K1__(2)1"/>
      <sheetName val="FABB__K11"/>
      <sheetName val="Invest_Wolf1"/>
      <sheetName val="Mellin_x_6_IPO_4H1"/>
      <sheetName val="Mellin_x_6_IPO_8H1"/>
      <sheetName val="Foglio1_(2)1"/>
      <sheetName val="FILONE_MOZZARELLA_K21"/>
      <sheetName val="FILONE_MOZZARELLA_K1,2_UK1"/>
      <sheetName val="FILONE_MOZZARELLA_K41"/>
      <sheetName val="Liste"/>
      <sheetName val="MENU"/>
      <sheetName val="TABLE"/>
      <sheetName val="DATA"/>
    </sheetNames>
    <sheetDataSet>
      <sheetData sheetId="0" refreshError="1">
        <row r="2">
          <cell r="B2" t="str">
            <v xml:space="preserve"> Stabilimento di</v>
          </cell>
          <cell r="H2" t="str">
            <v>SCHEDA RILEVAZIONE TEMPI</v>
          </cell>
          <cell r="O2" t="str">
            <v xml:space="preserve"> Data :</v>
          </cell>
        </row>
        <row r="3">
          <cell r="B3" t="str">
            <v xml:space="preserve"> CERTOSA </v>
          </cell>
          <cell r="D3">
            <v>220</v>
          </cell>
          <cell r="F3" t="str">
            <v>Reparto :</v>
          </cell>
          <cell r="G3" t="str">
            <v>FUSI</v>
          </cell>
          <cell r="H3">
            <v>210</v>
          </cell>
          <cell r="I3" t="str">
            <v>PREPARAZIONE IMPASTI E FUSIONE</v>
          </cell>
          <cell r="O3" t="str">
            <v xml:space="preserve"> Gennaio 2004</v>
          </cell>
        </row>
        <row r="4">
          <cell r="B4" t="str">
            <v xml:space="preserve"> PRODUZIONE :</v>
          </cell>
          <cell r="D4" t="str">
            <v xml:space="preserve">CREMA BEL PAESE  NORMALE + BIANCO + CREMOZOLA </v>
          </cell>
        </row>
        <row r="5">
          <cell r="D5" t="str">
            <v>+ FILANTE + FILANTE x PIZZA + IDEA PIZZA + FORMAGGIO PER PIZZA</v>
          </cell>
        </row>
        <row r="6">
          <cell r="F6" t="str">
            <v>Persone</v>
          </cell>
          <cell r="G6" t="str">
            <v>Tempo impiegato</v>
          </cell>
          <cell r="J6" t="str">
            <v>Quantità</v>
          </cell>
          <cell r="L6" t="str">
            <v>Tempo</v>
          </cell>
          <cell r="M6" t="str">
            <v>Prodotti destinatari</v>
          </cell>
        </row>
        <row r="7">
          <cell r="D7" t="str">
            <v>OPERAZIONI</v>
          </cell>
          <cell r="F7" t="str">
            <v>occupate</v>
          </cell>
          <cell r="G7" t="str">
            <v>Ore</v>
          </cell>
          <cell r="H7" t="str">
            <v>Ore</v>
          </cell>
          <cell r="I7" t="str">
            <v>Totale</v>
          </cell>
          <cell r="L7" t="str">
            <v>in ore</v>
          </cell>
          <cell r="M7" t="str">
            <v>C.B.P.</v>
          </cell>
          <cell r="N7" t="str">
            <v>C.B.P +.</v>
          </cell>
          <cell r="P7" t="str">
            <v>Filante</v>
          </cell>
        </row>
        <row r="8">
          <cell r="F8" t="str">
            <v>Posizioni</v>
          </cell>
          <cell r="G8" t="str">
            <v>squadra</v>
          </cell>
          <cell r="H8" t="str">
            <v>squadra</v>
          </cell>
          <cell r="I8" t="str">
            <v>ore ind</v>
          </cell>
          <cell r="J8" t="str">
            <v>Kg</v>
          </cell>
          <cell r="K8" t="str">
            <v>Kg</v>
          </cell>
          <cell r="L8" t="str">
            <v>riferito a</v>
          </cell>
          <cell r="M8" t="str">
            <v>Normale</v>
          </cell>
          <cell r="N8" t="str">
            <v>Dolc. Crem.</v>
          </cell>
          <cell r="O8" t="str">
            <v>K 1</v>
          </cell>
          <cell r="P8" t="str">
            <v>Idea Pizza</v>
          </cell>
        </row>
        <row r="9">
          <cell r="F9" t="str">
            <v>occupate</v>
          </cell>
          <cell r="G9" t="str">
            <v>in '</v>
          </cell>
          <cell r="H9" t="str">
            <v>decimali</v>
          </cell>
          <cell r="I9" t="str">
            <v>decimali</v>
          </cell>
          <cell r="J9" t="str">
            <v>settimana</v>
          </cell>
          <cell r="K9" t="str">
            <v>giorno</v>
          </cell>
          <cell r="L9" t="str">
            <v>100 Kg</v>
          </cell>
          <cell r="N9" t="str">
            <v xml:space="preserve">4 F-Proc.-Tir. </v>
          </cell>
          <cell r="P9" t="str">
            <v>Rapè - Mozz.</v>
          </cell>
        </row>
        <row r="11">
          <cell r="G11" t="str">
            <v xml:space="preserve"> x C.B.P. Normale</v>
          </cell>
          <cell r="J11" t="str">
            <v xml:space="preserve"> x C.B.P. +  e  Dolcelatte Cremoso</v>
          </cell>
          <cell r="M11" t="str">
            <v xml:space="preserve">  x Filante + Idea Pizza + Filante Rapè</v>
          </cell>
        </row>
        <row r="12">
          <cell r="C12" t="str">
            <v xml:space="preserve"> Determinazione gg./anno lavorati</v>
          </cell>
          <cell r="G12" t="str">
            <v>gg/sett.</v>
          </cell>
          <cell r="H12" t="str">
            <v>sett/anno</v>
          </cell>
          <cell r="I12" t="str">
            <v>gg/anno</v>
          </cell>
          <cell r="J12" t="str">
            <v>gg/sett.</v>
          </cell>
          <cell r="K12" t="str">
            <v>sett/anno</v>
          </cell>
          <cell r="L12" t="str">
            <v>gg/anno</v>
          </cell>
          <cell r="M12" t="str">
            <v>gg/sett.</v>
          </cell>
          <cell r="N12" t="str">
            <v>sett/anno</v>
          </cell>
          <cell r="O12" t="str">
            <v>gg/anno</v>
          </cell>
        </row>
        <row r="15">
          <cell r="G15">
            <v>5</v>
          </cell>
          <cell r="H15">
            <v>50</v>
          </cell>
          <cell r="I15">
            <v>250</v>
          </cell>
          <cell r="J15">
            <v>5</v>
          </cell>
          <cell r="K15">
            <v>50</v>
          </cell>
          <cell r="L15">
            <v>250</v>
          </cell>
          <cell r="M15">
            <v>5</v>
          </cell>
          <cell r="N15">
            <v>50</v>
          </cell>
          <cell r="O15">
            <v>250</v>
          </cell>
        </row>
        <row r="16">
          <cell r="B16" t="str">
            <v>A</v>
          </cell>
          <cell r="C16" t="str">
            <v xml:space="preserve"> OPERAZIONI PRELIMINARI</v>
          </cell>
        </row>
        <row r="17">
          <cell r="M17" t="str">
            <v xml:space="preserve">Tempo in ore riferito a 100/kg </v>
          </cell>
        </row>
        <row r="18">
          <cell r="B18">
            <v>1</v>
          </cell>
          <cell r="C18" t="str">
            <v xml:space="preserve"> Rifornimento materie prime a reparto :</v>
          </cell>
        </row>
        <row r="19">
          <cell r="C19" t="str">
            <v xml:space="preserve"> - Scarico camions, pesatura palbox e stoccaggio in cella</v>
          </cell>
        </row>
        <row r="20">
          <cell r="C20" t="str">
            <v xml:space="preserve"> - Prelievo campioni x analisi, controllo</v>
          </cell>
        </row>
        <row r="21">
          <cell r="C21" t="str">
            <v xml:space="preserve">   rimanenze celle dinamica e formaggi</v>
          </cell>
          <cell r="F21">
            <v>2</v>
          </cell>
          <cell r="G21">
            <v>8</v>
          </cell>
          <cell r="H21">
            <v>16</v>
          </cell>
          <cell r="I21">
            <v>16</v>
          </cell>
          <cell r="K21">
            <v>59868</v>
          </cell>
          <cell r="L21">
            <v>2.6725462684572727E-2</v>
          </cell>
          <cell r="M21">
            <v>2.6725462684572727E-2</v>
          </cell>
          <cell r="N21">
            <v>2.6725462684572727E-2</v>
          </cell>
          <cell r="O21">
            <v>2.6725462684572727E-2</v>
          </cell>
          <cell r="P21">
            <v>2.6725462684572727E-2</v>
          </cell>
        </row>
        <row r="22">
          <cell r="B22">
            <v>2</v>
          </cell>
          <cell r="C22" t="str">
            <v xml:space="preserve"> Trasporto materie prime a reparto</v>
          </cell>
          <cell r="F22">
            <v>2</v>
          </cell>
          <cell r="G22">
            <v>8</v>
          </cell>
          <cell r="H22">
            <v>8</v>
          </cell>
          <cell r="I22">
            <v>16</v>
          </cell>
          <cell r="K22">
            <v>59868</v>
          </cell>
          <cell r="L22">
            <v>2.6725462684572727E-2</v>
          </cell>
          <cell r="M22">
            <v>2.6725462684572727E-2</v>
          </cell>
          <cell r="N22">
            <v>2.6725462684572727E-2</v>
          </cell>
          <cell r="O22">
            <v>2.6725462684572727E-2</v>
          </cell>
          <cell r="P22">
            <v>2.6725462684572727E-2</v>
          </cell>
        </row>
        <row r="23">
          <cell r="B23">
            <v>3</v>
          </cell>
          <cell r="C23" t="str">
            <v xml:space="preserve"> Lavaggio palbox m.p. + travaso da cartonbox altri</v>
          </cell>
          <cell r="F23">
            <v>2</v>
          </cell>
          <cell r="G23">
            <v>8</v>
          </cell>
          <cell r="H23">
            <v>8</v>
          </cell>
          <cell r="I23">
            <v>16</v>
          </cell>
          <cell r="K23">
            <v>59868</v>
          </cell>
          <cell r="L23">
            <v>2.6725462684572727E-2</v>
          </cell>
          <cell r="M23">
            <v>2.6725462684572727E-2</v>
          </cell>
          <cell r="N23">
            <v>2.6725462684572727E-2</v>
          </cell>
          <cell r="O23">
            <v>2.6725462684572727E-2</v>
          </cell>
          <cell r="P23">
            <v>2.6725462684572727E-2</v>
          </cell>
        </row>
        <row r="24">
          <cell r="C24" t="str">
            <v xml:space="preserve"> Analisi materie prime</v>
          </cell>
          <cell r="G24">
            <v>8</v>
          </cell>
          <cell r="H24">
            <v>0</v>
          </cell>
          <cell r="I24">
            <v>0</v>
          </cell>
          <cell r="K24">
            <v>22660</v>
          </cell>
          <cell r="L24">
            <v>0</v>
          </cell>
          <cell r="M24">
            <v>0</v>
          </cell>
        </row>
        <row r="25">
          <cell r="B25" t="str">
            <v>B</v>
          </cell>
        </row>
        <row r="26">
          <cell r="C26" t="str">
            <v xml:space="preserve"> PREPARAZIONI IMPASTI E FUSIONE</v>
          </cell>
        </row>
        <row r="27">
          <cell r="B27">
            <v>1</v>
          </cell>
          <cell r="C27" t="str">
            <v xml:space="preserve"> Impostazione ricette + carico + analisi</v>
          </cell>
          <cell r="F27">
            <v>2</v>
          </cell>
          <cell r="G27">
            <v>8</v>
          </cell>
          <cell r="H27">
            <v>8</v>
          </cell>
          <cell r="I27">
            <v>16</v>
          </cell>
          <cell r="K27">
            <v>22660</v>
          </cell>
          <cell r="L27">
            <v>7.0609002647837593E-2</v>
          </cell>
          <cell r="M27">
            <v>7.0609002647837593E-2</v>
          </cell>
        </row>
        <row r="29">
          <cell r="B29">
            <v>2</v>
          </cell>
          <cell r="C29" t="str">
            <v xml:space="preserve"> Assistenza impianto sterilizzazione e cremificazione</v>
          </cell>
          <cell r="F29">
            <v>2</v>
          </cell>
          <cell r="G29">
            <v>8</v>
          </cell>
          <cell r="H29">
            <v>8</v>
          </cell>
          <cell r="I29">
            <v>16</v>
          </cell>
          <cell r="K29">
            <v>22660</v>
          </cell>
          <cell r="L29">
            <v>7.0609002647837593E-2</v>
          </cell>
          <cell r="M29">
            <v>7.0609002647837593E-2</v>
          </cell>
        </row>
        <row r="30">
          <cell r="C30" t="str">
            <v xml:space="preserve"> Stephan + preparazione e carico caseina</v>
          </cell>
        </row>
        <row r="31">
          <cell r="B31">
            <v>3</v>
          </cell>
          <cell r="C31" t="str">
            <v xml:space="preserve"> Carico burro, fusione burro </v>
          </cell>
          <cell r="G31">
            <v>0</v>
          </cell>
          <cell r="H31">
            <v>0</v>
          </cell>
          <cell r="I31">
            <v>0</v>
          </cell>
          <cell r="K31">
            <v>22660</v>
          </cell>
          <cell r="L31">
            <v>0</v>
          </cell>
          <cell r="M31">
            <v>0</v>
          </cell>
        </row>
        <row r="33">
          <cell r="B33">
            <v>4</v>
          </cell>
          <cell r="C33" t="str">
            <v xml:space="preserve"> Assistenza e controllo cremificazione</v>
          </cell>
          <cell r="H33">
            <v>0</v>
          </cell>
          <cell r="I33">
            <v>0</v>
          </cell>
          <cell r="K33">
            <v>22660</v>
          </cell>
          <cell r="L33">
            <v>0</v>
          </cell>
          <cell r="M33">
            <v>0</v>
          </cell>
        </row>
        <row r="34">
          <cell r="B34">
            <v>5</v>
          </cell>
          <cell r="C34" t="str">
            <v xml:space="preserve"> Cottura in 1 Ks : addetti Stephan + pesatura sali di fusione</v>
          </cell>
          <cell r="H34">
            <v>0</v>
          </cell>
          <cell r="I34">
            <v>0</v>
          </cell>
          <cell r="K34">
            <v>22660</v>
          </cell>
          <cell r="L34">
            <v>0</v>
          </cell>
        </row>
        <row r="35">
          <cell r="B35">
            <v>6</v>
          </cell>
          <cell r="C35" t="str">
            <v xml:space="preserve"> Pressatura porzioni fusi + filante</v>
          </cell>
          <cell r="H35">
            <v>0</v>
          </cell>
          <cell r="I35">
            <v>0</v>
          </cell>
          <cell r="K35">
            <v>59868</v>
          </cell>
          <cell r="L35">
            <v>0</v>
          </cell>
          <cell r="M35">
            <v>0</v>
          </cell>
        </row>
        <row r="37">
          <cell r="B37">
            <v>7</v>
          </cell>
          <cell r="C37" t="str">
            <v xml:space="preserve"> Preparazione e cottura form. prefuso settimanale</v>
          </cell>
          <cell r="H37">
            <v>0</v>
          </cell>
          <cell r="I37">
            <v>0</v>
          </cell>
          <cell r="K37">
            <v>113300</v>
          </cell>
          <cell r="L37">
            <v>0</v>
          </cell>
          <cell r="M37">
            <v>0</v>
          </cell>
        </row>
        <row r="39">
          <cell r="B39">
            <v>8</v>
          </cell>
          <cell r="C39" t="str">
            <v xml:space="preserve"> Colatura linee + trasporto pasta a Stephan</v>
          </cell>
          <cell r="F39">
            <v>2</v>
          </cell>
          <cell r="G39">
            <v>8</v>
          </cell>
          <cell r="H39">
            <v>8</v>
          </cell>
          <cell r="I39">
            <v>16</v>
          </cell>
          <cell r="K39">
            <v>29528</v>
          </cell>
          <cell r="L39">
            <v>5.4185857491194797E-2</v>
          </cell>
          <cell r="M39">
            <v>5.4185857491194797E-2</v>
          </cell>
        </row>
        <row r="41">
          <cell r="B41">
            <v>9</v>
          </cell>
          <cell r="C41" t="str">
            <v xml:space="preserve"> Lavaggio iniziale e finale Stephan</v>
          </cell>
          <cell r="F41">
            <v>1</v>
          </cell>
          <cell r="G41">
            <v>8</v>
          </cell>
          <cell r="H41">
            <v>8</v>
          </cell>
          <cell r="I41">
            <v>8</v>
          </cell>
          <cell r="K41">
            <v>22660</v>
          </cell>
          <cell r="L41">
            <v>3.5304501323918797E-2</v>
          </cell>
          <cell r="M41">
            <v>3.5304501323918797E-2</v>
          </cell>
        </row>
        <row r="43">
          <cell r="B43">
            <v>10</v>
          </cell>
          <cell r="C43" t="str">
            <v xml:space="preserve"> Lavaggio iniziale + finale Combinator e linee, preparazione</v>
          </cell>
          <cell r="G43">
            <v>8</v>
          </cell>
          <cell r="H43">
            <v>8</v>
          </cell>
          <cell r="I43">
            <v>0</v>
          </cell>
          <cell r="K43">
            <v>29528</v>
          </cell>
          <cell r="L43">
            <v>0</v>
          </cell>
          <cell r="M43">
            <v>0</v>
          </cell>
        </row>
        <row r="44">
          <cell r="C44" t="str">
            <v xml:space="preserve"> macchine formatrici e lavaggio allibert</v>
          </cell>
        </row>
        <row r="46">
          <cell r="B46">
            <v>11</v>
          </cell>
          <cell r="C46" t="str">
            <v>Lavaggio ferri</v>
          </cell>
          <cell r="F46">
            <v>1</v>
          </cell>
          <cell r="G46">
            <v>8</v>
          </cell>
          <cell r="H46">
            <v>8</v>
          </cell>
          <cell r="I46">
            <v>8</v>
          </cell>
          <cell r="K46">
            <v>29528</v>
          </cell>
          <cell r="L46">
            <v>2.7092928745597399E-2</v>
          </cell>
          <cell r="M46">
            <v>2.7092928745597399E-2</v>
          </cell>
        </row>
        <row r="48">
          <cell r="B48">
            <v>12</v>
          </cell>
          <cell r="C48" t="str">
            <v>Travaso pasta a fusione da cartonbox a palbox</v>
          </cell>
          <cell r="H48">
            <v>0</v>
          </cell>
          <cell r="I48">
            <v>0</v>
          </cell>
          <cell r="K48">
            <v>29528</v>
          </cell>
          <cell r="L48">
            <v>0</v>
          </cell>
          <cell r="M48">
            <v>0</v>
          </cell>
        </row>
        <row r="49">
          <cell r="C49" t="str">
            <v xml:space="preserve"> Addetti Ks x Dolc. Cr. / CBP +/ 4 Form. / Process./ Tiramisù</v>
          </cell>
          <cell r="F49">
            <v>2</v>
          </cell>
          <cell r="G49">
            <v>8</v>
          </cell>
          <cell r="H49">
            <v>8</v>
          </cell>
          <cell r="I49">
            <v>16</v>
          </cell>
          <cell r="K49">
            <v>6868</v>
          </cell>
          <cell r="L49">
            <v>0.23296447291788003</v>
          </cell>
          <cell r="N49">
            <v>0.23296447291788003</v>
          </cell>
        </row>
        <row r="50">
          <cell r="C50" t="str">
            <v xml:space="preserve"> Capi reparto (vedi scheda allegato 3)</v>
          </cell>
          <cell r="L50">
            <v>1.2026458208057728E-2</v>
          </cell>
          <cell r="M50">
            <v>1.2026458208057728E-2</v>
          </cell>
          <cell r="N50">
            <v>1.2026458208057728E-2</v>
          </cell>
          <cell r="O50">
            <v>1.2026458208057728E-2</v>
          </cell>
          <cell r="P50">
            <v>1.2026458208057728E-2</v>
          </cell>
        </row>
        <row r="52">
          <cell r="C52" t="str">
            <v>NB  tener conto di 1 x 8 ore Magor</v>
          </cell>
          <cell r="F52">
            <v>1</v>
          </cell>
          <cell r="G52">
            <v>8</v>
          </cell>
          <cell r="H52">
            <v>8</v>
          </cell>
          <cell r="I52">
            <v>8</v>
          </cell>
        </row>
        <row r="56">
          <cell r="C56" t="str">
            <v xml:space="preserve"> TEMPO TOTALE</v>
          </cell>
          <cell r="E56" t="str">
            <v>ORE/100 KG.</v>
          </cell>
          <cell r="I56">
            <v>136</v>
          </cell>
          <cell r="L56">
            <v>0.58296861203604211</v>
          </cell>
          <cell r="M56">
            <v>0.35000413911816208</v>
          </cell>
          <cell r="N56">
            <v>0.32516731917965591</v>
          </cell>
          <cell r="O56">
            <v>9.2202846261775911E-2</v>
          </cell>
          <cell r="P56">
            <v>9.2202846261775911E-2</v>
          </cell>
        </row>
        <row r="60">
          <cell r="C60" t="str">
            <v xml:space="preserve"> Determinanti 2004</v>
          </cell>
          <cell r="F60" t="str">
            <v>KG/ANNO</v>
          </cell>
          <cell r="G60" t="str">
            <v>GG/ANNO</v>
          </cell>
          <cell r="H60" t="str">
            <v>KG/GIORNO</v>
          </cell>
        </row>
        <row r="61">
          <cell r="C61" t="str">
            <v xml:space="preserve"> C.B.P. Normale</v>
          </cell>
          <cell r="F61">
            <v>5665000</v>
          </cell>
          <cell r="G61">
            <v>250</v>
          </cell>
          <cell r="H61">
            <v>22660</v>
          </cell>
          <cell r="K61" t="str">
            <v xml:space="preserve"> SEGUE SU SCHEDE DI CONFEZIONAMENTO</v>
          </cell>
        </row>
        <row r="62">
          <cell r="C62" t="str">
            <v xml:space="preserve"> C.B.P. +,  Dolcelatte cremoso, Crema 4 formaggi, Processato</v>
          </cell>
          <cell r="F62">
            <v>1717000</v>
          </cell>
          <cell r="G62">
            <v>250</v>
          </cell>
          <cell r="H62">
            <v>6868</v>
          </cell>
          <cell r="K62" t="str">
            <v xml:space="preserve"> - FUSI PORZIONI</v>
          </cell>
        </row>
        <row r="63">
          <cell r="H63" t="str">
            <v/>
          </cell>
          <cell r="K63" t="str">
            <v xml:space="preserve"> - FILANTE</v>
          </cell>
        </row>
        <row r="64">
          <cell r="C64" t="str">
            <v xml:space="preserve"> Filante + Idea Pizza + Fil. Rapè + Filone Mozz.</v>
          </cell>
          <cell r="F64">
            <v>7585000</v>
          </cell>
          <cell r="G64">
            <v>250</v>
          </cell>
          <cell r="H64">
            <v>30340</v>
          </cell>
          <cell r="K64" t="str">
            <v xml:space="preserve"> - FILANTE x PIZZA</v>
          </cell>
        </row>
        <row r="65">
          <cell r="K65" t="str">
            <v xml:space="preserve"> - IDEA PIZZA</v>
          </cell>
        </row>
        <row r="66">
          <cell r="K66" t="str">
            <v xml:space="preserve"> - FORMAGGIO PER PIZZA</v>
          </cell>
        </row>
        <row r="68">
          <cell r="C68" t="str">
            <v xml:space="preserve"> TOTALI</v>
          </cell>
          <cell r="F68">
            <v>14967000</v>
          </cell>
          <cell r="G68">
            <v>248</v>
          </cell>
          <cell r="H68">
            <v>59868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 refreshError="1"/>
      <sheetData sheetId="59" refreshError="1"/>
      <sheetData sheetId="60" refreshError="1"/>
      <sheetData sheetId="61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cBookData"/>
      <sheetName val="pcQueryData"/>
      <sheetName val="_pcSlicerSheet"/>
      <sheetName val="_pcHiddenSheet1"/>
      <sheetName val="Vol and GP Report"/>
      <sheetName val="CUST LOOKUP"/>
      <sheetName val="_pcSlicerSheet1"/>
      <sheetName val="_pcHiddenSheet2"/>
      <sheetName val="TRADING REPORT"/>
      <sheetName val="_pcHiddenSheet3"/>
      <sheetName val="PROMOTION VOLS"/>
    </sheetNames>
    <sheetDataSet>
      <sheetData sheetId="0"/>
      <sheetData sheetId="1" refreshError="1">
        <row r="3">
          <cell r="A3" t="str">
            <v>_Amount_for_Monthly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ommaire"/>
      <sheetName val="synth"/>
      <sheetName val="pts attention"/>
      <sheetName val="taux de perte MP-MG"/>
      <sheetName val="perte MP-MG av quai"/>
      <sheetName val="rendements sérum"/>
      <sheetName val="dco"/>
      <sheetName val="charges"/>
      <sheetName val="Nrj ratios"/>
      <sheetName val="Prix Nrj"/>
      <sheetName val="Nrj présentat°"/>
      <sheetName val="Eau présentat°"/>
      <sheetName val="détail effectifs"/>
      <sheetName val="productivité"/>
      <sheetName val="pdvté.laval"/>
      <sheetName val="effectifs"/>
      <sheetName val="évolut° eff"/>
      <sheetName val="évolut° masse"/>
      <sheetName val="synthèse.perso"/>
      <sheetName val="eff &amp; frais perso"/>
      <sheetName val="tnp"/>
      <sheetName val="Prod chim"/>
      <sheetName val="Laboratoire"/>
      <sheetName val="analyses"/>
      <sheetName val="PTT EPI"/>
      <sheetName val="info et clean"/>
      <sheetName val="déchets"/>
      <sheetName val="stk ext"/>
      <sheetName val="Shéma palette"/>
      <sheetName val="Emballages"/>
      <sheetName val="Ecremeus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>
        <row r="2">
          <cell r="AR2">
            <v>0.83</v>
          </cell>
        </row>
        <row r="3">
          <cell r="AR3">
            <v>1.27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>
        <row r="6">
          <cell r="H6">
            <v>82589</v>
          </cell>
        </row>
      </sheetData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YNT"/>
      <sheetName val="PE"/>
      <sheetName val="U1"/>
      <sheetName val="DI"/>
      <sheetName val="VERIF"/>
      <sheetName val="SIG"/>
      <sheetName val="VOL"/>
      <sheetName val="ACTIVITE"/>
      <sheetName val="RDT"/>
      <sheetName val="FR22"/>
      <sheetName val="MIXM"/>
      <sheetName val="PRODté"/>
      <sheetName val="FACON"/>
      <sheetName val="PCI PPNC"/>
      <sheetName val="PCI PPC"/>
      <sheetName val="RAPE GALBANI"/>
      <sheetName val="INTERFA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/>
      <sheetData sheetId="11"/>
      <sheetData sheetId="12"/>
      <sheetData sheetId="13" refreshError="1"/>
      <sheetData sheetId="14"/>
      <sheetData sheetId="15" refreshError="1"/>
      <sheetData sheetId="1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cart Activité"/>
      <sheetName val="VOLUMES"/>
      <sheetName val="Grille"/>
    </sheetNames>
    <sheetDataSet>
      <sheetData sheetId="0"/>
      <sheetData sheetId="1"/>
      <sheetData sheetId="2" refreshError="1">
        <row r="3">
          <cell r="B3">
            <v>1</v>
          </cell>
          <cell r="C3" t="str">
            <v>JANVIER</v>
          </cell>
        </row>
        <row r="4">
          <cell r="B4">
            <v>2</v>
          </cell>
          <cell r="C4" t="str">
            <v>FÉVRIER</v>
          </cell>
        </row>
        <row r="5">
          <cell r="B5">
            <v>3</v>
          </cell>
          <cell r="C5" t="str">
            <v>MARS</v>
          </cell>
        </row>
        <row r="6">
          <cell r="B6">
            <v>4</v>
          </cell>
          <cell r="C6" t="str">
            <v>AVRIL</v>
          </cell>
        </row>
        <row r="7">
          <cell r="B7">
            <v>5</v>
          </cell>
          <cell r="C7" t="str">
            <v>MAI</v>
          </cell>
        </row>
        <row r="8">
          <cell r="B8">
            <v>6</v>
          </cell>
          <cell r="C8" t="str">
            <v>JUIN</v>
          </cell>
        </row>
        <row r="9">
          <cell r="B9">
            <v>7</v>
          </cell>
          <cell r="C9" t="str">
            <v>JUILLET</v>
          </cell>
        </row>
        <row r="10">
          <cell r="B10">
            <v>8</v>
          </cell>
          <cell r="C10" t="str">
            <v>AOÛT</v>
          </cell>
        </row>
        <row r="11">
          <cell r="B11">
            <v>9</v>
          </cell>
          <cell r="C11" t="str">
            <v>SEPTEMBRE</v>
          </cell>
        </row>
        <row r="12">
          <cell r="B12">
            <v>10</v>
          </cell>
          <cell r="C12" t="str">
            <v>OCTOBRE</v>
          </cell>
        </row>
        <row r="13">
          <cell r="B13">
            <v>11</v>
          </cell>
          <cell r="C13" t="str">
            <v>NOVEMBRE</v>
          </cell>
        </row>
        <row r="14">
          <cell r="B14">
            <v>12</v>
          </cell>
          <cell r="C14" t="str">
            <v>DÉCEMBRE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0F947-2ABB-41E4-9BF8-362C7EA09C5F}">
  <sheetPr>
    <pageSetUpPr fitToPage="1"/>
  </sheetPr>
  <dimension ref="A1:F22"/>
  <sheetViews>
    <sheetView tabSelected="1" zoomScale="90" zoomScaleNormal="90" workbookViewId="0">
      <selection activeCell="C14" sqref="C14"/>
    </sheetView>
  </sheetViews>
  <sheetFormatPr baseColWidth="10" defaultRowHeight="15" x14ac:dyDescent="0.25"/>
  <cols>
    <col min="1" max="1" width="48.7109375" customWidth="1"/>
    <col min="2" max="2" width="14.28515625" customWidth="1"/>
  </cols>
  <sheetData>
    <row r="1" spans="1:6" ht="21" x14ac:dyDescent="0.25">
      <c r="A1" s="5" t="s">
        <v>14</v>
      </c>
      <c r="B1" s="15" t="s">
        <v>22</v>
      </c>
      <c r="C1" s="15" t="s">
        <v>4</v>
      </c>
      <c r="D1" s="15" t="s">
        <v>3</v>
      </c>
      <c r="E1" s="15" t="s">
        <v>5</v>
      </c>
      <c r="F1" s="15" t="s">
        <v>6</v>
      </c>
    </row>
    <row r="2" spans="1:6" x14ac:dyDescent="0.25">
      <c r="A2" s="17" t="s">
        <v>7</v>
      </c>
      <c r="B2" s="18"/>
      <c r="C2" s="18">
        <v>1</v>
      </c>
      <c r="D2" s="18">
        <v>1</v>
      </c>
      <c r="E2" s="18">
        <v>1</v>
      </c>
      <c r="F2" s="18">
        <v>1</v>
      </c>
    </row>
    <row r="3" spans="1:6" ht="18.75" x14ac:dyDescent="0.3">
      <c r="A3" s="22" t="s">
        <v>34</v>
      </c>
      <c r="B3" s="23"/>
      <c r="C3" s="23"/>
      <c r="D3" s="23"/>
      <c r="E3" s="23"/>
      <c r="F3" s="23"/>
    </row>
    <row r="4" spans="1:6" x14ac:dyDescent="0.25">
      <c r="A4" s="20" t="s">
        <v>32</v>
      </c>
      <c r="B4" s="2"/>
      <c r="C4" s="2">
        <v>0.54849999999999999</v>
      </c>
      <c r="D4" s="2">
        <v>0.54949999999999999</v>
      </c>
      <c r="E4" s="2">
        <v>0.5635</v>
      </c>
      <c r="F4" s="2">
        <v>0.50470000000000004</v>
      </c>
    </row>
    <row r="5" spans="1:6" x14ac:dyDescent="0.25">
      <c r="A5" s="21" t="s">
        <v>33</v>
      </c>
      <c r="B5" s="3"/>
      <c r="C5" s="3">
        <v>0.29799999999999999</v>
      </c>
      <c r="D5" s="3">
        <v>0.30280000000000001</v>
      </c>
      <c r="E5" s="3">
        <v>0.30930000000000002</v>
      </c>
      <c r="F5" s="3">
        <v>0.20219999999999999</v>
      </c>
    </row>
    <row r="6" spans="1:6" x14ac:dyDescent="0.25">
      <c r="A6" s="1" t="s">
        <v>0</v>
      </c>
      <c r="B6" s="36" t="s">
        <v>19</v>
      </c>
      <c r="C6" s="6">
        <f>C4-C5</f>
        <v>0.2505</v>
      </c>
      <c r="D6" s="6">
        <f>D4-D5</f>
        <v>0.24669999999999997</v>
      </c>
      <c r="E6" s="6">
        <f t="shared" ref="E6:F6" si="0">E4-E5</f>
        <v>0.25419999999999998</v>
      </c>
      <c r="F6" s="6">
        <f t="shared" si="0"/>
        <v>0.30250000000000005</v>
      </c>
    </row>
    <row r="7" spans="1:6" x14ac:dyDescent="0.25">
      <c r="A7" s="1" t="s">
        <v>8</v>
      </c>
      <c r="B7" s="37" t="s">
        <v>20</v>
      </c>
      <c r="C7" s="7">
        <f>(1-C4)/(1-C5)</f>
        <v>0.64316239316239321</v>
      </c>
      <c r="D7" s="7">
        <f>(1-D4)/(1-D5)</f>
        <v>0.64615605278255883</v>
      </c>
      <c r="E7" s="7">
        <f t="shared" ref="E7:F7" si="1">(1-E4)/(1-E5)</f>
        <v>0.63196756913276386</v>
      </c>
      <c r="F7" s="7">
        <f t="shared" si="1"/>
        <v>0.62083228879418395</v>
      </c>
    </row>
    <row r="8" spans="1:6" x14ac:dyDescent="0.25">
      <c r="A8" s="4" t="s">
        <v>9</v>
      </c>
      <c r="B8" s="38" t="s">
        <v>21</v>
      </c>
      <c r="C8" s="8">
        <f>C5/C4</f>
        <v>0.54329990884229717</v>
      </c>
      <c r="D8" s="8">
        <f>D5/D4</f>
        <v>0.55104640582347597</v>
      </c>
      <c r="E8" s="8">
        <f t="shared" ref="E8:F8" si="2">E5/E4</f>
        <v>0.54889086069210291</v>
      </c>
      <c r="F8" s="8">
        <f t="shared" si="2"/>
        <v>0.40063404002377645</v>
      </c>
    </row>
    <row r="9" spans="1:6" ht="18.75" x14ac:dyDescent="0.3">
      <c r="A9" s="24" t="s">
        <v>35</v>
      </c>
      <c r="B9" s="25"/>
      <c r="C9" s="25"/>
      <c r="D9" s="25"/>
      <c r="E9" s="25"/>
      <c r="F9" s="25"/>
    </row>
    <row r="10" spans="1:6" x14ac:dyDescent="0.25">
      <c r="A10" s="26" t="s">
        <v>17</v>
      </c>
      <c r="B10" s="27"/>
      <c r="C10" s="27">
        <v>38.1</v>
      </c>
      <c r="D10" s="27">
        <v>41.37</v>
      </c>
      <c r="E10" s="27">
        <v>71.05</v>
      </c>
      <c r="F10" s="27">
        <v>24.82</v>
      </c>
    </row>
    <row r="11" spans="1:6" x14ac:dyDescent="0.25">
      <c r="A11" s="28" t="s">
        <v>18</v>
      </c>
      <c r="B11" s="29"/>
      <c r="C11" s="29">
        <v>32.1</v>
      </c>
      <c r="D11" s="29">
        <v>32.049999999999997</v>
      </c>
      <c r="E11" s="29">
        <v>56.97</v>
      </c>
      <c r="F11" s="29">
        <v>33.659999999999997</v>
      </c>
    </row>
    <row r="12" spans="1:6" ht="18.75" x14ac:dyDescent="0.3">
      <c r="A12" s="30" t="s">
        <v>36</v>
      </c>
      <c r="B12" s="31"/>
      <c r="C12" s="31"/>
      <c r="D12" s="31"/>
      <c r="E12" s="31"/>
      <c r="F12" s="31"/>
    </row>
    <row r="13" spans="1:6" x14ac:dyDescent="0.25">
      <c r="A13" s="32" t="s">
        <v>31</v>
      </c>
      <c r="B13" s="33"/>
      <c r="C13" s="33">
        <v>0.9446</v>
      </c>
      <c r="D13" s="33">
        <v>0.96779999999999999</v>
      </c>
      <c r="E13" s="33">
        <v>0.93479999999999996</v>
      </c>
      <c r="F13" s="33">
        <v>0.97330000000000005</v>
      </c>
    </row>
    <row r="14" spans="1:6" ht="18.75" x14ac:dyDescent="0.3">
      <c r="A14" s="19" t="s">
        <v>37</v>
      </c>
      <c r="B14" s="34"/>
      <c r="C14" s="34"/>
      <c r="D14" s="34"/>
      <c r="E14" s="34"/>
      <c r="F14" s="34"/>
    </row>
    <row r="15" spans="1:6" x14ac:dyDescent="0.25">
      <c r="A15" s="1" t="s">
        <v>15</v>
      </c>
      <c r="B15" s="39" t="s">
        <v>23</v>
      </c>
      <c r="C15" s="9">
        <f>C13*C11</f>
        <v>30.321660000000001</v>
      </c>
      <c r="D15" s="9">
        <f>D13*D11</f>
        <v>31.017989999999998</v>
      </c>
      <c r="E15" s="9">
        <f>E13*E11</f>
        <v>53.255555999999999</v>
      </c>
      <c r="F15" s="9">
        <f>F13*F11</f>
        <v>32.761277999999997</v>
      </c>
    </row>
    <row r="16" spans="1:6" x14ac:dyDescent="0.25">
      <c r="A16" s="1" t="s">
        <v>1</v>
      </c>
      <c r="B16" s="40" t="s">
        <v>24</v>
      </c>
      <c r="C16" s="16">
        <f>C6*1000/C15</f>
        <v>8.2614210435708326</v>
      </c>
      <c r="D16" s="16">
        <f>D6*1000/D15</f>
        <v>7.9534489501092756</v>
      </c>
      <c r="E16" s="16">
        <f>E6*1000/E15</f>
        <v>4.7732108927752064</v>
      </c>
      <c r="F16" s="16">
        <f>F6*1000/F15</f>
        <v>9.2334615273555585</v>
      </c>
    </row>
    <row r="17" spans="1:6" x14ac:dyDescent="0.25">
      <c r="A17" s="1" t="s">
        <v>2</v>
      </c>
      <c r="B17" s="39" t="s">
        <v>25</v>
      </c>
      <c r="C17" s="9">
        <f>C5*1000/C16</f>
        <v>36.071276167664678</v>
      </c>
      <c r="D17" s="9">
        <f>D5*1000/D16</f>
        <v>38.071533733279288</v>
      </c>
      <c r="E17" s="9">
        <f>E5*1000/E16</f>
        <v>64.79914819354839</v>
      </c>
      <c r="F17" s="9">
        <f>F5*1000/F16</f>
        <v>21.898612930909085</v>
      </c>
    </row>
    <row r="18" spans="1:6" x14ac:dyDescent="0.25">
      <c r="A18" s="1" t="s">
        <v>10</v>
      </c>
      <c r="B18" s="41" t="s">
        <v>26</v>
      </c>
      <c r="C18" s="14">
        <f>C17/C10</f>
        <v>0.94675265531928288</v>
      </c>
      <c r="D18" s="14">
        <f>D17/D10</f>
        <v>0.92026912577421538</v>
      </c>
      <c r="E18" s="14">
        <f t="shared" ref="E18:F18" si="3">E17/E10</f>
        <v>0.91202179019772545</v>
      </c>
      <c r="F18" s="14">
        <f t="shared" si="3"/>
        <v>0.88229705603985031</v>
      </c>
    </row>
    <row r="19" spans="1:6" x14ac:dyDescent="0.25">
      <c r="A19" s="12" t="s">
        <v>16</v>
      </c>
      <c r="B19" s="42" t="s">
        <v>27</v>
      </c>
      <c r="C19" s="13">
        <f>C17-C10</f>
        <v>-2.0287238323353236</v>
      </c>
      <c r="D19" s="13">
        <f>D17-D10</f>
        <v>-3.298466266720709</v>
      </c>
      <c r="E19" s="13">
        <f t="shared" ref="E19:F19" si="4">E17-E10</f>
        <v>-6.2508518064516068</v>
      </c>
      <c r="F19" s="13">
        <f t="shared" si="4"/>
        <v>-2.9213870690909154</v>
      </c>
    </row>
    <row r="20" spans="1:6" x14ac:dyDescent="0.25">
      <c r="A20" s="4" t="s">
        <v>12</v>
      </c>
      <c r="B20" s="43" t="s">
        <v>28</v>
      </c>
      <c r="C20" s="35">
        <f>C19/C10</f>
        <v>-5.3247344680717151E-2</v>
      </c>
      <c r="D20" s="35">
        <f>D19/D10</f>
        <v>-7.9730874225784606E-2</v>
      </c>
      <c r="E20" s="35">
        <f t="shared" ref="E20:F20" si="5">E19/E10</f>
        <v>-8.7978209802274554E-2</v>
      </c>
      <c r="F20" s="35">
        <f t="shared" si="5"/>
        <v>-0.11770294396014969</v>
      </c>
    </row>
    <row r="21" spans="1:6" x14ac:dyDescent="0.25">
      <c r="A21" s="12" t="s">
        <v>13</v>
      </c>
      <c r="B21" s="44" t="s">
        <v>29</v>
      </c>
      <c r="C21" s="10">
        <f>C10*C16</f>
        <v>314.76014176004873</v>
      </c>
      <c r="D21" s="10">
        <f>D10*D16</f>
        <v>329.03418306602072</v>
      </c>
      <c r="E21" s="10">
        <f t="shared" ref="E21:F21" si="6">E10*E16</f>
        <v>339.13663393167838</v>
      </c>
      <c r="F21" s="10">
        <f t="shared" si="6"/>
        <v>229.17451510896495</v>
      </c>
    </row>
    <row r="22" spans="1:6" x14ac:dyDescent="0.25">
      <c r="A22" s="4" t="s">
        <v>11</v>
      </c>
      <c r="B22" s="45" t="s">
        <v>30</v>
      </c>
      <c r="C22" s="11">
        <f>C11*C16</f>
        <v>265.19161549862372</v>
      </c>
      <c r="D22" s="11">
        <f>D11*D16</f>
        <v>254.90803885100226</v>
      </c>
      <c r="E22" s="11">
        <f t="shared" ref="E22:F22" si="7">E11*E16</f>
        <v>271.92982456140351</v>
      </c>
      <c r="F22" s="11">
        <f t="shared" si="7"/>
        <v>310.79831501078809</v>
      </c>
    </row>
  </sheetData>
  <pageMargins left="0.25" right="0.25" top="0.75" bottom="0.75" header="0.3" footer="0.3"/>
  <pageSetup paperSize="9" scale="77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Estándar técnico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Riera</dc:creator>
  <cp:lastModifiedBy>Juan Riera</cp:lastModifiedBy>
  <dcterms:created xsi:type="dcterms:W3CDTF">2021-08-17T11:04:57Z</dcterms:created>
  <dcterms:modified xsi:type="dcterms:W3CDTF">2025-11-09T18:46:22Z</dcterms:modified>
</cp:coreProperties>
</file>