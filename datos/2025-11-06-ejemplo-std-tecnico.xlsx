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819" documentId="8_{5F9E455A-213A-447C-A11C-7E9616724FEA}" xr6:coauthVersionLast="47" xr6:coauthVersionMax="47" xr10:uidLastSave="{A0B5BBDD-EBB7-4467-9734-177531AE2285}"/>
  <bookViews>
    <workbookView xWindow="-120" yWindow="-120" windowWidth="29040" windowHeight="16440" tabRatio="675" xr2:uid="{6977E7F1-D64B-47FE-B2A7-D4E9B0399E18}"/>
  </bookViews>
  <sheets>
    <sheet name="Estándar de fab" sheetId="21" r:id="rId1"/>
    <sheet name="Desviaciones" sheetId="1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localSheetId="1" hidden="1">{"SPM1",#N/A,FALSE,"RIEP"}</definedName>
    <definedName name="__c" localSheetId="0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1" hidden="1">{"SPM1",#N/A,FALSE,"RIEP"}</definedName>
    <definedName name="a" localSheetId="0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1" hidden="1">{#N/A,#N/A,FALSE,"RIEP"}</definedName>
    <definedName name="aaaaa" localSheetId="0" hidden="1">{#N/A,#N/A,FALSE,"RIEP"}</definedName>
    <definedName name="aaaaa" hidden="1">{#N/A,#N/A,FALSE,"RIEP"}</definedName>
    <definedName name="aaaaaaaaaaaaaaaa" localSheetId="1" hidden="1">{#N/A,#N/A,FALSE,"RIEP"}</definedName>
    <definedName name="aaaaaaaaaaaaaaaa" localSheetId="0" hidden="1">{#N/A,#N/A,FALSE,"RIEP"}</definedName>
    <definedName name="aaaaaaaaaaaaaaaa" hidden="1">{#N/A,#N/A,FALSE,"RIEP"}</definedName>
    <definedName name="AASAS" localSheetId="1" hidden="1">{"QQQ",#N/A,FALSE,"RIEP"}</definedName>
    <definedName name="AASAS" localSheetId="0" hidden="1">{"QQQ",#N/A,FALSE,"RIEP"}</definedName>
    <definedName name="AASAS" hidden="1">{"QQQ",#N/A,FALSE,"RIEP"}</definedName>
    <definedName name="ADV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ADV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1" hidden="1">{#N/A,#N/A,TRUE,"EC COMM-t";#N/A,#N/A,TRUE,"EC PAR PDTS-t";#N/A,#N/A,TRUE,"EC MAT-t";#N/A,#N/A,TRUE,"SUIVI HAUSSES-t"}</definedName>
    <definedName name="ana" localSheetId="0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1" hidden="1">{"SPM1",#N/A,FALSE,"RIEP"}</definedName>
    <definedName name="ardqer" localSheetId="0" hidden="1">{"SPM1",#N/A,FALSE,"RIEP"}</definedName>
    <definedName name="ardqer" hidden="1">{"SPM1",#N/A,FALSE,"RIEP"}</definedName>
    <definedName name="ASD" localSheetId="1" hidden="1">{"QQQ",#N/A,FALSE,"RIEP"}</definedName>
    <definedName name="ASD" localSheetId="0" hidden="1">{"QQQ",#N/A,FALSE,"RIEP"}</definedName>
    <definedName name="ASD" hidden="1">{"QQQ",#N/A,FALSE,"RIEP"}</definedName>
    <definedName name="ASDF" localSheetId="1" hidden="1">{#N/A,#N/A,FALSE,"RIEP"}</definedName>
    <definedName name="ASDF" localSheetId="0" hidden="1">{#N/A,#N/A,FALSE,"RIEP"}</definedName>
    <definedName name="ASDF" hidden="1">{#N/A,#N/A,FALSE,"RIEP"}</definedName>
    <definedName name="asdfas" localSheetId="1" hidden="1">{#N/A,#N/A,FALSE,"RIEP"}</definedName>
    <definedName name="asdfas" localSheetId="0" hidden="1">{#N/A,#N/A,FALSE,"RIEP"}</definedName>
    <definedName name="asdfas" hidden="1">{#N/A,#N/A,FALSE,"RIEP"}</definedName>
    <definedName name="aùsw" localSheetId="1" hidden="1">{"SPM1",#N/A,FALSE,"RIEP"}</definedName>
    <definedName name="aùsw" localSheetId="0" hidden="1">{"SPM1",#N/A,FALSE,"RIEP"}</definedName>
    <definedName name="aùsw" hidden="1">{"SPM1",#N/A,FALSE,"RIEP"}</definedName>
    <definedName name="bbbbb" localSheetId="1" hidden="1">{#N/A,#N/A,FALSE,"recap";#N/A,#N/A,FALSE,"matNeuf";#N/A,#N/A,FALSE,"matNdie";#N/A,#N/A,FALSE,"incNeuf";#N/A,#N/A,FALSE,"incNdie";#N/A,#N/A,FALSE,"volume";#N/A,#N/A,FALSE,"emballage";#N/A,#N/A,FALSE,"charge"}</definedName>
    <definedName name="bbbbb" localSheetId="0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localSheetId="0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1" hidden="1">{"SPM1",#N/A,FALSE,"RIEP"}</definedName>
    <definedName name="byikbyuj" localSheetId="0" hidden="1">{"SPM1",#N/A,FALSE,"RIEP"}</definedName>
    <definedName name="byikbyuj" hidden="1">{"SPM1",#N/A,FALSE,"RIEP"}</definedName>
    <definedName name="byubtyuj" localSheetId="1" hidden="1">{"QQQ",#N/A,FALSE,"RIEP"}</definedName>
    <definedName name="byubtyuj" localSheetId="0" hidden="1">{"QQQ",#N/A,FALSE,"RIEP"}</definedName>
    <definedName name="byubtyuj" hidden="1">{"QQQ",#N/A,FALSE,"RIEP"}</definedName>
    <definedName name="byukkty" localSheetId="1" hidden="1">{#N/A,#N/A,FALSE,"RIEP"}</definedName>
    <definedName name="byukkty" localSheetId="0" hidden="1">{#N/A,#N/A,FALSE,"RIEP"}</definedName>
    <definedName name="byukkty" hidden="1">{#N/A,#N/A,FALSE,"RIEP"}</definedName>
    <definedName name="byuku" localSheetId="1" hidden="1">{#N/A,#N/A,FALSE,"RIEP"}</definedName>
    <definedName name="byuku" localSheetId="0" hidden="1">{#N/A,#N/A,FALSE,"RIEP"}</definedName>
    <definedName name="byuku" hidden="1">{#N/A,#N/A,FALSE,"RIEP"}</definedName>
    <definedName name="č" localSheetId="1" hidden="1">{"'domaće količine'!$K$34:$P$47"}</definedName>
    <definedName name="č" localSheetId="0" hidden="1">{"'domaće količine'!$K$34:$P$47"}</definedName>
    <definedName name="č" hidden="1">{"'domaće količine'!$K$34:$P$47"}</definedName>
    <definedName name="cc" localSheetId="1" hidden="1">{#N/A,#N/A,FALSE,"RIEP"}</definedName>
    <definedName name="cc" localSheetId="0" hidden="1">{#N/A,#N/A,FALSE,"RIEP"}</definedName>
    <definedName name="cc" hidden="1">{#N/A,#N/A,FALSE,"RIEP"}</definedName>
    <definedName name="ccc" localSheetId="1" hidden="1">{"SPM1",#N/A,FALSE,"RIEP"}</definedName>
    <definedName name="ccc" localSheetId="0" hidden="1">{"SPM1",#N/A,FALSE,"RIEP"}</definedName>
    <definedName name="ccc" hidden="1">{"SPM1",#N/A,FALSE,"RIEP"}</definedName>
    <definedName name="cccc" localSheetId="1" hidden="1">{"SPM1",#N/A,FALSE,"RIEP"}</definedName>
    <definedName name="cccc" localSheetId="0" hidden="1">{"SPM1",#N/A,FALSE,"RIEP"}</definedName>
    <definedName name="cccc" hidden="1">{"SPM1",#N/A,FALSE,"RIEP"}</definedName>
    <definedName name="CCSFDFRDF" localSheetId="1" hidden="1">{"SPM1",#N/A,FALSE,"RIEP"}</definedName>
    <definedName name="CCSFDFRDF" localSheetId="0" hidden="1">{"SPM1",#N/A,FALSE,"RIEP"}</definedName>
    <definedName name="CCSFDFRDF" hidden="1">{"SPM1",#N/A,FALSE,"RIEP"}</definedName>
    <definedName name="cdf" localSheetId="1" hidden="1">{"SPM1",#N/A,FALSE,"RIEP"}</definedName>
    <definedName name="cdf" localSheetId="0" hidden="1">{"SPM1",#N/A,FALSE,"RIEP"}</definedName>
    <definedName name="cdf" hidden="1">{"SPM1",#N/A,FALSE,"RIEP"}</definedName>
    <definedName name="CDVF" localSheetId="1" hidden="1">{"SPM1",#N/A,FALSE,"RIEP"}</definedName>
    <definedName name="CDVF" localSheetId="0" hidden="1">{"SPM1",#N/A,FALSE,"RIEP"}</definedName>
    <definedName name="CDVF" hidden="1">{"SPM1",#N/A,FALSE,"RIEP"}</definedName>
    <definedName name="copie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copie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1" hidden="1">{#N/A,#N/A,FALSE,"RIEP"}</definedName>
    <definedName name="D" localSheetId="0" hidden="1">{#N/A,#N/A,FALSE,"RIEP"}</definedName>
    <definedName name="D" hidden="1">{#N/A,#N/A,FALSE,"RIEP"}</definedName>
    <definedName name="DAFreofè0eirfh" localSheetId="1" hidden="1">{"SPM1",#N/A,FALSE,"RIEP"}</definedName>
    <definedName name="DAFreofè0eirfh" localSheetId="0" hidden="1">{"SPM1",#N/A,FALSE,"RIEP"}</definedName>
    <definedName name="DAFreofè0eirfh" hidden="1">{"SPM1",#N/A,FALSE,"RIEP"}</definedName>
    <definedName name="dd">#REF!</definedName>
    <definedName name="DDD" localSheetId="1" hidden="1">{#N/A,#N/A,TRUE,"EC COMM-t";#N/A,#N/A,TRUE,"EC PAR PDTS-t";#N/A,#N/A,TRUE,"EC MAT-t";#N/A,#N/A,TRUE,"SUIVI HAUSSES-t"}</definedName>
    <definedName name="DDD" localSheetId="0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1" hidden="1">{"SPM1",#N/A,FALSE,"RIEP"}</definedName>
    <definedName name="DDDDD" localSheetId="0" hidden="1">{"SPM1",#N/A,FALSE,"RIEP"}</definedName>
    <definedName name="DDDDD" hidden="1">{"SPM1",#N/A,FALSE,"RIEP"}</definedName>
    <definedName name="ddddddd" localSheetId="1" hidden="1">{#N/A,#N/A,FALSE,"RIEP"}</definedName>
    <definedName name="ddddddd" localSheetId="0" hidden="1">{#N/A,#N/A,FALSE,"RIEP"}</definedName>
    <definedName name="ddddddd" hidden="1">{#N/A,#N/A,FALSE,"RIEP"}</definedName>
    <definedName name="d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1" hidden="1">{"SPM1",#N/A,FALSE,"RIEP"}</definedName>
    <definedName name="dfa" localSheetId="0" hidden="1">{"SPM1",#N/A,FALSE,"RIEP"}</definedName>
    <definedName name="dfa" hidden="1">{"SPM1",#N/A,FALSE,"RIEP"}</definedName>
    <definedName name="DFda" localSheetId="1" hidden="1">{#N/A,#N/A,FALSE,"RIEP"}</definedName>
    <definedName name="DFda" localSheetId="0" hidden="1">{#N/A,#N/A,FALSE,"RIEP"}</definedName>
    <definedName name="DFda" hidden="1">{#N/A,#N/A,FALSE,"RIEP"}</definedName>
    <definedName name="DFRSFG" localSheetId="1" hidden="1">{"SPM1",#N/A,FALSE,"RIEP"}</definedName>
    <definedName name="DFRSFG" localSheetId="0" hidden="1">{"SPM1",#N/A,FALSE,"RIEP"}</definedName>
    <definedName name="DFRSFG" hidden="1">{"SPM1",#N/A,FALSE,"RIEP"}</definedName>
    <definedName name="djdjdj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1" hidden="1">{"'domaće količine'!$K$34:$P$47"}</definedName>
    <definedName name="DRAGAN" localSheetId="0" hidden="1">{"'domaće količine'!$K$34:$P$47"}</definedName>
    <definedName name="DRAGAN" hidden="1">{"'domaće količine'!$K$34:$P$47"}</definedName>
    <definedName name="draganć" localSheetId="1" hidden="1">{"'domaće količine'!$K$34:$P$47"}</definedName>
    <definedName name="draganć" localSheetId="0" hidden="1">{"'domaće količine'!$K$34:$P$47"}</definedName>
    <definedName name="draganć" hidden="1">{"'domaće količine'!$K$34:$P$47"}</definedName>
    <definedName name="DSFSDGFG" localSheetId="1" hidden="1">{"SPM1",#N/A,FALSE,"RIEP"}</definedName>
    <definedName name="DSFSDGFG" localSheetId="0" hidden="1">{"SPM1",#N/A,FALSE,"RIEP"}</definedName>
    <definedName name="DSFSDGFG" hidden="1">{"SPM1",#N/A,FALSE,"RIEP"}</definedName>
    <definedName name="dthrrr" localSheetId="1" hidden="1">{"SPM1",#N/A,FALSE,"RIEP"}</definedName>
    <definedName name="dthrrr" localSheetId="0" hidden="1">{"SPM1",#N/A,FALSE,"RIEP"}</definedName>
    <definedName name="dthrrr" hidden="1">{"SPM1",#N/A,FALSE,"RIEP"}</definedName>
    <definedName name="ECA" localSheetId="1" hidden="1">{#N/A,#N/A,FALSE,"ANALYSE";#N/A,#N/A,FALSE,"PM VALEUR"}</definedName>
    <definedName name="ECA" localSheetId="0" hidden="1">{#N/A,#N/A,FALSE,"ANALYSE";#N/A,#N/A,FALSE,"PM VALEUR"}</definedName>
    <definedName name="ECA" hidden="1">{#N/A,#N/A,FALSE,"ANALYSE";#N/A,#N/A,FALSE,"PM VALEUR"}</definedName>
    <definedName name="ECARTBM" localSheetId="1" hidden="1">{"DETAIL",#N/A,FALSE,"REELBUDGET";"TOTAL",#N/A,FALSE,"REELBUDGET"}</definedName>
    <definedName name="ECARTBM" localSheetId="0" hidden="1">{"DETAIL",#N/A,FALSE,"REELBUDGET";"TOTAL",#N/A,FALSE,"REELBUDGET"}</definedName>
    <definedName name="ECARTBM" hidden="1">{"DETAIL",#N/A,FALSE,"REELBUDGET";"TOTAL",#N/A,FALSE,"REELBUDGET"}</definedName>
    <definedName name="eeee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1" hidden="1">{"QQQ",#N/A,FALSE,"RIEP"}</definedName>
    <definedName name="ere" localSheetId="0" hidden="1">{"QQQ",#N/A,FALSE,"RIEP"}</definedName>
    <definedName name="ere" hidden="1">{"QQQ",#N/A,FALSE,"RIEP"}</definedName>
    <definedName name="erte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1" hidden="1">{"'domaće količine'!$K$34:$P$47"}</definedName>
    <definedName name="EXCEL" localSheetId="0" hidden="1">{"'domaće količine'!$K$34:$P$47"}</definedName>
    <definedName name="EXCEL" hidden="1">{"'domaće količine'!$K$34:$P$47"}</definedName>
    <definedName name="ez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1" hidden="1">{#N/A,#N/A,FALSE,"RIEP"}</definedName>
    <definedName name="FDDSFDSGF" localSheetId="0" hidden="1">{#N/A,#N/A,FALSE,"RIEP"}</definedName>
    <definedName name="FDDSFDSGF" hidden="1">{#N/A,#N/A,FALSE,"RIEP"}</definedName>
    <definedName name="fdsdsgfsggd" localSheetId="1" hidden="1">{#N/A,#N/A,FALSE,"DIVISION";#N/A,#N/A,FALSE,"ED CAT";#N/A,#N/A,FALSE,"ED CAREL";#N/A,#N/A,FALSE,"ED JORT";#N/A,#N/A,FALSE,"ED VEYS";#N/A,#N/A,FALSE,"ED ORBEC";#N/A,#N/A,FALSE,"ED CLECY"}</definedName>
    <definedName name="fdsdsgfsggd" localSheetId="0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1" hidden="1">{"QQQ",#N/A,FALSE,"RIEP"}</definedName>
    <definedName name="ffffffffff" localSheetId="0" hidden="1">{"QQQ",#N/A,FALSE,"RIEP"}</definedName>
    <definedName name="ffffffffff" hidden="1">{"QQQ",#N/A,FALSE,"RIEP"}</definedName>
    <definedName name="fg" localSheetId="1" hidden="1">{#N/A,#N/A,FALSE,"RIEP"}</definedName>
    <definedName name="fg" localSheetId="0" hidden="1">{#N/A,#N/A,FALSE,"RIEP"}</definedName>
    <definedName name="fg" hidden="1">{#N/A,#N/A,FALSE,"RIEP"}</definedName>
    <definedName name="fgffg" localSheetId="1" hidden="1">{#N/A,#N/A,FALSE,"RIEP"}</definedName>
    <definedName name="fgffg" localSheetId="0" hidden="1">{#N/A,#N/A,FALSE,"RIEP"}</definedName>
    <definedName name="fgffg" hidden="1">{#N/A,#N/A,FALSE,"RIEP"}</definedName>
    <definedName name="FSDG" localSheetId="1" hidden="1">{#N/A,#N/A,FALSE,"RIEP"}</definedName>
    <definedName name="FSDG" localSheetId="0" hidden="1">{#N/A,#N/A,FALSE,"RIEP"}</definedName>
    <definedName name="FSDG" hidden="1">{#N/A,#N/A,FALSE,"RIEP"}</definedName>
    <definedName name="ftereare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1" hidden="1">{#N/A,#N/A,FALSE,"RIEP"}</definedName>
    <definedName name="gfhkkmh" localSheetId="0" hidden="1">{#N/A,#N/A,FALSE,"RIEP"}</definedName>
    <definedName name="gfhkkmh" hidden="1">{#N/A,#N/A,FALSE,"RIEP"}</definedName>
    <definedName name="GG" hidden="1">[7]ACTIVITE!#REF!</definedName>
    <definedName name="GGGG" localSheetId="1" hidden="1">{"SPM1",#N/A,FALSE,"RIEP"}</definedName>
    <definedName name="GGGG" localSheetId="0" hidden="1">{"SPM1",#N/A,FALSE,"RIEP"}</definedName>
    <definedName name="GGGG" hidden="1">{"SPM1",#N/A,FALSE,"RIEP"}</definedName>
    <definedName name="ggg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1" hidden="1">{"QQQ",#N/A,FALSE,"RIEP"}</definedName>
    <definedName name="ggggggggggg" localSheetId="0" hidden="1">{"QQQ",#N/A,FALSE,"RIEP"}</definedName>
    <definedName name="ggggggggggg" hidden="1">{"QQQ",#N/A,FALSE,"RIEP"}</definedName>
    <definedName name="GHJ" localSheetId="1" hidden="1">{"SPM1",#N/A,FALSE,"RIEP"}</definedName>
    <definedName name="GHJ" localSheetId="0" hidden="1">{"SPM1",#N/A,FALSE,"RIEP"}</definedName>
    <definedName name="GHJ" hidden="1">{"SPM1",#N/A,FALSE,"RIEP"}</definedName>
    <definedName name="gsdgs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1" hidden="1">{"SPM1",#N/A,FALSE,"RIEP"}</definedName>
    <definedName name="hbhajx" localSheetId="0" hidden="1">{"SPM1",#N/A,FALSE,"RIEP"}</definedName>
    <definedName name="hbhajx" hidden="1">{"SPM1",#N/A,FALSE,"RIEP"}</definedName>
    <definedName name="hfderfPOURE" localSheetId="1" hidden="1">{#N/A,#N/A,FALSE,"RIEP"}</definedName>
    <definedName name="hfderfPOURE" localSheetId="0" hidden="1">{#N/A,#N/A,FALSE,"RIEP"}</definedName>
    <definedName name="hfderfPOURE" hidden="1">{#N/A,#N/A,FALSE,"RIEP"}</definedName>
    <definedName name="hfhf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1" hidden="1">{"QQQ",#N/A,FALSE,"RIEP"}</definedName>
    <definedName name="hg" localSheetId="0" hidden="1">{"QQQ",#N/A,FALSE,"RIEP"}</definedName>
    <definedName name="hg" hidden="1">{"QQQ",#N/A,FALSE,"RIEP"}</definedName>
    <definedName name="hhfxhxf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1" hidden="1">{"QQQ",#N/A,FALSE,"RIEP"}</definedName>
    <definedName name="hhhh" localSheetId="0" hidden="1">{"QQQ",#N/A,FALSE,"RIEP"}</definedName>
    <definedName name="hhhh" hidden="1">{"QQQ",#N/A,FALSE,"RIEP"}</definedName>
    <definedName name="hhhhhhh" localSheetId="1" hidden="1">{"SPM1",#N/A,FALSE,"RIEP"}</definedName>
    <definedName name="hhhhhhh" localSheetId="0" hidden="1">{"SPM1",#N/A,FALSE,"RIEP"}</definedName>
    <definedName name="hhhhhhh" hidden="1">{"SPM1",#N/A,FALSE,"RIEP"}</definedName>
    <definedName name="HTML_CodePage" hidden="1">1250</definedName>
    <definedName name="HTML_Control" localSheetId="1" hidden="1">{"'domaće količine'!$K$34:$P$47"}</definedName>
    <definedName name="HTML_Control" localSheetId="0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1" hidden="1">{"'domaće količine'!$K$34:$P$47"}</definedName>
    <definedName name="IZVQ01" localSheetId="0" hidden="1">{"'domaće količine'!$K$34:$P$47"}</definedName>
    <definedName name="IZVQ01" hidden="1">{"'domaće količine'!$K$34:$P$47"}</definedName>
    <definedName name="j" localSheetId="1" hidden="1">{"SPM1",#N/A,FALSE,"RIEP"}</definedName>
    <definedName name="j" localSheetId="0" hidden="1">{"SPM1",#N/A,FALSE,"RIEP"}</definedName>
    <definedName name="j" hidden="1">{"SPM1",#N/A,FALSE,"RIEP"}</definedName>
    <definedName name="jcjfjfjjf" localSheetId="1" hidden="1">{#N/A,#N/A,FALSE,"RIEP"}</definedName>
    <definedName name="jcjfjfjjf" localSheetId="0" hidden="1">{#N/A,#N/A,FALSE,"RIEP"}</definedName>
    <definedName name="jcjfjfjjf" hidden="1">{#N/A,#N/A,FALSE,"RIEP"}</definedName>
    <definedName name="j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1" hidden="1">{#N/A,#N/A,TRUE,"EC COMM-t";#N/A,#N/A,TRUE,"EC PAR PDTS-t";#N/A,#N/A,TRUE,"EC MAT-t";#N/A,#N/A,TRUE,"SUIVI HAUSSES-t"}</definedName>
    <definedName name="jej" localSheetId="0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1" hidden="1">{"QQQ",#N/A,FALSE,"RIEP"}</definedName>
    <definedName name="jjfhfh" localSheetId="0" hidden="1">{"QQQ",#N/A,FALSE,"RIEP"}</definedName>
    <definedName name="jjfhfh" hidden="1">{"QQQ",#N/A,FALSE,"RIEP"}</definedName>
    <definedName name="jjj" localSheetId="1" hidden="1">{"SPM1",#N/A,FALSE,"RIEP"}</definedName>
    <definedName name="jjj" localSheetId="0" hidden="1">{"SPM1",#N/A,FALSE,"RIEP"}</definedName>
    <definedName name="jjj" hidden="1">{"SPM1",#N/A,FALSE,"RIEP"}</definedName>
    <definedName name="jjjjj" localSheetId="1" hidden="1">{"SPM1",#N/A,FALSE,"RIEP"}</definedName>
    <definedName name="jjjjj" localSheetId="0" hidden="1">{"SPM1",#N/A,FALSE,"RIEP"}</definedName>
    <definedName name="jjjjj" hidden="1">{"SPM1",#N/A,FALSE,"RIEP"}</definedName>
    <definedName name="kfkfkf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1" hidden="1">{#N/A,#N/A,FALSE,"RIEP"}</definedName>
    <definedName name="kfkfkfkfkkf" localSheetId="0" hidden="1">{#N/A,#N/A,FALSE,"RIEP"}</definedName>
    <definedName name="kfkfkfkfkkf" hidden="1">{#N/A,#N/A,FALSE,"RIEP"}</definedName>
    <definedName name="khkhkh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1" hidden="1">{#N/A,#N/A,FALSE,"RIEP"}</definedName>
    <definedName name="kjfsoyiupo6rhtgz" localSheetId="0" hidden="1">{#N/A,#N/A,FALSE,"RIEP"}</definedName>
    <definedName name="kjfsoyiupo6rhtgz" hidden="1">{#N/A,#N/A,FALSE,"RIEP"}</definedName>
    <definedName name="kjhjhkjh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localSheetId="0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1" hidden="1">{#N/A,#N/A,FALSE,"RIEP"}</definedName>
    <definedName name="kk" localSheetId="0" hidden="1">{#N/A,#N/A,FALSE,"RIEP"}</definedName>
    <definedName name="kk" hidden="1">{#N/A,#N/A,FALSE,"RIEP"}</definedName>
    <definedName name="k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1" hidden="1">{"QQQ",#N/A,FALSE,"RIEP"}</definedName>
    <definedName name="LLL" localSheetId="0" hidden="1">{"QQQ",#N/A,FALSE,"RIEP"}</definedName>
    <definedName name="LLL" hidden="1">{"QQQ",#N/A,FALSE,"RIEP"}</definedName>
    <definedName name="m" localSheetId="1" hidden="1">{"'domaće količine'!$K$34:$P$47"}</definedName>
    <definedName name="m" localSheetId="0" hidden="1">{"'domaće količine'!$K$34:$P$47"}</definedName>
    <definedName name="m" hidden="1">{"'domaće količine'!$K$34:$P$47"}</definedName>
    <definedName name="MARTESANA">#REF!</definedName>
    <definedName name="minnii" localSheetId="1" hidden="1">{"SPM1",#N/A,FALSE,"RIEP"}</definedName>
    <definedName name="minnii" localSheetId="0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1" hidden="1">{"SPM1",#N/A,FALSE,"RIEP"}</definedName>
    <definedName name="ño" localSheetId="0" hidden="1">{"SPM1",#N/A,FALSE,"RIEP"}</definedName>
    <definedName name="ño" hidden="1">{"SPM1",#N/A,FALSE,"RIEP"}</definedName>
    <definedName name="ODRŽ." localSheetId="1" hidden="1">{"'domaće količine'!$K$34:$P$47"}</definedName>
    <definedName name="ODRŽ." localSheetId="0" hidden="1">{"'domaće količine'!$K$34:$P$47"}</definedName>
    <definedName name="ODRŽ." hidden="1">{"'domaće količine'!$K$34:$P$47"}</definedName>
    <definedName name="òflfgfppfpf" localSheetId="1" hidden="1">{"SPM1",#N/A,FALSE,"RIEP"}</definedName>
    <definedName name="òflfgfppfpf" localSheetId="0" hidden="1">{"SPM1",#N/A,FALSE,"RIEP"}</definedName>
    <definedName name="òflfgfppfpf" hidden="1">{"SPM1",#N/A,FALSE,"RIEP"}</definedName>
    <definedName name="OIOIIUIUG" localSheetId="1" hidden="1">{"SPM1",#N/A,FALSE,"RIEP"}</definedName>
    <definedName name="OIOIIUIUG" localSheetId="0" hidden="1">{"SPM1",#N/A,FALSE,"RIEP"}</definedName>
    <definedName name="OIOIIUIUG" hidden="1">{"SPM1",#N/A,FALSE,"RIEP"}</definedName>
    <definedName name="ooo" localSheetId="1" hidden="1">{"QQQ",#N/A,FALSE,"RIEP"}</definedName>
    <definedName name="ooo" localSheetId="0" hidden="1">{"QQQ",#N/A,FALSE,"RIEP"}</definedName>
    <definedName name="ooo" hidden="1">{"QQQ",#N/A,FALSE,"RIEP"}</definedName>
    <definedName name="oooooo" localSheetId="1" hidden="1">{#N/A,#N/A,FALSE,"RIEP"}</definedName>
    <definedName name="oooooo" localSheetId="0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1" hidden="1">{#N/A,#N/A,FALSE,"RIEP"}</definedName>
    <definedName name="pippo" localSheetId="0" hidden="1">{#N/A,#N/A,FALSE,"RIEP"}</definedName>
    <definedName name="pippo" hidden="1">{#N/A,#N/A,FALSE,"RIEP"}</definedName>
    <definedName name="pluto" localSheetId="1" hidden="1">{"SPM1",#N/A,FALSE,"RIEP"}</definedName>
    <definedName name="pluto" localSheetId="0" hidden="1">{"SPM1",#N/A,FALSE,"RIEP"}</definedName>
    <definedName name="pluto" hidden="1">{"SPM1",#N/A,FALSE,"RIEP"}</definedName>
    <definedName name="PO" localSheetId="1" hidden="1">{"QQQ",#N/A,FALSE,"RIEP"}</definedName>
    <definedName name="PO" localSheetId="0" hidden="1">{"QQQ",#N/A,FALSE,"RIEP"}</definedName>
    <definedName name="PO" hidden="1">{"QQQ",#N/A,FALSE,"RIEP"}</definedName>
    <definedName name="poùH" localSheetId="1" hidden="1">{#N/A,#N/A,FALSE,"RIEP"}</definedName>
    <definedName name="poùH" localSheetId="0" hidden="1">{#N/A,#N/A,FALSE,"RIEP"}</definedName>
    <definedName name="poùH" hidden="1">{#N/A,#N/A,FALSE,"RIEP"}</definedName>
    <definedName name="ppp" localSheetId="1" hidden="1">{"QQQ",#N/A,FALSE,"RIEP"}</definedName>
    <definedName name="ppp" localSheetId="0" hidden="1">{"QQQ",#N/A,FALSE,"RIEP"}</definedName>
    <definedName name="ppp" hidden="1">{"QQQ",#N/A,FALSE,"RIEP"}</definedName>
    <definedName name="PROD." localSheetId="1" hidden="1">{"'domaće količine'!$K$34:$P$47"}</definedName>
    <definedName name="PROD." localSheetId="0" hidden="1">{"'domaće količine'!$K$34:$P$47"}</definedName>
    <definedName name="PROD." hidden="1">{"'domaće količine'!$K$34:$P$47"}</definedName>
    <definedName name="prw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localSheetId="0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1" hidden="1">{#N/A,#N/A,FALSE,"RIEP"}</definedName>
    <definedName name="QQQQQQQQQQQQ" localSheetId="0" hidden="1">{#N/A,#N/A,FALSE,"RIEP"}</definedName>
    <definedName name="QQQQQQQQQQQQ" hidden="1">{#N/A,#N/A,FALSE,"RIEP"}</definedName>
    <definedName name="qw" localSheetId="1" hidden="1">{#N/A,#N/A,FALSE,"RIEP"}</definedName>
    <definedName name="qw" localSheetId="0" hidden="1">{#N/A,#N/A,FALSE,"RIEP"}</definedName>
    <definedName name="qw" hidden="1">{#N/A,#N/A,FALSE,"RIEP"}</definedName>
    <definedName name="ret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1" hidden="1">{"SPM1",#N/A,FALSE,"RIEP"}</definedName>
    <definedName name="sd" localSheetId="0" hidden="1">{"SPM1",#N/A,FALSE,"RIEP"}</definedName>
    <definedName name="sd" hidden="1">{"SPM1",#N/A,FALSE,"RIEP"}</definedName>
    <definedName name="SDFDSJF" localSheetId="1" hidden="1">{#N/A,#N/A,FALSE,"RIEP"}</definedName>
    <definedName name="SDFDSJF" localSheetId="0" hidden="1">{#N/A,#N/A,FALSE,"RIEP"}</definedName>
    <definedName name="SDFDSJF" hidden="1">{#N/A,#N/A,FALSE,"RIEP"}</definedName>
    <definedName name="sdsd" localSheetId="1" hidden="1">{"SPM1",#N/A,FALSE,"RIEP"}</definedName>
    <definedName name="sdsd" localSheetId="0" hidden="1">{"SPM1",#N/A,FALSE,"RIEP"}</definedName>
    <definedName name="sdsd" hidden="1">{"SPM1",#N/A,FALSE,"RIEP"}</definedName>
    <definedName name="SEDSDS" localSheetId="1" hidden="1">{#N/A,#N/A,FALSE,"RIEP"}</definedName>
    <definedName name="SEDSDS" localSheetId="0" hidden="1">{#N/A,#N/A,FALSE,"RIEP"}</definedName>
    <definedName name="SEDSDS" hidden="1">{#N/A,#N/A,FALSE,"RIEP"}</definedName>
    <definedName name="sencount" hidden="1">1</definedName>
    <definedName name="SSSADADSF" localSheetId="1" hidden="1">{"SPM1",#N/A,FALSE,"RIEP"}</definedName>
    <definedName name="SSSADADSF" localSheetId="0" hidden="1">{"SPM1",#N/A,FALSE,"RIEP"}</definedName>
    <definedName name="SSSADADSF" hidden="1">{"SPM1",#N/A,FALSE,"RIEP"}</definedName>
    <definedName name="ssss" hidden="1">#REF!</definedName>
    <definedName name="sssssss" localSheetId="1" hidden="1">{#N/A,#N/A,FALSE,"RIEP"}</definedName>
    <definedName name="sssssss" localSheetId="0" hidden="1">{#N/A,#N/A,FALSE,"RIEP"}</definedName>
    <definedName name="sssssss" hidden="1">{#N/A,#N/A,FALSE,"RIEP"}</definedName>
    <definedName name="ssssssssssssssssssssssssss" localSheetId="1" hidden="1">{"QQQ",#N/A,FALSE,"RIEP"}</definedName>
    <definedName name="ssssssssssssssssssssssssss" localSheetId="0" hidden="1">{"QQQ",#N/A,FALSE,"RIEP"}</definedName>
    <definedName name="ssssssssssssssssssssssssss" hidden="1">{"QQQ",#N/A,FALSE,"RIEP"}</definedName>
    <definedName name="stsrhs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1" hidden="1">{#N/A,#N/A,FALSE,"RIEP"}</definedName>
    <definedName name="Sweden" localSheetId="0" hidden="1">{#N/A,#N/A,FALSE,"RIEP"}</definedName>
    <definedName name="Sweden" hidden="1">{#N/A,#N/A,FALSE,"RIEP"}</definedName>
    <definedName name="t" localSheetId="1" hidden="1">{"QQQ",#N/A,FALSE,"RIEP"}</definedName>
    <definedName name="t" localSheetId="0" hidden="1">{"QQQ",#N/A,FALSE,"RIEP"}</definedName>
    <definedName name="t" hidden="1">{"QQQ",#N/A,FALSE,"RIEP"}</definedName>
    <definedName name="T04CC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1" hidden="1">{#N/A,#N/A,FALSE,"RIEP"}</definedName>
    <definedName name="t79oto97t" localSheetId="0" hidden="1">{#N/A,#N/A,FALSE,"RIEP"}</definedName>
    <definedName name="t79oto97t" hidden="1">{#N/A,#N/A,FALSE,"RIEP"}</definedName>
    <definedName name="t7u74u" localSheetId="1" hidden="1">{"QQQ",#N/A,FALSE,"RIEP"}</definedName>
    <definedName name="t7u74u" localSheetId="0" hidden="1">{"QQQ",#N/A,FALSE,"RIEP"}</definedName>
    <definedName name="t7u74u" hidden="1">{"QQQ",#N/A,FALSE,"RIEP"}</definedName>
    <definedName name="t7u75" localSheetId="1" hidden="1">{"SPM1",#N/A,FALSE,"RIEP"}</definedName>
    <definedName name="t7u75" localSheetId="0" hidden="1">{"SPM1",#N/A,FALSE,"RIEP"}</definedName>
    <definedName name="t7u75" hidden="1">{"SPM1",#N/A,FALSE,"RIEP"}</definedName>
    <definedName name="t7ur7u" localSheetId="1" hidden="1">{#N/A,#N/A,FALSE,"RIEP"}</definedName>
    <definedName name="t7ur7u" localSheetId="0" hidden="1">{#N/A,#N/A,FALSE,"RIEP"}</definedName>
    <definedName name="t7ur7u" hidden="1">{#N/A,#N/A,FALSE,"RIEP"}</definedName>
    <definedName name="tgfcvds" localSheetId="1" hidden="1">{#N/A,#N/A,FALSE,"RIEP"}</definedName>
    <definedName name="tgfcvds" localSheetId="0" hidden="1">{#N/A,#N/A,FALSE,"RIEP"}</definedName>
    <definedName name="tgfcvds" hidden="1">{#N/A,#N/A,FALSE,"RIEP"}</definedName>
    <definedName name="tgr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1" hidden="1">{#N/A,#N/A,FALSE,"RIEP"}</definedName>
    <definedName name="tikl679o679o" localSheetId="0" hidden="1">{#N/A,#N/A,FALSE,"RIEP"}</definedName>
    <definedName name="tikl679o679o" hidden="1">{#N/A,#N/A,FALSE,"RIEP"}</definedName>
    <definedName name="TM1REBUILDOPTION">0</definedName>
    <definedName name="tom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1" hidden="1">{"SPM1",#N/A,FALSE,"RIEP"}</definedName>
    <definedName name="trjk5i57" localSheetId="0" hidden="1">{"SPM1",#N/A,FALSE,"RIEP"}</definedName>
    <definedName name="trjk5i57" hidden="1">{"SPM1",#N/A,FALSE,"RIEP"}</definedName>
    <definedName name="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1" hidden="1">{"QQQ",#N/A,FALSE,"RIEP"}</definedName>
    <definedName name="tyiltu9ol" localSheetId="0" hidden="1">{"QQQ",#N/A,FALSE,"RIEP"}</definedName>
    <definedName name="tyiltu9ol" hidden="1">{"QQQ",#N/A,FALSE,"RIEP"}</definedName>
    <definedName name="ugkj" localSheetId="1" hidden="1">{"QQQ",#N/A,FALSE,"RIEP"}</definedName>
    <definedName name="ugkj" localSheetId="0" hidden="1">{"QQQ",#N/A,FALSE,"RIEP"}</definedName>
    <definedName name="ugkj" hidden="1">{"QQQ",#N/A,FALSE,"RIEP"}</definedName>
    <definedName name="u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1" hidden="1">{"QQQ",#N/A,FALSE,"RIEP"}</definedName>
    <definedName name="uttkjg" localSheetId="0" hidden="1">{"QQQ",#N/A,FALSE,"RIEP"}</definedName>
    <definedName name="uttkjg" hidden="1">{"QQQ",#N/A,FALSE,"RIEP"}</definedName>
    <definedName name="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1" hidden="1">{#N/A,#N/A,FALSE,"RIEP"}</definedName>
    <definedName name="v6uyjyu" localSheetId="0" hidden="1">{#N/A,#N/A,FALSE,"RIEP"}</definedName>
    <definedName name="v6uyjyu" hidden="1">{#N/A,#N/A,FALSE,"RIEP"}</definedName>
    <definedName name="vcbbxb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1" hidden="1">{"QQQ",#N/A,FALSE,"RIEP"}</definedName>
    <definedName name="vvvv" localSheetId="0" hidden="1">{"QQQ",#N/A,FALSE,"RIEP"}</definedName>
    <definedName name="vvvv" hidden="1">{"QQQ",#N/A,FALSE,"RIEP"}</definedName>
    <definedName name="vvvvbbbb" localSheetId="1" hidden="1">{#N/A,#N/A,FALSE,"RIEP"}</definedName>
    <definedName name="vvvvbbbb" localSheetId="0" hidden="1">{#N/A,#N/A,FALSE,"RIEP"}</definedName>
    <definedName name="vvvvbbbb" hidden="1">{#N/A,#N/A,FALSE,"RIEP"}</definedName>
    <definedName name="vvvvvv" localSheetId="1" hidden="1">{#N/A,#N/A,FALSE,"RIEP"}</definedName>
    <definedName name="vvvvvv" localSheetId="0" hidden="1">{#N/A,#N/A,FALSE,"RIEP"}</definedName>
    <definedName name="vvvvvv" hidden="1">{#N/A,#N/A,FALSE,"RIEP"}</definedName>
    <definedName name="vvvvvvvv" localSheetId="1" hidden="1">{"SPM1",#N/A,FALSE,"RIEP"}</definedName>
    <definedName name="vvvvvvvv" localSheetId="0" hidden="1">{"SPM1",#N/A,FALSE,"RIEP"}</definedName>
    <definedName name="vvvvvvvv" hidden="1">{"SPM1",#N/A,FALSE,"RIEP"}</definedName>
    <definedName name="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1" hidden="1">{"SPM1",#N/A,FALSE,"RIEP"}</definedName>
    <definedName name="we" localSheetId="0" hidden="1">{"SPM1",#N/A,FALSE,"RIEP"}</definedName>
    <definedName name="we" hidden="1">{"SPM1",#N/A,FALSE,"RIEP"}</definedName>
    <definedName name="wer" localSheetId="1" hidden="1">{#N/A,#N/A,FALSE,"ANALYSE";#N/A,#N/A,FALSE,"PM VALEUR"}</definedName>
    <definedName name="wer" localSheetId="0" hidden="1">{#N/A,#N/A,FALSE,"ANALYSE";#N/A,#N/A,FALSE,"PM VALEUR"}</definedName>
    <definedName name="wer" hidden="1">{#N/A,#N/A,FALSE,"ANALYSE";#N/A,#N/A,FALSE,"PM VALEUR"}</definedName>
    <definedName name="wetrwrt" localSheetId="1" hidden="1">{"QQQ",#N/A,FALSE,"RIEP"}</definedName>
    <definedName name="wetrwrt" localSheetId="0" hidden="1">{"QQQ",#N/A,FALSE,"RIEP"}</definedName>
    <definedName name="wetrwrt" hidden="1">{"QQQ",#N/A,FALSE,"RIEP"}</definedName>
    <definedName name="wewe" localSheetId="1" hidden="1">{"SPM1",#N/A,FALSE,"RIEP"}</definedName>
    <definedName name="wewe" localSheetId="0" hidden="1">{"SPM1",#N/A,FALSE,"RIEP"}</definedName>
    <definedName name="wewe" hidden="1">{"SPM1",#N/A,FALSE,"RIEP"}</definedName>
    <definedName name="wrn.CCC." localSheetId="1" hidden="1">{"QQQ",#N/A,FALSE,"RIEP"}</definedName>
    <definedName name="wrn.CCC." localSheetId="0" hidden="1">{"QQQ",#N/A,FALSE,"RIEP"}</definedName>
    <definedName name="wrn.CCC." hidden="1">{"QQQ",#N/A,FALSE,"RIEP"}</definedName>
    <definedName name="wrn.Charges." localSheetId="1" hidden="1">{"Analyse charges",#N/A,FALSE,"Feuil1 (2)"}</definedName>
    <definedName name="wrn.Charges." localSheetId="0" hidden="1">{"Analyse charges",#N/A,FALSE,"Feuil1 (2)"}</definedName>
    <definedName name="wrn.Charges." hidden="1">{"Analyse charges",#N/A,FALSE,"Feuil1 (2)"}</definedName>
    <definedName name="wrn.Charges._.Clécy." localSheetId="1" hidden="1">{#N/A,#N/A,FALSE,"Evol98";#N/A,#N/A,FALSE,"Saisie98"}</definedName>
    <definedName name="wrn.Charges._.Clécy." localSheetId="0" hidden="1">{#N/A,#N/A,FALSE,"Evol98";#N/A,#N/A,FALSE,"Saisie98"}</definedName>
    <definedName name="wrn.Charges._.Clécy." hidden="1">{#N/A,#N/A,FALSE,"Evol98";#N/A,#N/A,FALSE,"Saisie98"}</definedName>
    <definedName name="wrn.CLECY.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localSheetId="0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1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localSheetId="0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1" hidden="1">{#N/A,#N/A,FALSE,"EC COMM-c";#N/A,#N/A,FALSE,"EC PAR PDTS-c";#N/A,#N/A,FALSE,"EC MAT-c";#N/A,#N/A,FALSE,"SUIVI HAUSSES-c"}</definedName>
    <definedName name="wrn.COMMENTAIRES." localSheetId="0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localSheetId="0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CUMUL." localSheetId="0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localSheetId="0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1" hidden="1">{#N/A,#N/A,FALSE,"ANALYSE";#N/A,#N/A,FALSE,"PM VALEUR"}</definedName>
    <definedName name="wrn.ex." localSheetId="0" hidden="1">{#N/A,#N/A,FALSE,"ANALYSE";#N/A,#N/A,FALSE,"PM VALEUR"}</definedName>
    <definedName name="wrn.ex." hidden="1">{#N/A,#N/A,FALSE,"ANALYSE";#N/A,#N/A,FALSE,"PM VALEUR"}</definedName>
    <definedName name="wrn.Impression._.totale." localSheetId="1" hidden="1">{"Analyse charges",#N/A,FALSE,"Feuil1 (2)";"Ratios activités",#N/A,FALSE,"Feuil1 (2)";"Indicateurs",#N/A,FALSE,"Feuil1 (2)"}</definedName>
    <definedName name="wrn.Impression._.totale." localSheetId="0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1" hidden="1">{"Indicateurs",#N/A,FALSE,"Feuil1 (2)"}</definedName>
    <definedName name="wrn.Indicateurs." localSheetId="0" hidden="1">{"Indicateurs",#N/A,FALSE,"Feuil1 (2)"}</definedName>
    <definedName name="wrn.Indicateurs." hidden="1">{"Indicateurs",#N/A,FALSE,"Feuil1 (2)"}</definedName>
    <definedName name="wrn.MENSUEL.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localSheetId="0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MOYENNE." localSheetId="0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1" hidden="1">{"Ratios activités",#N/A,FALSE,"Feuil1 (2)"}</definedName>
    <definedName name="wrn.Ratios." localSheetId="0" hidden="1">{"Ratios activités",#N/A,FALSE,"Feuil1 (2)"}</definedName>
    <definedName name="wrn.Ratios." hidden="1">{"Ratios activités",#N/A,FALSE,"Feuil1 (2)"}</definedName>
    <definedName name="wrn.REELBUD." localSheetId="1" hidden="1">{"DETAIL",#N/A,FALSE,"REELBUDGET";"TOTAL",#N/A,FALSE,"REELBUDGET"}</definedName>
    <definedName name="wrn.REELBUD." localSheetId="0" hidden="1">{"DETAIL",#N/A,FALSE,"REELBUDGET";"TOTAL",#N/A,FALSE,"REELBUDGET"}</definedName>
    <definedName name="wrn.REELBUD." hidden="1">{"DETAIL",#N/A,FALSE,"REELBUDGET";"TOTAL",#N/A,FALSE,"REELBUDGET"}</definedName>
    <definedName name="wrn.Résultat." localSheetId="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0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1" hidden="1">{#N/A,#N/A,FALSE,"RIEP"}</definedName>
    <definedName name="wrn.SPA1." localSheetId="0" hidden="1">{#N/A,#N/A,FALSE,"RIEP"}</definedName>
    <definedName name="wrn.SPA1." hidden="1">{#N/A,#N/A,FALSE,"RIEP"}</definedName>
    <definedName name="wrn.SPM1." localSheetId="1" hidden="1">{"SPM1",#N/A,FALSE,"RIEP"}</definedName>
    <definedName name="wrn.SPM1." localSheetId="0" hidden="1">{"SPM1",#N/A,FALSE,"RIEP"}</definedName>
    <definedName name="wrn.SPM1." hidden="1">{"SPM1",#N/A,FALSE,"RIEP"}</definedName>
    <definedName name="wrn.SYNTHESE.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1" hidden="1">{#N/A,#N/A,TRUE,"EC COMM-t";#N/A,#N/A,TRUE,"EC PAR PDTS-t";#N/A,#N/A,TRUE,"EC MAT-t";#N/A,#N/A,TRUE,"SUIVI HAUSSES-t"}</definedName>
    <definedName name="wrn.TABLEAUX." localSheetId="0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1" hidden="1">{"QQQ",#N/A,FALSE,"RIEP"}</definedName>
    <definedName name="wrn1.CCC." localSheetId="0" hidden="1">{"QQQ",#N/A,FALSE,"RIEP"}</definedName>
    <definedName name="wrn1.CCC." hidden="1">{"QQQ",#N/A,FALSE,"RIEP"}</definedName>
    <definedName name="wwww" localSheetId="1" hidden="1">{#N/A,#N/A,FALSE,"RIEP"}</definedName>
    <definedName name="wwww" localSheetId="0" hidden="1">{#N/A,#N/A,FALSE,"RIEP"}</definedName>
    <definedName name="wwww" hidden="1">{#N/A,#N/A,FALSE,"RIEP"}</definedName>
    <definedName name="wwwww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1" hidden="1">{"QQQ",#N/A,FALSE,"RIEP"}</definedName>
    <definedName name="wwwwwwwwwwww" localSheetId="0" hidden="1">{"QQQ",#N/A,FALSE,"RIEP"}</definedName>
    <definedName name="wwwwwwwwwwww" hidden="1">{"QQQ",#N/A,FALSE,"RIEP"}</definedName>
    <definedName name="ybukkbyitkituk" localSheetId="1" hidden="1">{#N/A,#N/A,FALSE,"RIEP"}</definedName>
    <definedName name="ybukkbyitkituk" localSheetId="0" hidden="1">{#N/A,#N/A,FALSE,"RIEP"}</definedName>
    <definedName name="ybukkbyitkituk" hidden="1">{#N/A,#N/A,FALSE,"RIEP"}</definedName>
    <definedName name="yert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1" hidden="1">{"QQQ",#N/A,FALSE,"RIEP"}</definedName>
    <definedName name="yrnukuilky8u" localSheetId="0" hidden="1">{"QQQ",#N/A,FALSE,"RIEP"}</definedName>
    <definedName name="yrnukuilky8u" hidden="1">{"QQQ",#N/A,FALSE,"RIEP"}</definedName>
    <definedName name="YY" localSheetId="1" hidden="1">{#N/A,#N/A,FALSE,"RIEP"}</definedName>
    <definedName name="YY" localSheetId="0" hidden="1">{#N/A,#N/A,FALSE,"RIEP"}</definedName>
    <definedName name="YY" hidden="1">{#N/A,#N/A,FALSE,"RIEP"}</definedName>
    <definedName name="yyqeyq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1" hidden="1">{#N/A,#N/A,FALSE,"RIEP"}</definedName>
    <definedName name="zzzzzzzzzz" localSheetId="0" hidden="1">{#N/A,#N/A,FALSE,"RIEP"}</definedName>
    <definedName name="zzzzzzzzzz" hidden="1">{#N/A,#N/A,FALSE,"RIEP"}</definedName>
    <definedName name="zzzzzzzzzzzzz" localSheetId="1" hidden="1">{#N/A,#N/A,FALSE,"RIEP"}</definedName>
    <definedName name="zzzzzzzzzzzzz" localSheetId="0" hidden="1">{#N/A,#N/A,FALSE,"RIEP"}</definedName>
    <definedName name="zzzzzzzzzzzzz" hidden="1">{#N/A,#N/A,FALSE,"RIEP"}</definedName>
    <definedName name="zzzzzzzzzzzzzz" localSheetId="1" hidden="1">{"QQQ",#N/A,FALSE,"RIEP"}</definedName>
    <definedName name="zzzzzzzzzzzzzz" localSheetId="0" hidden="1">{"QQQ",#N/A,FALSE,"RIEP"}</definedName>
    <definedName name="zzzzzzzzzzzzzz" hidden="1">{"QQQ",#N/A,FALSE,"RIEP"}</definedName>
    <definedName name="zzzzzzzzzzzzzzzzzz" localSheetId="1" hidden="1">{"QQQ",#N/A,FALSE,"RIEP"}</definedName>
    <definedName name="zzzzzzzzzzzzzzzzzz" localSheetId="0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1" l="1"/>
  <c r="E15" i="21"/>
  <c r="C15" i="21"/>
  <c r="D15" i="21"/>
  <c r="F8" i="21"/>
  <c r="E8" i="21"/>
  <c r="C8" i="21"/>
  <c r="F7" i="21"/>
  <c r="E7" i="21"/>
  <c r="C7" i="21"/>
  <c r="F6" i="21"/>
  <c r="E6" i="21"/>
  <c r="C6" i="21"/>
  <c r="D8" i="21"/>
  <c r="D7" i="21"/>
  <c r="D6" i="21"/>
  <c r="D16" i="21" l="1"/>
  <c r="C16" i="21"/>
  <c r="E16" i="21"/>
  <c r="F16" i="21"/>
  <c r="F17" i="21" l="1"/>
  <c r="F18" i="21" s="1"/>
  <c r="F21" i="21"/>
  <c r="F22" i="21"/>
  <c r="E17" i="21"/>
  <c r="E19" i="21" s="1"/>
  <c r="E20" i="21" s="1"/>
  <c r="E22" i="21"/>
  <c r="E21" i="21"/>
  <c r="C17" i="21"/>
  <c r="C19" i="21" s="1"/>
  <c r="C20" i="21" s="1"/>
  <c r="C22" i="21"/>
  <c r="C21" i="21"/>
  <c r="D17" i="21"/>
  <c r="D19" i="21" s="1"/>
  <c r="D20" i="21" s="1"/>
  <c r="D22" i="21"/>
  <c r="D21" i="21"/>
  <c r="C18" i="21" l="1"/>
  <c r="E18" i="21"/>
  <c r="F19" i="21"/>
  <c r="F20" i="21" s="1"/>
  <c r="D18" i="21"/>
  <c r="C11" i="19"/>
  <c r="C30" i="19"/>
  <c r="C17" i="19"/>
  <c r="B17" i="19"/>
  <c r="C12" i="19" l="1"/>
  <c r="C23" i="19" l="1"/>
  <c r="C22" i="19"/>
  <c r="C18" i="19" l="1"/>
  <c r="G23" i="19"/>
  <c r="B5" i="19"/>
  <c r="C5" i="19"/>
  <c r="C14" i="19" s="1"/>
  <c r="D25" i="19"/>
  <c r="C31" i="19"/>
  <c r="B6" i="19"/>
  <c r="C6" i="19"/>
  <c r="B7" i="19"/>
  <c r="B31" i="19"/>
  <c r="C7" i="19"/>
  <c r="B32" i="19"/>
  <c r="B30" i="19"/>
  <c r="B11" i="19"/>
  <c r="B9" i="19" l="1"/>
  <c r="B18" i="19"/>
  <c r="C35" i="19"/>
  <c r="D24" i="19"/>
  <c r="B22" i="19"/>
  <c r="F23" i="19"/>
  <c r="B36" i="19"/>
  <c r="B12" i="19"/>
  <c r="B10" i="19" s="1"/>
  <c r="B14" i="19" s="1"/>
  <c r="B34" i="19"/>
  <c r="B35" i="19"/>
  <c r="D31" i="19"/>
  <c r="F31" i="19" s="1"/>
  <c r="H31" i="19" s="1"/>
  <c r="D33" i="19"/>
  <c r="F33" i="19" s="1"/>
  <c r="H33" i="19" s="1"/>
  <c r="I33" i="19" s="1"/>
  <c r="D30" i="19"/>
  <c r="C32" i="19"/>
  <c r="D32" i="19" s="1"/>
  <c r="F32" i="19" s="1"/>
  <c r="D35" i="19" l="1"/>
  <c r="E35" i="19" s="1"/>
  <c r="G35" i="19" s="1"/>
  <c r="D22" i="19"/>
  <c r="F24" i="19"/>
  <c r="B13" i="19"/>
  <c r="B23" i="19"/>
  <c r="D23" i="19" s="1"/>
  <c r="H23" i="19"/>
  <c r="I23" i="19" s="1"/>
  <c r="H32" i="19"/>
  <c r="I32" i="19" s="1"/>
  <c r="I31" i="19"/>
  <c r="D26" i="19" l="1"/>
  <c r="F38" i="19"/>
  <c r="I35" i="19"/>
  <c r="B41" i="19" s="1"/>
  <c r="H38" i="19"/>
  <c r="G24" i="19" l="1"/>
  <c r="H24" i="19" s="1"/>
  <c r="I24" i="19" s="1"/>
  <c r="I25" i="19" s="1"/>
  <c r="D37" i="19"/>
  <c r="E37" i="19" s="1"/>
  <c r="G37" i="19" s="1"/>
  <c r="I37" i="19" s="1"/>
  <c r="B43" i="19" s="1"/>
  <c r="C13" i="19"/>
  <c r="C36" i="19" l="1"/>
  <c r="D36" i="19" s="1"/>
  <c r="E36" i="19" s="1"/>
  <c r="G36" i="19" s="1"/>
  <c r="I36" i="19" s="1"/>
  <c r="B42" i="19" s="1"/>
  <c r="B44" i="19" s="1"/>
  <c r="C34" i="19"/>
  <c r="D34" i="19" s="1"/>
  <c r="E38" i="19" l="1"/>
  <c r="G38" i="19"/>
  <c r="I38" i="19"/>
</calcChain>
</file>

<file path=xl/sharedStrings.xml><?xml version="1.0" encoding="utf-8"?>
<sst xmlns="http://schemas.openxmlformats.org/spreadsheetml/2006/main" count="98" uniqueCount="87">
  <si>
    <t>ESM</t>
  </si>
  <si>
    <t>MG</t>
  </si>
  <si>
    <t>MP</t>
  </si>
  <si>
    <t>Litraje unitario</t>
  </si>
  <si>
    <t>MG teórica en la cuba (g/L)</t>
  </si>
  <si>
    <t>EST</t>
  </si>
  <si>
    <t>Mezcla</t>
  </si>
  <si>
    <t>Vaca</t>
  </si>
  <si>
    <t>Oveja</t>
  </si>
  <si>
    <t>Bajo en MG</t>
  </si>
  <si>
    <t>Análisis de desviaciones</t>
  </si>
  <si>
    <t>Estándar</t>
  </si>
  <si>
    <t>Real</t>
  </si>
  <si>
    <t>Fabricación, KG</t>
  </si>
  <si>
    <t>HFD</t>
  </si>
  <si>
    <t>G/ES</t>
  </si>
  <si>
    <t>Litros leche puestos en fab (cuba)</t>
  </si>
  <si>
    <t>Composición leche en cuba MG (g/L)</t>
  </si>
  <si>
    <t>Composición leche en cuba MP (g/L)</t>
  </si>
  <si>
    <t>KMG puestos en fabricacion (cuba)</t>
  </si>
  <si>
    <t>KMP puestos en fabricacion (cuba)</t>
  </si>
  <si>
    <t>factor MG/MP leche cubas</t>
  </si>
  <si>
    <t>Recup MG</t>
  </si>
  <si>
    <t>Recup MP</t>
  </si>
  <si>
    <t>Std</t>
  </si>
  <si>
    <t>Dif</t>
  </si>
  <si>
    <t>Valor</t>
  </si>
  <si>
    <t>Consumo MP/kg queso</t>
  </si>
  <si>
    <t>MG leche compra</t>
  </si>
  <si>
    <t>MP leche compra</t>
  </si>
  <si>
    <t>Bdgt</t>
  </si>
  <si>
    <t xml:space="preserve">Desv </t>
  </si>
  <si>
    <t>desv kg MP</t>
  </si>
  <si>
    <t>desv kg MG</t>
  </si>
  <si>
    <t xml:space="preserve">MP € </t>
  </si>
  <si>
    <t>MG €</t>
  </si>
  <si>
    <t>TOTAL €</t>
  </si>
  <si>
    <t>Desviaciones por composición queso</t>
  </si>
  <si>
    <t xml:space="preserve">MG </t>
  </si>
  <si>
    <t>Efecto EST (composición MG)</t>
  </si>
  <si>
    <t>Efecto rendimiento (recup MG)</t>
  </si>
  <si>
    <t>Efecto EST (composición ESM)</t>
  </si>
  <si>
    <t>Efecto  rendimiento (recup MP)</t>
  </si>
  <si>
    <t>Total explicado</t>
  </si>
  <si>
    <t>Total efectos</t>
  </si>
  <si>
    <t>EST (MG + ESM)</t>
  </si>
  <si>
    <t>Recuperación (MG+MP)</t>
  </si>
  <si>
    <t>Otros efectos no explicados</t>
  </si>
  <si>
    <t>Total</t>
  </si>
  <si>
    <t>En azul:</t>
  </si>
  <si>
    <t>Datos del estándar a completar</t>
  </si>
  <si>
    <t>Datos reales de la fabricacion a comparar</t>
  </si>
  <si>
    <t>En verde:</t>
  </si>
  <si>
    <t>Sin color:</t>
  </si>
  <si>
    <t>Celdas, calculadas, no modificar</t>
  </si>
  <si>
    <t>MG pérdida bruta en suero %</t>
  </si>
  <si>
    <t>Otros efectos</t>
  </si>
  <si>
    <t>€ desv</t>
  </si>
  <si>
    <t>Consumo MG/kg queso</t>
  </si>
  <si>
    <t>Coste leche en cuba MG (coste compra MG)</t>
  </si>
  <si>
    <t>Litraje unitario teórico (L/Kg)</t>
  </si>
  <si>
    <t>MG pérdida bruta en suero (kg)</t>
  </si>
  <si>
    <t>Estándar de producto</t>
  </si>
  <si>
    <t>ESM queso obtenido a partir de MP leche (g/L)</t>
  </si>
  <si>
    <t>MG pérdida bruta en suero (g/L)</t>
  </si>
  <si>
    <t>Leche en cuba MG (g/L)</t>
  </si>
  <si>
    <t>Leche en cuba MP (g/L)</t>
  </si>
  <si>
    <t>=B4-B5</t>
  </si>
  <si>
    <t>=(1-B4)/(1-B5)</t>
  </si>
  <si>
    <t>=B5/B4</t>
  </si>
  <si>
    <t>Fórmulas</t>
  </si>
  <si>
    <t>=B13*B11</t>
  </si>
  <si>
    <t>=B6*1000/B15</t>
  </si>
  <si>
    <t>=B5*1000/B16</t>
  </si>
  <si>
    <t>=B17/B10</t>
  </si>
  <si>
    <t>=B17-B10</t>
  </si>
  <si>
    <t>=B19/B10</t>
  </si>
  <si>
    <t>=B10*B16</t>
  </si>
  <si>
    <t>=B11*B16</t>
  </si>
  <si>
    <t>Recup MP (dato real de la fabricación)</t>
  </si>
  <si>
    <t>EST salida salado</t>
  </si>
  <si>
    <t>MG salida salado</t>
  </si>
  <si>
    <t>1. Características del queso</t>
  </si>
  <si>
    <t>2. Composición de la leche de fabricación</t>
  </si>
  <si>
    <t>3. Datos tecnológicos</t>
  </si>
  <si>
    <t>4. Cálculos</t>
  </si>
  <si>
    <t>Coste leche en cuba MP (coste compra 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</si>
</sst>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 ;[Red]\-#,##0\ "/>
    <numFmt numFmtId="165" formatCode="#,##0.000_ ;[Red]\-#,##0.000\ "/>
    <numFmt numFmtId="166" formatCode="0.0%"/>
    <numFmt numFmtId="167" formatCode="0.000"/>
    <numFmt numFmtId="168" formatCode="_-* #,##0.00\ _€_-;\-* #,##0.00\ _€_-;_-* &quot;-&quot;??\ _€_-;_-@_-"/>
    <numFmt numFmtId="169" formatCode="#,##0.00_ ;[Red]\-#,##0.00\ "/>
    <numFmt numFmtId="170" formatCode="#,##0.0_ ;[Red]\-#,##0.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5" xfId="0" applyBorder="1"/>
    <xf numFmtId="164" fontId="0" fillId="0" borderId="3" xfId="0" applyNumberFormat="1" applyBorder="1" applyAlignment="1">
      <alignment horizontal="left" indent="1"/>
    </xf>
    <xf numFmtId="10" fontId="0" fillId="3" borderId="3" xfId="1" applyNumberFormat="1" applyFont="1" applyFill="1" applyBorder="1"/>
    <xf numFmtId="10" fontId="0" fillId="3" borderId="7" xfId="1" applyNumberFormat="1" applyFont="1" applyFill="1" applyBorder="1"/>
    <xf numFmtId="164" fontId="0" fillId="0" borderId="7" xfId="0" applyNumberFormat="1" applyBorder="1" applyAlignment="1">
      <alignment horizontal="left" indent="1"/>
    </xf>
    <xf numFmtId="164" fontId="0" fillId="0" borderId="4" xfId="0" applyNumberFormat="1" applyBorder="1" applyAlignment="1">
      <alignment horizontal="left" indent="2"/>
    </xf>
    <xf numFmtId="0" fontId="4" fillId="2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left"/>
    </xf>
    <xf numFmtId="10" fontId="0" fillId="6" borderId="5" xfId="1" applyNumberFormat="1" applyFont="1" applyFill="1" applyBorder="1"/>
    <xf numFmtId="10" fontId="0" fillId="6" borderId="3" xfId="1" applyNumberFormat="1" applyFont="1" applyFill="1" applyBorder="1"/>
    <xf numFmtId="164" fontId="0" fillId="0" borderId="0" xfId="0" applyNumberFormat="1"/>
    <xf numFmtId="10" fontId="0" fillId="0" borderId="0" xfId="1" applyNumberFormat="1" applyFont="1"/>
    <xf numFmtId="10" fontId="0" fillId="0" borderId="3" xfId="1" applyNumberFormat="1" applyFont="1" applyFill="1" applyBorder="1"/>
    <xf numFmtId="164" fontId="0" fillId="0" borderId="3" xfId="0" applyNumberFormat="1" applyBorder="1" applyAlignment="1">
      <alignment horizontal="left"/>
    </xf>
    <xf numFmtId="10" fontId="1" fillId="0" borderId="3" xfId="1" applyNumberFormat="1" applyFont="1" applyFill="1" applyBorder="1"/>
    <xf numFmtId="164" fontId="0" fillId="0" borderId="7" xfId="0" applyNumberFormat="1" applyBorder="1" applyAlignment="1">
      <alignment horizontal="left"/>
    </xf>
    <xf numFmtId="10" fontId="0" fillId="0" borderId="7" xfId="0" applyNumberFormat="1" applyBorder="1"/>
    <xf numFmtId="164" fontId="0" fillId="0" borderId="5" xfId="0" applyNumberFormat="1" applyBorder="1"/>
    <xf numFmtId="10" fontId="0" fillId="0" borderId="0" xfId="0" applyNumberFormat="1"/>
    <xf numFmtId="169" fontId="0" fillId="0" borderId="3" xfId="0" applyNumberFormat="1" applyBorder="1"/>
    <xf numFmtId="2" fontId="0" fillId="0" borderId="0" xfId="0" applyNumberFormat="1"/>
    <xf numFmtId="165" fontId="0" fillId="0" borderId="7" xfId="0" applyNumberFormat="1" applyBorder="1"/>
    <xf numFmtId="167" fontId="0" fillId="0" borderId="3" xfId="0" applyNumberFormat="1" applyBorder="1"/>
    <xf numFmtId="10" fontId="0" fillId="0" borderId="7" xfId="1" applyNumberFormat="1" applyFont="1" applyFill="1" applyBorder="1"/>
    <xf numFmtId="2" fontId="0" fillId="0" borderId="5" xfId="0" applyNumberFormat="1" applyBorder="1"/>
    <xf numFmtId="0" fontId="0" fillId="7" borderId="0" xfId="0" applyFill="1" applyAlignment="1">
      <alignment horizontal="center"/>
    </xf>
    <xf numFmtId="2" fontId="0" fillId="0" borderId="7" xfId="0" applyNumberFormat="1" applyBorder="1"/>
    <xf numFmtId="2" fontId="0" fillId="0" borderId="8" xfId="0" applyNumberFormat="1" applyBorder="1"/>
    <xf numFmtId="167" fontId="0" fillId="2" borderId="7" xfId="0" applyNumberFormat="1" applyFill="1" applyBorder="1"/>
    <xf numFmtId="164" fontId="0" fillId="0" borderId="11" xfId="0" applyNumberFormat="1" applyBorder="1" applyAlignment="1">
      <alignment horizontal="left"/>
    </xf>
    <xf numFmtId="167" fontId="0" fillId="2" borderId="5" xfId="0" applyNumberFormat="1" applyFill="1" applyBorder="1"/>
    <xf numFmtId="166" fontId="0" fillId="0" borderId="11" xfId="1" applyNumberFormat="1" applyFont="1" applyFill="1" applyBorder="1"/>
    <xf numFmtId="166" fontId="0" fillId="0" borderId="12" xfId="1" applyNumberFormat="1" applyFont="1" applyFill="1" applyBorder="1"/>
    <xf numFmtId="0" fontId="2" fillId="8" borderId="5" xfId="0" applyFont="1" applyFill="1" applyBorder="1" applyAlignment="1">
      <alignment horizontal="center" vertical="center"/>
    </xf>
    <xf numFmtId="165" fontId="2" fillId="8" borderId="5" xfId="0" applyNumberFormat="1" applyFont="1" applyFill="1" applyBorder="1" applyAlignment="1">
      <alignment horizontal="center" vertical="center"/>
    </xf>
    <xf numFmtId="164" fontId="2" fillId="8" borderId="12" xfId="0" applyNumberFormat="1" applyFont="1" applyFill="1" applyBorder="1" applyAlignment="1">
      <alignment horizontal="center"/>
    </xf>
    <xf numFmtId="0" fontId="2" fillId="8" borderId="6" xfId="0" applyFont="1" applyFill="1" applyBorder="1"/>
    <xf numFmtId="164" fontId="0" fillId="0" borderId="12" xfId="0" applyNumberFormat="1" applyBorder="1"/>
    <xf numFmtId="164" fontId="0" fillId="0" borderId="6" xfId="0" applyNumberFormat="1" applyBorder="1"/>
    <xf numFmtId="0" fontId="0" fillId="0" borderId="6" xfId="0" applyBorder="1" applyAlignment="1">
      <alignment horizontal="left" indent="1"/>
    </xf>
    <xf numFmtId="170" fontId="0" fillId="0" borderId="1" xfId="0" applyNumberFormat="1" applyBorder="1"/>
    <xf numFmtId="170" fontId="0" fillId="0" borderId="13" xfId="0" applyNumberFormat="1" applyBorder="1"/>
    <xf numFmtId="170" fontId="0" fillId="0" borderId="2" xfId="0" applyNumberFormat="1" applyBorder="1"/>
    <xf numFmtId="0" fontId="0" fillId="0" borderId="4" xfId="0" applyBorder="1" applyAlignment="1">
      <alignment horizontal="left" indent="2"/>
    </xf>
    <xf numFmtId="170" fontId="0" fillId="0" borderId="3" xfId="0" applyNumberFormat="1" applyBorder="1"/>
    <xf numFmtId="170" fontId="0" fillId="0" borderId="14" xfId="0" applyNumberFormat="1" applyBorder="1"/>
    <xf numFmtId="170" fontId="0" fillId="0" borderId="4" xfId="0" applyNumberFormat="1" applyBorder="1"/>
    <xf numFmtId="0" fontId="0" fillId="0" borderId="9" xfId="0" applyBorder="1" applyAlignment="1">
      <alignment horizontal="left" indent="2"/>
    </xf>
    <xf numFmtId="170" fontId="0" fillId="0" borderId="7" xfId="0" applyNumberFormat="1" applyBorder="1"/>
    <xf numFmtId="170" fontId="0" fillId="0" borderId="8" xfId="0" applyNumberFormat="1" applyBorder="1"/>
    <xf numFmtId="170" fontId="0" fillId="0" borderId="15" xfId="0" applyNumberFormat="1" applyBorder="1"/>
    <xf numFmtId="170" fontId="0" fillId="0" borderId="9" xfId="0" applyNumberFormat="1" applyBorder="1"/>
    <xf numFmtId="0" fontId="0" fillId="0" borderId="2" xfId="0" applyBorder="1"/>
    <xf numFmtId="170" fontId="0" fillId="0" borderId="10" xfId="0" applyNumberFormat="1" applyBorder="1"/>
    <xf numFmtId="0" fontId="2" fillId="8" borderId="2" xfId="0" applyFont="1" applyFill="1" applyBorder="1"/>
    <xf numFmtId="0" fontId="0" fillId="8" borderId="13" xfId="0" applyFill="1" applyBorder="1"/>
    <xf numFmtId="0" fontId="0" fillId="0" borderId="4" xfId="0" applyBorder="1" applyAlignment="1">
      <alignment horizontal="left" indent="1"/>
    </xf>
    <xf numFmtId="170" fontId="0" fillId="0" borderId="5" xfId="0" applyNumberFormat="1" applyBorder="1"/>
    <xf numFmtId="0" fontId="0" fillId="0" borderId="9" xfId="0" applyBorder="1"/>
    <xf numFmtId="0" fontId="0" fillId="4" borderId="0" xfId="0" applyFill="1"/>
    <xf numFmtId="10" fontId="0" fillId="4" borderId="5" xfId="1" applyNumberFormat="1" applyFont="1" applyFill="1" applyBorder="1"/>
    <xf numFmtId="10" fontId="0" fillId="4" borderId="3" xfId="1" applyNumberFormat="1" applyFont="1" applyFill="1" applyBorder="1"/>
    <xf numFmtId="165" fontId="0" fillId="4" borderId="5" xfId="0" applyNumberFormat="1" applyFill="1" applyBorder="1"/>
    <xf numFmtId="164" fontId="0" fillId="4" borderId="5" xfId="0" applyNumberFormat="1" applyFill="1" applyBorder="1"/>
    <xf numFmtId="169" fontId="0" fillId="4" borderId="3" xfId="0" applyNumberFormat="1" applyFill="1" applyBorder="1"/>
    <xf numFmtId="167" fontId="0" fillId="6" borderId="0" xfId="0" applyNumberFormat="1" applyFill="1"/>
    <xf numFmtId="169" fontId="0" fillId="0" borderId="0" xfId="0" applyNumberFormat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left"/>
    </xf>
    <xf numFmtId="10" fontId="0" fillId="0" borderId="0" xfId="1" applyNumberFormat="1" applyFont="1" applyFill="1" applyBorder="1"/>
    <xf numFmtId="164" fontId="0" fillId="0" borderId="5" xfId="0" applyNumberFormat="1" applyBorder="1" applyAlignment="1">
      <alignment horizontal="left" indent="1"/>
    </xf>
    <xf numFmtId="10" fontId="0" fillId="0" borderId="9" xfId="1" applyNumberFormat="1" applyFont="1" applyFill="1" applyBorder="1"/>
    <xf numFmtId="169" fontId="0" fillId="0" borderId="5" xfId="0" applyNumberFormat="1" applyBorder="1"/>
    <xf numFmtId="169" fontId="0" fillId="0" borderId="7" xfId="0" applyNumberFormat="1" applyBorder="1"/>
    <xf numFmtId="169" fontId="0" fillId="0" borderId="1" xfId="0" applyNumberFormat="1" applyBorder="1"/>
    <xf numFmtId="169" fontId="0" fillId="0" borderId="8" xfId="0" applyNumberFormat="1" applyBorder="1"/>
    <xf numFmtId="10" fontId="0" fillId="9" borderId="3" xfId="1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165" fontId="0" fillId="9" borderId="3" xfId="0" applyNumberFormat="1" applyFill="1" applyBorder="1"/>
    <xf numFmtId="164" fontId="0" fillId="0" borderId="1" xfId="0" applyNumberFormat="1" applyBorder="1" applyAlignment="1">
      <alignment horizontal="left"/>
    </xf>
    <xf numFmtId="165" fontId="0" fillId="4" borderId="1" xfId="0" applyNumberFormat="1" applyFill="1" applyBorder="1"/>
    <xf numFmtId="164" fontId="3" fillId="9" borderId="5" xfId="0" applyNumberFormat="1" applyFont="1" applyFill="1" applyBorder="1" applyAlignment="1">
      <alignment horizontal="left"/>
    </xf>
    <xf numFmtId="164" fontId="0" fillId="3" borderId="3" xfId="0" applyNumberFormat="1" applyFill="1" applyBorder="1" applyAlignment="1">
      <alignment horizontal="left" indent="1"/>
    </xf>
    <xf numFmtId="164" fontId="0" fillId="3" borderId="7" xfId="0" applyNumberFormat="1" applyFill="1" applyBorder="1" applyAlignment="1">
      <alignment horizontal="left" indent="1"/>
    </xf>
    <xf numFmtId="164" fontId="3" fillId="3" borderId="5" xfId="0" applyNumberFormat="1" applyFont="1" applyFill="1" applyBorder="1" applyAlignment="1">
      <alignment horizontal="left"/>
    </xf>
    <xf numFmtId="165" fontId="0" fillId="3" borderId="3" xfId="0" applyNumberFormat="1" applyFill="1" applyBorder="1"/>
    <xf numFmtId="164" fontId="3" fillId="2" borderId="5" xfId="0" applyNumberFormat="1" applyFont="1" applyFill="1" applyBorder="1" applyAlignment="1">
      <alignment horizontal="left"/>
    </xf>
    <xf numFmtId="10" fontId="0" fillId="2" borderId="5" xfId="0" applyNumberFormat="1" applyFill="1" applyBorder="1"/>
    <xf numFmtId="164" fontId="0" fillId="2" borderId="3" xfId="0" applyNumberFormat="1" applyFill="1" applyBorder="1" applyAlignment="1">
      <alignment horizontal="left" indent="1"/>
    </xf>
    <xf numFmtId="169" fontId="0" fillId="2" borderId="3" xfId="0" applyNumberFormat="1" applyFill="1" applyBorder="1"/>
    <xf numFmtId="164" fontId="0" fillId="2" borderId="7" xfId="0" applyNumberFormat="1" applyFill="1" applyBorder="1" applyAlignment="1">
      <alignment horizontal="left" indent="1"/>
    </xf>
    <xf numFmtId="169" fontId="0" fillId="2" borderId="7" xfId="0" applyNumberFormat="1" applyFill="1" applyBorder="1"/>
    <xf numFmtId="164" fontId="3" fillId="6" borderId="5" xfId="0" applyNumberFormat="1" applyFont="1" applyFill="1" applyBorder="1" applyAlignment="1">
      <alignment horizontal="left"/>
    </xf>
    <xf numFmtId="169" fontId="0" fillId="6" borderId="5" xfId="0" applyNumberFormat="1" applyFill="1" applyBorder="1"/>
    <xf numFmtId="164" fontId="0" fillId="6" borderId="7" xfId="0" applyNumberFormat="1" applyFill="1" applyBorder="1" applyAlignment="1">
      <alignment horizontal="left" indent="1"/>
    </xf>
    <xf numFmtId="10" fontId="0" fillId="6" borderId="7" xfId="1" applyNumberFormat="1" applyFont="1" applyFill="1" applyBorder="1"/>
    <xf numFmtId="10" fontId="0" fillId="9" borderId="5" xfId="1" applyNumberFormat="1" applyFont="1" applyFill="1" applyBorder="1"/>
    <xf numFmtId="10" fontId="0" fillId="0" borderId="7" xfId="1" applyNumberFormat="1" applyFont="1" applyBorder="1"/>
    <xf numFmtId="10" fontId="0" fillId="0" borderId="3" xfId="1" quotePrefix="1" applyNumberFormat="1" applyFont="1" applyFill="1" applyBorder="1"/>
    <xf numFmtId="10" fontId="1" fillId="0" borderId="3" xfId="1" quotePrefix="1" applyNumberFormat="1" applyFont="1" applyFill="1" applyBorder="1"/>
    <xf numFmtId="10" fontId="0" fillId="0" borderId="7" xfId="0" quotePrefix="1" applyNumberFormat="1" applyBorder="1"/>
    <xf numFmtId="169" fontId="0" fillId="0" borderId="3" xfId="0" quotePrefix="1" applyNumberFormat="1" applyBorder="1"/>
    <xf numFmtId="165" fontId="0" fillId="9" borderId="3" xfId="0" quotePrefix="1" applyNumberFormat="1" applyFill="1" applyBorder="1"/>
    <xf numFmtId="10" fontId="0" fillId="9" borderId="3" xfId="1" quotePrefix="1" applyNumberFormat="1" applyFont="1" applyFill="1" applyBorder="1"/>
    <xf numFmtId="169" fontId="0" fillId="0" borderId="5" xfId="0" quotePrefix="1" applyNumberFormat="1" applyBorder="1"/>
    <xf numFmtId="10" fontId="0" fillId="0" borderId="7" xfId="1" quotePrefix="1" applyNumberFormat="1" applyFont="1" applyBorder="1"/>
    <xf numFmtId="2" fontId="0" fillId="0" borderId="5" xfId="0" quotePrefix="1" applyNumberFormat="1" applyBorder="1"/>
    <xf numFmtId="2" fontId="0" fillId="0" borderId="7" xfId="0" quotePrefix="1" applyNumberFormat="1" applyBorder="1"/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F947-2ABB-41E4-9BF8-362C7EA09C5F}">
  <sheetPr>
    <pageSetUpPr fitToPage="1"/>
  </sheetPr>
  <dimension ref="A1:F22"/>
  <sheetViews>
    <sheetView tabSelected="1" zoomScale="90" zoomScaleNormal="90" workbookViewId="0"/>
  </sheetViews>
  <sheetFormatPr baseColWidth="10" defaultRowHeight="15" x14ac:dyDescent="0.25"/>
  <cols>
    <col min="1" max="1" width="48.7109375" customWidth="1"/>
    <col min="2" max="2" width="14.28515625" customWidth="1"/>
  </cols>
  <sheetData>
    <row r="1" spans="1:6" ht="21" x14ac:dyDescent="0.25">
      <c r="A1" s="7" t="s">
        <v>62</v>
      </c>
      <c r="B1" s="79" t="s">
        <v>70</v>
      </c>
      <c r="C1" s="79" t="s">
        <v>7</v>
      </c>
      <c r="D1" s="79" t="s">
        <v>6</v>
      </c>
      <c r="E1" s="79" t="s">
        <v>8</v>
      </c>
      <c r="F1" s="79" t="s">
        <v>9</v>
      </c>
    </row>
    <row r="2" spans="1:6" x14ac:dyDescent="0.25">
      <c r="A2" s="81" t="s">
        <v>13</v>
      </c>
      <c r="B2" s="82"/>
      <c r="C2" s="82">
        <v>1</v>
      </c>
      <c r="D2" s="82">
        <v>1</v>
      </c>
      <c r="E2" s="82">
        <v>1</v>
      </c>
      <c r="F2" s="82">
        <v>1</v>
      </c>
    </row>
    <row r="3" spans="1:6" ht="18.75" x14ac:dyDescent="0.3">
      <c r="A3" s="86" t="s">
        <v>82</v>
      </c>
      <c r="B3" s="87"/>
      <c r="C3" s="87"/>
      <c r="D3" s="87"/>
      <c r="E3" s="87"/>
      <c r="F3" s="87"/>
    </row>
    <row r="4" spans="1:6" x14ac:dyDescent="0.25">
      <c r="A4" s="84" t="s">
        <v>80</v>
      </c>
      <c r="B4" s="3"/>
      <c r="C4" s="3">
        <v>0.55630000000000002</v>
      </c>
      <c r="D4" s="3">
        <v>0.54949999999999999</v>
      </c>
      <c r="E4" s="3">
        <v>0.5635</v>
      </c>
      <c r="F4" s="3">
        <v>0.50470000000000004</v>
      </c>
    </row>
    <row r="5" spans="1:6" x14ac:dyDescent="0.25">
      <c r="A5" s="85" t="s">
        <v>81</v>
      </c>
      <c r="B5" s="4"/>
      <c r="C5" s="4">
        <v>0.30049999999999999</v>
      </c>
      <c r="D5" s="4">
        <v>0.30280000000000001</v>
      </c>
      <c r="E5" s="4">
        <v>0.30930000000000002</v>
      </c>
      <c r="F5" s="4">
        <v>0.20219999999999999</v>
      </c>
    </row>
    <row r="6" spans="1:6" x14ac:dyDescent="0.25">
      <c r="A6" s="2" t="s">
        <v>0</v>
      </c>
      <c r="B6" s="100" t="s">
        <v>67</v>
      </c>
      <c r="C6" s="14">
        <f>C4-C5</f>
        <v>0.25580000000000003</v>
      </c>
      <c r="D6" s="14">
        <f>D4-D5</f>
        <v>0.24669999999999997</v>
      </c>
      <c r="E6" s="14">
        <f t="shared" ref="E6:F6" si="0">E4-E5</f>
        <v>0.25419999999999998</v>
      </c>
      <c r="F6" s="14">
        <f t="shared" si="0"/>
        <v>0.30250000000000005</v>
      </c>
    </row>
    <row r="7" spans="1:6" x14ac:dyDescent="0.25">
      <c r="A7" s="2" t="s">
        <v>14</v>
      </c>
      <c r="B7" s="101" t="s">
        <v>68</v>
      </c>
      <c r="C7" s="16">
        <f>(1-C4)/(1-C5)</f>
        <v>0.63431022158684769</v>
      </c>
      <c r="D7" s="16">
        <f>(1-D4)/(1-D5)</f>
        <v>0.64615605278255883</v>
      </c>
      <c r="E7" s="16">
        <f t="shared" ref="E7:F7" si="1">(1-E4)/(1-E5)</f>
        <v>0.63196756913276386</v>
      </c>
      <c r="F7" s="16">
        <f t="shared" si="1"/>
        <v>0.62083228879418395</v>
      </c>
    </row>
    <row r="8" spans="1:6" x14ac:dyDescent="0.25">
      <c r="A8" s="5" t="s">
        <v>15</v>
      </c>
      <c r="B8" s="102" t="s">
        <v>69</v>
      </c>
      <c r="C8" s="18">
        <f>C5/C4</f>
        <v>0.54017616394031998</v>
      </c>
      <c r="D8" s="18">
        <f>D5/D4</f>
        <v>0.55104640582347597</v>
      </c>
      <c r="E8" s="18">
        <f t="shared" ref="E8:F8" si="2">E5/E4</f>
        <v>0.54889086069210291</v>
      </c>
      <c r="F8" s="18">
        <f t="shared" si="2"/>
        <v>0.40063404002377645</v>
      </c>
    </row>
    <row r="9" spans="1:6" ht="18.75" x14ac:dyDescent="0.3">
      <c r="A9" s="88" t="s">
        <v>83</v>
      </c>
      <c r="B9" s="89"/>
      <c r="C9" s="89"/>
      <c r="D9" s="89"/>
      <c r="E9" s="89"/>
      <c r="F9" s="89"/>
    </row>
    <row r="10" spans="1:6" x14ac:dyDescent="0.25">
      <c r="A10" s="90" t="s">
        <v>65</v>
      </c>
      <c r="B10" s="91"/>
      <c r="C10" s="91">
        <v>40.1</v>
      </c>
      <c r="D10" s="91">
        <v>41.37</v>
      </c>
      <c r="E10" s="91">
        <v>71.05</v>
      </c>
      <c r="F10" s="91">
        <v>24.82</v>
      </c>
    </row>
    <row r="11" spans="1:6" x14ac:dyDescent="0.25">
      <c r="A11" s="92" t="s">
        <v>66</v>
      </c>
      <c r="B11" s="93"/>
      <c r="C11" s="93">
        <v>33.5</v>
      </c>
      <c r="D11" s="93">
        <v>32.049999999999997</v>
      </c>
      <c r="E11" s="93">
        <v>56.97</v>
      </c>
      <c r="F11" s="93">
        <v>33.659999999999997</v>
      </c>
    </row>
    <row r="12" spans="1:6" ht="18.75" x14ac:dyDescent="0.3">
      <c r="A12" s="94" t="s">
        <v>84</v>
      </c>
      <c r="B12" s="95"/>
      <c r="C12" s="95"/>
      <c r="D12" s="95"/>
      <c r="E12" s="95"/>
      <c r="F12" s="95"/>
    </row>
    <row r="13" spans="1:6" x14ac:dyDescent="0.25">
      <c r="A13" s="96" t="s">
        <v>79</v>
      </c>
      <c r="B13" s="97"/>
      <c r="C13" s="97">
        <v>0.92498000000000002</v>
      </c>
      <c r="D13" s="97">
        <v>0.96779999999999999</v>
      </c>
      <c r="E13" s="97">
        <v>0.93479999999999996</v>
      </c>
      <c r="F13" s="97">
        <v>0.97330000000000005</v>
      </c>
    </row>
    <row r="14" spans="1:6" ht="18.75" x14ac:dyDescent="0.3">
      <c r="A14" s="83" t="s">
        <v>85</v>
      </c>
      <c r="B14" s="98"/>
      <c r="C14" s="98"/>
      <c r="D14" s="98"/>
      <c r="E14" s="98"/>
      <c r="F14" s="98"/>
    </row>
    <row r="15" spans="1:6" x14ac:dyDescent="0.25">
      <c r="A15" s="2" t="s">
        <v>63</v>
      </c>
      <c r="B15" s="103" t="s">
        <v>71</v>
      </c>
      <c r="C15" s="21">
        <f>C13*C11</f>
        <v>30.986830000000001</v>
      </c>
      <c r="D15" s="21">
        <f>D13*D11</f>
        <v>31.017989999999998</v>
      </c>
      <c r="E15" s="21">
        <f>E13*E11</f>
        <v>53.255555999999999</v>
      </c>
      <c r="F15" s="21">
        <f>F13*F11</f>
        <v>32.761277999999997</v>
      </c>
    </row>
    <row r="16" spans="1:6" x14ac:dyDescent="0.25">
      <c r="A16" s="2" t="s">
        <v>3</v>
      </c>
      <c r="B16" s="104" t="s">
        <v>72</v>
      </c>
      <c r="C16" s="80">
        <f>C6*1000/C15</f>
        <v>8.2551199977538854</v>
      </c>
      <c r="D16" s="80">
        <f>D6*1000/D15</f>
        <v>7.9534489501092756</v>
      </c>
      <c r="E16" s="80">
        <f>E6*1000/E15</f>
        <v>4.7732108927752064</v>
      </c>
      <c r="F16" s="80">
        <f>F6*1000/F15</f>
        <v>9.2334615273555585</v>
      </c>
    </row>
    <row r="17" spans="1:6" x14ac:dyDescent="0.25">
      <c r="A17" s="2" t="s">
        <v>4</v>
      </c>
      <c r="B17" s="103" t="s">
        <v>73</v>
      </c>
      <c r="C17" s="21">
        <f>C5*1000/C16</f>
        <v>36.401651348709926</v>
      </c>
      <c r="D17" s="21">
        <f>D5*1000/D16</f>
        <v>38.071533733279288</v>
      </c>
      <c r="E17" s="21">
        <f>E5*1000/E16</f>
        <v>64.79914819354839</v>
      </c>
      <c r="F17" s="21">
        <f>F5*1000/F16</f>
        <v>21.898612930909085</v>
      </c>
    </row>
    <row r="18" spans="1:6" x14ac:dyDescent="0.25">
      <c r="A18" s="2" t="s">
        <v>22</v>
      </c>
      <c r="B18" s="105" t="s">
        <v>74</v>
      </c>
      <c r="C18" s="78">
        <f>C17/C10</f>
        <v>0.9077718540825418</v>
      </c>
      <c r="D18" s="78">
        <f>D17/D10</f>
        <v>0.92026912577421538</v>
      </c>
      <c r="E18" s="78">
        <f t="shared" ref="E18:F18" si="3">E17/E10</f>
        <v>0.91202179019772545</v>
      </c>
      <c r="F18" s="78">
        <f t="shared" si="3"/>
        <v>0.88229705603985031</v>
      </c>
    </row>
    <row r="19" spans="1:6" x14ac:dyDescent="0.25">
      <c r="A19" s="72" t="s">
        <v>64</v>
      </c>
      <c r="B19" s="106" t="s">
        <v>75</v>
      </c>
      <c r="C19" s="74">
        <f>C17-C10</f>
        <v>-3.6983486512900754</v>
      </c>
      <c r="D19" s="74">
        <f>D17-D10</f>
        <v>-3.298466266720709</v>
      </c>
      <c r="E19" s="74">
        <f t="shared" ref="E19:F19" si="4">E17-E10</f>
        <v>-6.2508518064516068</v>
      </c>
      <c r="F19" s="74">
        <f t="shared" si="4"/>
        <v>-2.9213870690909154</v>
      </c>
    </row>
    <row r="20" spans="1:6" x14ac:dyDescent="0.25">
      <c r="A20" s="5" t="s">
        <v>55</v>
      </c>
      <c r="B20" s="107" t="s">
        <v>76</v>
      </c>
      <c r="C20" s="99">
        <f>C19/C10</f>
        <v>-9.2228145917458232E-2</v>
      </c>
      <c r="D20" s="99">
        <f>D19/D10</f>
        <v>-7.9730874225784606E-2</v>
      </c>
      <c r="E20" s="99">
        <f t="shared" ref="E20:F20" si="5">E19/E10</f>
        <v>-8.7978209802274554E-2</v>
      </c>
      <c r="F20" s="99">
        <f t="shared" si="5"/>
        <v>-0.11770294396014969</v>
      </c>
    </row>
    <row r="21" spans="1:6" x14ac:dyDescent="0.25">
      <c r="A21" s="72" t="s">
        <v>58</v>
      </c>
      <c r="B21" s="108" t="s">
        <v>77</v>
      </c>
      <c r="C21" s="26">
        <f>C10*C16</f>
        <v>331.03031190993079</v>
      </c>
      <c r="D21" s="26">
        <f>D10*D16</f>
        <v>329.03418306602072</v>
      </c>
      <c r="E21" s="26">
        <f t="shared" ref="E21:F21" si="6">E10*E16</f>
        <v>339.13663393167838</v>
      </c>
      <c r="F21" s="26">
        <f t="shared" si="6"/>
        <v>229.17451510896495</v>
      </c>
    </row>
    <row r="22" spans="1:6" x14ac:dyDescent="0.25">
      <c r="A22" s="5" t="s">
        <v>27</v>
      </c>
      <c r="B22" s="109" t="s">
        <v>78</v>
      </c>
      <c r="C22" s="28">
        <f>C11*C16</f>
        <v>276.54651992475516</v>
      </c>
      <c r="D22" s="28">
        <f>D11*D16</f>
        <v>254.90803885100226</v>
      </c>
      <c r="E22" s="28">
        <f t="shared" ref="E22:F22" si="7">E11*E16</f>
        <v>271.92982456140351</v>
      </c>
      <c r="F22" s="28">
        <f t="shared" si="7"/>
        <v>310.79831501078809</v>
      </c>
    </row>
  </sheetData>
  <pageMargins left="0.25" right="0.25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B130-24F3-48FC-83F1-D6CDA4B85E81}">
  <sheetPr>
    <pageSetUpPr fitToPage="1"/>
  </sheetPr>
  <dimension ref="A1:K44"/>
  <sheetViews>
    <sheetView zoomScale="90" zoomScaleNormal="90" workbookViewId="0">
      <selection activeCell="C24" sqref="C24:C25"/>
    </sheetView>
  </sheetViews>
  <sheetFormatPr baseColWidth="10" defaultRowHeight="15" x14ac:dyDescent="0.25"/>
  <cols>
    <col min="1" max="1" width="51" customWidth="1"/>
    <col min="2" max="4" width="13.5703125" customWidth="1"/>
    <col min="5" max="5" width="18" customWidth="1"/>
    <col min="6" max="6" width="11.85546875" customWidth="1"/>
    <col min="7" max="9" width="10.140625" customWidth="1"/>
  </cols>
  <sheetData>
    <row r="1" spans="1:11" ht="21" x14ac:dyDescent="0.25">
      <c r="A1" s="7" t="s">
        <v>10</v>
      </c>
      <c r="B1" s="8" t="s">
        <v>11</v>
      </c>
      <c r="C1" s="8" t="s">
        <v>12</v>
      </c>
    </row>
    <row r="2" spans="1:11" x14ac:dyDescent="0.25">
      <c r="A2" s="9" t="s">
        <v>13</v>
      </c>
      <c r="B2" s="1"/>
      <c r="C2" s="64">
        <v>11.2</v>
      </c>
      <c r="E2" s="67" t="s">
        <v>49</v>
      </c>
      <c r="F2" t="s">
        <v>50</v>
      </c>
    </row>
    <row r="3" spans="1:11" x14ac:dyDescent="0.25">
      <c r="A3" s="9" t="s">
        <v>5</v>
      </c>
      <c r="B3" s="10">
        <v>0.55000000000000004</v>
      </c>
      <c r="C3" s="62">
        <v>0.57550000000000001</v>
      </c>
      <c r="E3" s="61" t="s">
        <v>52</v>
      </c>
      <c r="F3" t="s">
        <v>51</v>
      </c>
    </row>
    <row r="4" spans="1:11" x14ac:dyDescent="0.25">
      <c r="A4" s="2" t="s">
        <v>1</v>
      </c>
      <c r="B4" s="11">
        <v>0.28000000000000003</v>
      </c>
      <c r="C4" s="63">
        <v>0.31709999999999999</v>
      </c>
      <c r="E4" s="12" t="s">
        <v>53</v>
      </c>
      <c r="F4" s="13" t="s">
        <v>54</v>
      </c>
    </row>
    <row r="5" spans="1:11" x14ac:dyDescent="0.25">
      <c r="A5" s="2" t="s">
        <v>0</v>
      </c>
      <c r="B5" s="14">
        <f>B3-B4</f>
        <v>0.27</v>
      </c>
      <c r="C5" s="14">
        <f>C3-C4</f>
        <v>0.25840000000000002</v>
      </c>
      <c r="E5" s="12"/>
      <c r="F5" s="13"/>
    </row>
    <row r="6" spans="1:11" x14ac:dyDescent="0.25">
      <c r="A6" s="15" t="s">
        <v>14</v>
      </c>
      <c r="B6" s="16">
        <f>(1-B3)/(1-B4)</f>
        <v>0.625</v>
      </c>
      <c r="C6" s="16">
        <f>(1-C3)/(1-C4)</f>
        <v>0.62161370625274559</v>
      </c>
    </row>
    <row r="7" spans="1:11" x14ac:dyDescent="0.25">
      <c r="A7" s="17" t="s">
        <v>15</v>
      </c>
      <c r="B7" s="18">
        <f>B4/B3</f>
        <v>0.50909090909090915</v>
      </c>
      <c r="C7" s="18">
        <f>C4/C3</f>
        <v>0.55099913119026933</v>
      </c>
    </row>
    <row r="8" spans="1:11" x14ac:dyDescent="0.25">
      <c r="A8" s="9" t="s">
        <v>16</v>
      </c>
      <c r="B8" s="19"/>
      <c r="C8" s="65">
        <v>105</v>
      </c>
      <c r="E8" s="68"/>
      <c r="F8" s="68"/>
      <c r="I8" s="20"/>
    </row>
    <row r="9" spans="1:11" x14ac:dyDescent="0.25">
      <c r="A9" s="15" t="s">
        <v>17</v>
      </c>
      <c r="B9" s="21">
        <f>B11*1000/C8</f>
        <v>33.671552048102221</v>
      </c>
      <c r="C9" s="66">
        <v>34.54</v>
      </c>
      <c r="E9" s="68"/>
      <c r="I9" s="20"/>
    </row>
    <row r="10" spans="1:11" x14ac:dyDescent="0.25">
      <c r="A10" s="15" t="s">
        <v>18</v>
      </c>
      <c r="B10" s="21">
        <f>B12*1000/C8</f>
        <v>29.298067141403866</v>
      </c>
      <c r="C10" s="66">
        <v>32.200000000000003</v>
      </c>
      <c r="E10" s="68"/>
      <c r="F10" s="68"/>
      <c r="I10" s="20"/>
    </row>
    <row r="11" spans="1:11" x14ac:dyDescent="0.25">
      <c r="A11" s="15" t="s">
        <v>19</v>
      </c>
      <c r="B11" s="21">
        <f>B$4/B$15*C$2</f>
        <v>3.5355129650507329</v>
      </c>
      <c r="C11" s="21">
        <f>C9*C8/1000</f>
        <v>3.6267</v>
      </c>
      <c r="D11" s="12"/>
      <c r="E11" s="68"/>
    </row>
    <row r="12" spans="1:11" x14ac:dyDescent="0.25">
      <c r="A12" s="15" t="s">
        <v>20</v>
      </c>
      <c r="B12" s="21">
        <f>C$2*B$5/B$16</f>
        <v>3.076297049847406</v>
      </c>
      <c r="C12" s="21">
        <f>C10*C8/1000</f>
        <v>3.3810000000000007</v>
      </c>
      <c r="D12" s="12"/>
      <c r="E12" s="68"/>
      <c r="K12" s="12"/>
    </row>
    <row r="13" spans="1:11" x14ac:dyDescent="0.25">
      <c r="A13" s="17" t="s">
        <v>21</v>
      </c>
      <c r="B13" s="23">
        <f>B11/B12</f>
        <v>1.1492755438640443</v>
      </c>
      <c r="C13" s="23">
        <f>C11/C12</f>
        <v>1.0726708074534159</v>
      </c>
      <c r="E13" s="68"/>
    </row>
    <row r="14" spans="1:11" x14ac:dyDescent="0.25">
      <c r="A14" s="15" t="s">
        <v>60</v>
      </c>
      <c r="B14" s="24">
        <f>(B5*1000/B10)</f>
        <v>9.2156249999999993</v>
      </c>
      <c r="C14" s="24">
        <f>(C5*1000/C10)</f>
        <v>8.024844720496894</v>
      </c>
      <c r="I14" s="12"/>
    </row>
    <row r="15" spans="1:11" x14ac:dyDescent="0.25">
      <c r="A15" s="15" t="s">
        <v>22</v>
      </c>
      <c r="B15" s="11">
        <v>0.88700000000000001</v>
      </c>
      <c r="C15" s="14">
        <v>0.93200000000000005</v>
      </c>
      <c r="I15" s="12"/>
    </row>
    <row r="16" spans="1:11" x14ac:dyDescent="0.25">
      <c r="A16" s="15" t="s">
        <v>23</v>
      </c>
      <c r="B16" s="11">
        <v>0.98299999999999998</v>
      </c>
      <c r="C16" s="14">
        <v>0.96499999999999997</v>
      </c>
    </row>
    <row r="17" spans="1:11" x14ac:dyDescent="0.25">
      <c r="A17" s="72" t="s">
        <v>61</v>
      </c>
      <c r="B17" s="74">
        <f>(B4*C2)-B11</f>
        <v>-0.39951296505073275</v>
      </c>
      <c r="C17" s="74">
        <f>(C4*C2)-C11</f>
        <v>-7.5180000000000469E-2</v>
      </c>
      <c r="F17" s="22"/>
      <c r="I17" s="12"/>
    </row>
    <row r="18" spans="1:11" x14ac:dyDescent="0.25">
      <c r="A18" s="5" t="s">
        <v>55</v>
      </c>
      <c r="B18" s="73">
        <f>B17/B11</f>
        <v>-0.11299999999999998</v>
      </c>
      <c r="C18" s="25">
        <f>C17/C11</f>
        <v>-2.0729588882455255E-2</v>
      </c>
      <c r="G18" s="12"/>
      <c r="H18" s="12"/>
    </row>
    <row r="19" spans="1:11" x14ac:dyDescent="0.25">
      <c r="A19" s="70"/>
      <c r="B19" s="71"/>
      <c r="C19" s="71"/>
      <c r="G19" s="12"/>
      <c r="H19" s="12"/>
    </row>
    <row r="20" spans="1:11" x14ac:dyDescent="0.25">
      <c r="A20" s="70"/>
      <c r="B20" s="71"/>
      <c r="C20" s="71"/>
      <c r="G20" s="12"/>
      <c r="H20" s="12"/>
    </row>
    <row r="21" spans="1:11" x14ac:dyDescent="0.25">
      <c r="A21" s="70"/>
      <c r="B21" s="70"/>
      <c r="C21" s="70"/>
      <c r="D21" s="69" t="s">
        <v>57</v>
      </c>
      <c r="G21" s="12"/>
      <c r="H21" s="12"/>
      <c r="I21" s="12"/>
      <c r="J21" s="12"/>
      <c r="K21" s="12"/>
    </row>
    <row r="22" spans="1:11" x14ac:dyDescent="0.25">
      <c r="A22" s="9" t="s">
        <v>58</v>
      </c>
      <c r="B22" s="26">
        <f>B11/C2*1000</f>
        <v>315.67080045095832</v>
      </c>
      <c r="C22" s="26">
        <f>C9*C8/C2</f>
        <v>323.8125</v>
      </c>
      <c r="D22" s="74">
        <f>((B22-C22)*B24*C2/1000)</f>
        <v>-0.45867078579481174</v>
      </c>
      <c r="F22" s="27" t="s">
        <v>24</v>
      </c>
      <c r="G22" s="27" t="s">
        <v>12</v>
      </c>
      <c r="H22" s="27" t="s">
        <v>25</v>
      </c>
      <c r="I22" s="27" t="s">
        <v>26</v>
      </c>
      <c r="J22" s="12"/>
      <c r="K22" s="12"/>
    </row>
    <row r="23" spans="1:11" x14ac:dyDescent="0.25">
      <c r="A23" s="17" t="s">
        <v>27</v>
      </c>
      <c r="B23" s="28">
        <f>B12/C2*1000</f>
        <v>274.66937945066127</v>
      </c>
      <c r="C23" s="29">
        <f>C10*C8/C2</f>
        <v>301.87500000000006</v>
      </c>
      <c r="D23" s="75">
        <f>((B23-C23)*B25*C2/1000)</f>
        <v>-2.714903285859616</v>
      </c>
      <c r="E23" t="s">
        <v>28</v>
      </c>
      <c r="F23" s="68">
        <f>B11</f>
        <v>3.5355129650507329</v>
      </c>
      <c r="G23" s="68">
        <f>C11</f>
        <v>3.6267</v>
      </c>
      <c r="H23" s="68">
        <f>F23-G23</f>
        <v>-9.1187034949267165E-2</v>
      </c>
      <c r="I23" s="68">
        <f>H23*B24</f>
        <v>-0.45867078579481385</v>
      </c>
      <c r="J23" s="12"/>
      <c r="K23" s="12"/>
    </row>
    <row r="24" spans="1:11" x14ac:dyDescent="0.25">
      <c r="A24" s="9" t="s">
        <v>59</v>
      </c>
      <c r="B24" s="32">
        <v>5.03</v>
      </c>
      <c r="C24" s="32">
        <v>5.03</v>
      </c>
      <c r="D24" s="74">
        <f>(B24-C24)*C22*C2/1000</f>
        <v>0</v>
      </c>
      <c r="E24" t="s">
        <v>29</v>
      </c>
      <c r="F24" s="68">
        <f>B12</f>
        <v>3.076297049847406</v>
      </c>
      <c r="G24" s="68">
        <f>C12</f>
        <v>3.3810000000000007</v>
      </c>
      <c r="H24" s="68">
        <f>F24-G24</f>
        <v>-0.30470295015259463</v>
      </c>
      <c r="I24" s="68">
        <f>H24*B25</f>
        <v>-2.7149032858596183</v>
      </c>
      <c r="J24" s="12"/>
      <c r="K24" s="12"/>
    </row>
    <row r="25" spans="1:11" x14ac:dyDescent="0.25">
      <c r="A25" s="17" t="s">
        <v>86</v>
      </c>
      <c r="B25" s="30">
        <v>8.91</v>
      </c>
      <c r="C25" s="30">
        <v>8.91</v>
      </c>
      <c r="D25" s="75">
        <f>(B25-C25)*C23*C2/1000</f>
        <v>0</v>
      </c>
      <c r="F25" s="68"/>
      <c r="G25" s="68"/>
      <c r="H25" s="68"/>
      <c r="I25" s="68">
        <f>SUM(I23:I24)</f>
        <v>-3.1735740716544321</v>
      </c>
      <c r="J25" s="12"/>
      <c r="K25" s="12"/>
    </row>
    <row r="26" spans="1:11" x14ac:dyDescent="0.25">
      <c r="A26" s="31"/>
      <c r="B26" s="33"/>
      <c r="C26" s="34"/>
      <c r="D26" s="76">
        <f>SUM(D22:D25)</f>
        <v>-3.1735740716544276</v>
      </c>
      <c r="F26" s="12"/>
      <c r="G26" s="12"/>
      <c r="H26" s="12"/>
      <c r="I26" s="12"/>
    </row>
    <row r="28" spans="1:11" x14ac:dyDescent="0.25">
      <c r="B28" s="35" t="s">
        <v>30</v>
      </c>
      <c r="C28" s="35" t="s">
        <v>12</v>
      </c>
      <c r="D28" s="35" t="s">
        <v>31</v>
      </c>
      <c r="E28" s="36" t="s">
        <v>32</v>
      </c>
      <c r="F28" s="36" t="s">
        <v>33</v>
      </c>
      <c r="G28" s="36" t="s">
        <v>34</v>
      </c>
      <c r="H28" s="35" t="s">
        <v>35</v>
      </c>
      <c r="I28" s="37" t="s">
        <v>36</v>
      </c>
    </row>
    <row r="29" spans="1:11" x14ac:dyDescent="0.25">
      <c r="A29" s="38" t="s">
        <v>37</v>
      </c>
      <c r="B29" s="19"/>
      <c r="C29" s="19"/>
      <c r="D29" s="39"/>
      <c r="E29" s="40"/>
      <c r="F29" s="40"/>
      <c r="G29" s="19"/>
      <c r="H29" s="19"/>
      <c r="I29" s="39"/>
    </row>
    <row r="30" spans="1:11" x14ac:dyDescent="0.25">
      <c r="A30" s="41" t="s">
        <v>38</v>
      </c>
      <c r="B30" s="42">
        <f>B$4/B$15*C$2</f>
        <v>3.5355129650507329</v>
      </c>
      <c r="C30" s="42">
        <f>(C$4/C$15)*C$2</f>
        <v>3.8106437768240342</v>
      </c>
      <c r="D30" s="43">
        <f>B30-C30</f>
        <v>-0.27513081177330134</v>
      </c>
      <c r="E30" s="44"/>
      <c r="F30" s="44"/>
      <c r="G30" s="42"/>
      <c r="H30" s="42"/>
      <c r="I30" s="43"/>
    </row>
    <row r="31" spans="1:11" x14ac:dyDescent="0.25">
      <c r="A31" s="45" t="s">
        <v>39</v>
      </c>
      <c r="B31" s="46">
        <f>B$4/B$15*C$2</f>
        <v>3.5355129650507329</v>
      </c>
      <c r="C31" s="46">
        <f>(C$4/B$15)*C$2</f>
        <v>4.0039684329199545</v>
      </c>
      <c r="D31" s="47">
        <f>B31-C31</f>
        <v>-0.46845546786922165</v>
      </c>
      <c r="E31" s="48"/>
      <c r="F31" s="48">
        <f>D31</f>
        <v>-0.46845546786922165</v>
      </c>
      <c r="G31" s="46"/>
      <c r="H31" s="46">
        <f t="shared" ref="H31:H33" si="0">F31*B$24</f>
        <v>-2.3563310033821852</v>
      </c>
      <c r="I31" s="47">
        <f t="shared" ref="I31:I33" si="1">SUM(G31:H31)</f>
        <v>-2.3563310033821852</v>
      </c>
    </row>
    <row r="32" spans="1:11" x14ac:dyDescent="0.25">
      <c r="A32" s="6" t="s">
        <v>40</v>
      </c>
      <c r="B32" s="46">
        <f>B$4/B$15*C$2</f>
        <v>3.5355129650507329</v>
      </c>
      <c r="C32" s="46">
        <f>(B$4/C$15)*C$2</f>
        <v>3.3648068669527897</v>
      </c>
      <c r="D32" s="47">
        <f>B32-C32</f>
        <v>0.17070609809794313</v>
      </c>
      <c r="E32" s="48"/>
      <c r="F32" s="48">
        <f>D32</f>
        <v>0.17070609809794313</v>
      </c>
      <c r="G32" s="46"/>
      <c r="H32" s="46">
        <f t="shared" si="0"/>
        <v>0.85865167343265392</v>
      </c>
      <c r="I32" s="47">
        <f t="shared" si="1"/>
        <v>0.85865167343265392</v>
      </c>
    </row>
    <row r="33" spans="1:9" x14ac:dyDescent="0.25">
      <c r="A33" s="49" t="s">
        <v>56</v>
      </c>
      <c r="B33" s="50"/>
      <c r="C33" s="51"/>
      <c r="D33" s="52">
        <f>(B15-C15)*(B4-C4)*C2</f>
        <v>1.8698399999999997E-2</v>
      </c>
      <c r="E33" s="53"/>
      <c r="F33" s="53">
        <f>D33</f>
        <v>1.8698399999999997E-2</v>
      </c>
      <c r="G33" s="50"/>
      <c r="H33" s="50">
        <f t="shared" si="0"/>
        <v>9.4052951999999995E-2</v>
      </c>
      <c r="I33" s="52">
        <f t="shared" si="1"/>
        <v>9.4052951999999995E-2</v>
      </c>
    </row>
    <row r="34" spans="1:9" x14ac:dyDescent="0.25">
      <c r="A34" s="41" t="s">
        <v>2</v>
      </c>
      <c r="B34" s="42">
        <f>C$2*B$5/B$16</f>
        <v>3.076297049847406</v>
      </c>
      <c r="C34" s="42">
        <f>C2*C5/C16</f>
        <v>2.9990466321243527</v>
      </c>
      <c r="D34" s="43">
        <f>B34-C34</f>
        <v>7.72504177230533E-2</v>
      </c>
      <c r="E34" s="44"/>
      <c r="F34" s="44"/>
      <c r="G34" s="42"/>
      <c r="H34" s="42"/>
      <c r="I34" s="43"/>
    </row>
    <row r="35" spans="1:9" x14ac:dyDescent="0.25">
      <c r="A35" s="45" t="s">
        <v>41</v>
      </c>
      <c r="B35" s="46">
        <f>C$2*B$5/B$16</f>
        <v>3.076297049847406</v>
      </c>
      <c r="C35" s="46">
        <f>C2*C5/B16</f>
        <v>2.9441302136317398</v>
      </c>
      <c r="D35" s="47">
        <f>B35-C35</f>
        <v>0.13216683621566627</v>
      </c>
      <c r="E35" s="48">
        <f>D35</f>
        <v>0.13216683621566627</v>
      </c>
      <c r="F35" s="48"/>
      <c r="G35" s="46">
        <f>E35*B$25</f>
        <v>1.1776065106815865</v>
      </c>
      <c r="H35" s="46"/>
      <c r="I35" s="47">
        <f>SUM(G35:H35)</f>
        <v>1.1776065106815865</v>
      </c>
    </row>
    <row r="36" spans="1:9" x14ac:dyDescent="0.25">
      <c r="A36" s="45" t="s">
        <v>42</v>
      </c>
      <c r="B36" s="46">
        <f>C$2*B$5/B$16</f>
        <v>3.076297049847406</v>
      </c>
      <c r="C36" s="46">
        <f>C2*B5/C16</f>
        <v>3.1336787564766841</v>
      </c>
      <c r="D36" s="47">
        <f>B36-C36</f>
        <v>-5.7381706629278106E-2</v>
      </c>
      <c r="E36" s="48">
        <f>D36</f>
        <v>-5.7381706629278106E-2</v>
      </c>
      <c r="F36" s="48"/>
      <c r="G36" s="46">
        <f t="shared" ref="G36:G37" si="2">E36*B$25</f>
        <v>-0.51127100606686793</v>
      </c>
      <c r="H36" s="46"/>
      <c r="I36" s="47">
        <f t="shared" ref="I36:I37" si="3">SUM(G36:H36)</f>
        <v>-0.51127100606686793</v>
      </c>
    </row>
    <row r="37" spans="1:9" x14ac:dyDescent="0.25">
      <c r="A37" s="49" t="s">
        <v>56</v>
      </c>
      <c r="B37" s="75"/>
      <c r="C37" s="77"/>
      <c r="D37" s="50">
        <f>(B16-C16)*(B5-C5)*C2</f>
        <v>2.3385600000000017E-3</v>
      </c>
      <c r="E37" s="53">
        <f>D37</f>
        <v>2.3385600000000017E-3</v>
      </c>
      <c r="F37" s="53"/>
      <c r="G37" s="50">
        <f t="shared" si="2"/>
        <v>2.0836569600000014E-2</v>
      </c>
      <c r="H37" s="50"/>
      <c r="I37" s="52">
        <f t="shared" si="3"/>
        <v>2.0836569600000014E-2</v>
      </c>
    </row>
    <row r="38" spans="1:9" x14ac:dyDescent="0.25">
      <c r="A38" s="54" t="s">
        <v>43</v>
      </c>
      <c r="B38" s="42"/>
      <c r="C38" s="55"/>
      <c r="D38" s="42"/>
      <c r="E38" s="44">
        <f>SUM(E30:E37)</f>
        <v>7.7123689586388169E-2</v>
      </c>
      <c r="F38" s="44">
        <f>SUM(F30:F37)</f>
        <v>-0.27905096977127852</v>
      </c>
      <c r="G38" s="42">
        <f>SUM(G30:G37)</f>
        <v>0.6871720742147186</v>
      </c>
      <c r="H38" s="42">
        <f>SUM(H30:H37)</f>
        <v>-1.4036263779495313</v>
      </c>
      <c r="I38" s="43">
        <f>SUM(I30:I37)</f>
        <v>-0.71645430373481267</v>
      </c>
    </row>
    <row r="40" spans="1:9" x14ac:dyDescent="0.25">
      <c r="A40" s="56" t="s">
        <v>44</v>
      </c>
      <c r="B40" s="57"/>
    </row>
    <row r="41" spans="1:9" x14ac:dyDescent="0.25">
      <c r="A41" s="58" t="s">
        <v>45</v>
      </c>
      <c r="B41" s="59">
        <f>SUM(I31,I35)</f>
        <v>-1.1787244927005986</v>
      </c>
      <c r="D41" s="12"/>
    </row>
    <row r="42" spans="1:9" x14ac:dyDescent="0.25">
      <c r="A42" s="58" t="s">
        <v>46</v>
      </c>
      <c r="B42" s="46">
        <f>SUM(I32,I36)</f>
        <v>0.34738066736578599</v>
      </c>
    </row>
    <row r="43" spans="1:9" x14ac:dyDescent="0.25">
      <c r="A43" s="58" t="s">
        <v>47</v>
      </c>
      <c r="B43" s="46">
        <f>SUM(I33+I37)</f>
        <v>0.11488952160000002</v>
      </c>
    </row>
    <row r="44" spans="1:9" x14ac:dyDescent="0.25">
      <c r="A44" s="60" t="s">
        <v>48</v>
      </c>
      <c r="B44" s="50">
        <f>SUM(B41:B43)</f>
        <v>-0.71645430373481267</v>
      </c>
    </row>
  </sheetData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Estándar de fab</vt:lpstr>
      <vt:lpstr>Desviaciones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2025-11-09T13:18:36Z</dcterms:modified>
</cp:coreProperties>
</file>