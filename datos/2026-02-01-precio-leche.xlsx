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bf2af71bbc2e43/Documentos/GitHub/master-queseria/website/datos/"/>
    </mc:Choice>
  </mc:AlternateContent>
  <xr:revisionPtr revIDLastSave="35" documentId="8_{C3D8DB6E-80F1-4A74-A94C-632DB8A5E2B1}" xr6:coauthVersionLast="47" xr6:coauthVersionMax="47" xr10:uidLastSave="{275DC052-7D4B-4071-AB00-637E9DC17868}"/>
  <bookViews>
    <workbookView xWindow="-120" yWindow="-120" windowWidth="29040" windowHeight="16440" tabRatio="675" activeTab="1" xr2:uid="{6977E7F1-D64B-47FE-B2A7-D4E9B0399E18}"/>
  </bookViews>
  <sheets>
    <sheet name="Liquidación leche" sheetId="17" r:id="rId1"/>
    <sheet name="Datos materia prima" sheetId="8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23Graph_AGRAFIND" hidden="1">#REF!</definedName>
    <definedName name="__123Graph_AGRAFTOT" hidden="1">#REF!</definedName>
    <definedName name="__123Graph_APRINCIPALE" hidden="1">[1]ACTIVITE!#REF!</definedName>
    <definedName name="__123Graph_BGRAFIND" hidden="1">#REF!</definedName>
    <definedName name="__123Graph_BGRAFTOT" hidden="1">#REF!</definedName>
    <definedName name="__123Graph_BPRINCIPALE" hidden="1">[1]ACTIVITE!#REF!</definedName>
    <definedName name="__123Graph_CPRINCIPALE" hidden="1">[1]ACTIVITE!#REF!</definedName>
    <definedName name="__123Graph_XPRINCIPALE" hidden="1">[1]ACTIVITE!#REF!</definedName>
    <definedName name="__Amount_for_Gross_Profit_Monthly_ASDA_All_Unit_2" hidden="1">[2]pcQueryData!#REF!</definedName>
    <definedName name="__Amount_for_Gross_Profit_Monthly_TESCO_All_1" hidden="1">#REF!</definedName>
    <definedName name="__Amount_for_Monthly_1" hidden="1">[3]pcQueryData!$A$4</definedName>
    <definedName name="__c" hidden="1">{"SPM1",#N/A,FALSE,"RIEP"}</definedName>
    <definedName name="_100_PV">#REF!</definedName>
    <definedName name="_100_SVI">#REF!</definedName>
    <definedName name="_1000_XM">#REF!</definedName>
    <definedName name="_145110">#REF!</definedName>
    <definedName name="_162460">[4]STEPHAN!$B$2:$P$71</definedName>
    <definedName name="_170_LIGHT">#REF!</definedName>
    <definedName name="_170_PV">#REF!</definedName>
    <definedName name="_171015">#REF!</definedName>
    <definedName name="_171064">#REF!</definedName>
    <definedName name="_171066">#REF!</definedName>
    <definedName name="_171068">#REF!</definedName>
    <definedName name="_171510">#REF!</definedName>
    <definedName name="_171562">#REF!</definedName>
    <definedName name="_172012">#REF!</definedName>
    <definedName name="_172020">#REF!</definedName>
    <definedName name="_172022">#REF!</definedName>
    <definedName name="_172062">#REF!</definedName>
    <definedName name="_172510">[4]STEPHAN!$B$2:$Q$71</definedName>
    <definedName name="_172610">[4]STEPHAN!$B$2:$Q$71</definedName>
    <definedName name="_176072">#REF!</definedName>
    <definedName name="_Amount_for_Monthly" hidden="1">[5]pcQueryData!$A$3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cSlicerSheet_Slicer1" hidden="1">#REF!</definedName>
    <definedName name="_pcSlicerSheet_Slicer2" hidden="1">#REF!</definedName>
    <definedName name="_pcSlicerSheet_Slicer3" hidden="1">#REF!</definedName>
    <definedName name="_pcSlicerSheet1_Slicer1" hidden="1">#REF!</definedName>
    <definedName name="_pcSlicerSheet1_Slicer2" hidden="1">#REF!</definedName>
    <definedName name="_pcSlicerSheet1_Slicer3" hidden="1">#REF!</definedName>
    <definedName name="_pcSlicerSheet10_Slicer1" hidden="1">#REF!</definedName>
    <definedName name="_pcSlicerSheet11_Slicer1" hidden="1">#REF!</definedName>
    <definedName name="_pcSlicerSheet12_Slicer1" hidden="1">#REF!</definedName>
    <definedName name="_pcSlicerSheet12_Slicer2" hidden="1">#REF!</definedName>
    <definedName name="_pcSlicerSheet12_Slicer3" hidden="1">#REF!</definedName>
    <definedName name="_pcSlicerSheet13_Slicer2" hidden="1">#REF!</definedName>
    <definedName name="_pcSlicerSheet13_Slicer3" hidden="1">#REF!</definedName>
    <definedName name="_pcSlicerSheet14_Slicer1" hidden="1">[2]_pcSlicerSheet14!$A$2:$A$25</definedName>
    <definedName name="_pcSlicerSheet14_Slicer2" hidden="1">#REF!</definedName>
    <definedName name="_pcSlicerSheet14_Slicer3" hidden="1">#REF!</definedName>
    <definedName name="_pcSlicerSheet15_Slicer1" hidden="1">[2]_pcSlicerSheet15!$A$2:$A$25</definedName>
    <definedName name="_pcSlicerSheet15_Slicer2" hidden="1">#REF!</definedName>
    <definedName name="_pcSlicerSheet15_Slicer3" hidden="1">#REF!</definedName>
    <definedName name="_pcSlicerSheet16_Slicer1" hidden="1">[2]_pcSlicerSheet16!$A$2:$A$25</definedName>
    <definedName name="_pcSlicerSheet16_Slicer2" hidden="1">#REF!</definedName>
    <definedName name="_pcSlicerSheet16_Slicer3" hidden="1">#REF!</definedName>
    <definedName name="_pcSlicerSheet17_Slicer1" hidden="1">#REF!</definedName>
    <definedName name="_pcSlicerSheet17_Slicer2" hidden="1">#REF!</definedName>
    <definedName name="_pcSlicerSheet17_Slicer3" hidden="1">#REF!</definedName>
    <definedName name="_pcSlicerSheet18_Slicer1" hidden="1">#REF!</definedName>
    <definedName name="_pcSlicerSheet19_Slicer1" hidden="1">#REF!</definedName>
    <definedName name="_pcSlicerSheet2_Slicer1" hidden="1">#REF!</definedName>
    <definedName name="_pcSlicerSheet2_Slicer2" hidden="1">#REF!</definedName>
    <definedName name="_pcSlicerSheet2_Slicer3" hidden="1">#REF!</definedName>
    <definedName name="_pcSlicerSheet20_Slicer1" hidden="1">#REF!</definedName>
    <definedName name="_pcSlicerSheet20_Slicer2" hidden="1">#REF!</definedName>
    <definedName name="_pcSlicerSheet20_Slicer3" hidden="1">#REF!</definedName>
    <definedName name="_pcSlicerSheet21_Slicer1" hidden="1">#REF!</definedName>
    <definedName name="_pcSlicerSheet22_Slicer1" hidden="1">#REF!</definedName>
    <definedName name="_pcSlicerSheet22_Slicer2" hidden="1">#REF!</definedName>
    <definedName name="_pcSlicerSheet22_Slicer3" hidden="1">#REF!</definedName>
    <definedName name="_pcSlicerSheet23_Slicer1" hidden="1">#REF!</definedName>
    <definedName name="_pcSlicerSheet23_Slicer2" hidden="1">#REF!</definedName>
    <definedName name="_pcSlicerSheet23_Slicer3" hidden="1">#REF!</definedName>
    <definedName name="_pcSlicerSheet24_Slicer1" hidden="1">#REF!</definedName>
    <definedName name="_pcSlicerSheet25_Slicer1" hidden="1">#REF!</definedName>
    <definedName name="_pcSlicerSheet26_Slicer1" hidden="1">#REF!</definedName>
    <definedName name="_pcSlicerSheet27_Slicer1" hidden="1">#REF!</definedName>
    <definedName name="_pcSlicerSheet28_Slicer1" hidden="1">#REF!</definedName>
    <definedName name="_pcSlicerSheet29_Slicer1" hidden="1">#REF!</definedName>
    <definedName name="_pcSlicerSheet30_Slicer1" hidden="1">#REF!</definedName>
    <definedName name="_pcSlicerSheet31_Slicer1" hidden="1">#REF!</definedName>
    <definedName name="_pcSlicerSheet32_Slicer1" hidden="1">#REF!</definedName>
    <definedName name="_pcSlicerSheet32_Slicer2" hidden="1">#REF!</definedName>
    <definedName name="_pcSlicerSheet32_Slicer3" hidden="1">#REF!</definedName>
    <definedName name="_pcSlicerSheet33_Slicer1" hidden="1">#REF!</definedName>
    <definedName name="_pcSlicerSheet33_Slicer2" hidden="1">#REF!</definedName>
    <definedName name="_pcSlicerSheet33_Slicer3" hidden="1">#REF!</definedName>
    <definedName name="_pcSlicerSheet34_Slicer1" hidden="1">#REF!</definedName>
    <definedName name="_pcSlicerSheet34_Slicer2" hidden="1">#REF!</definedName>
    <definedName name="_pcSlicerSheet34_Slicer3" hidden="1">#REF!</definedName>
    <definedName name="_pcSlicerSheet35_Slicer1" hidden="1">#REF!</definedName>
    <definedName name="_pcSlicerSheet35_Slicer2" hidden="1">#REF!</definedName>
    <definedName name="_pcSlicerSheet35_Slicer3" hidden="1">#REF!</definedName>
    <definedName name="_pcSlicerSheet36_Slicer1" hidden="1">#REF!</definedName>
    <definedName name="_pcSlicerSheet37_Slicer1" hidden="1">#REF!</definedName>
    <definedName name="_pcSlicerSheet38_Slicer1" hidden="1">#REF!</definedName>
    <definedName name="_pcSlicerSheet39_Slicer1" hidden="1">#REF!</definedName>
    <definedName name="_pcSlicerSheet4_Slicer1" hidden="1">[2]_pcSlicerSheet4!$A$2:$A$14</definedName>
    <definedName name="_pcSlicerSheet4_Slicer2" hidden="1">#REF!</definedName>
    <definedName name="_pcSlicerSheet40_Slicer1" hidden="1">#REF!</definedName>
    <definedName name="_pcSlicerSheet41_Slicer1" hidden="1">#REF!</definedName>
    <definedName name="_pcSlicerSheet42_Slicer1" hidden="1">#REF!</definedName>
    <definedName name="_pcSlicerSheet43_Slicer1" hidden="1">#REF!</definedName>
    <definedName name="_pcSlicerSheet44_Slicer1" hidden="1">#REF!</definedName>
    <definedName name="_pcSlicerSheet45_Slicer1" hidden="1">#REF!</definedName>
    <definedName name="_pcSlicerSheet46_Slicer1" hidden="1">#REF!</definedName>
    <definedName name="_pcSlicerSheet47_Slicer1" hidden="1">#REF!</definedName>
    <definedName name="_pcSlicerSheet48_Slicer1" hidden="1">#REF!</definedName>
    <definedName name="_pcSlicerSheet49_Slicer1" hidden="1">#REF!</definedName>
    <definedName name="_pcSlicerSheet49_Slicer2" hidden="1">#REF!</definedName>
    <definedName name="_pcSlicerSheet5_Slicer1" hidden="1">#REF!</definedName>
    <definedName name="_pcSlicerSheet50_Slicer1" hidden="1">#REF!</definedName>
    <definedName name="_pcSlicerSheet50_Slicer2" hidden="1">#REF!</definedName>
    <definedName name="_pcSlicerSheet51_Slicer1" hidden="1">#REF!</definedName>
    <definedName name="_pcSlicerSheet52_Slicer1" hidden="1">#REF!</definedName>
    <definedName name="_pcSlicerSheet53_Slicer1" hidden="1">#REF!</definedName>
    <definedName name="_pcSlicerSheet54_Slicer1" hidden="1">#REF!</definedName>
    <definedName name="_pcSlicerSheet55_Slicer1" hidden="1">#REF!</definedName>
    <definedName name="_pcSlicerSheet55_Slicer2" hidden="1">#REF!</definedName>
    <definedName name="_pcSlicerSheet56_Slicer1" hidden="1">#REF!</definedName>
    <definedName name="_pcSlicerSheet58_Slicer1" hidden="1">#REF!</definedName>
    <definedName name="_pcSlicerSheet59_Slicer1" hidden="1">#REF!</definedName>
    <definedName name="_pcSlicerSheet6_Slicer1" hidden="1">#REF!</definedName>
    <definedName name="_pcSlicerSheet6_Slicer2" hidden="1">#REF!</definedName>
    <definedName name="_pcSlicerSheet60_Slicer1" hidden="1">#REF!</definedName>
    <definedName name="_pcSlicerSheet61_Slicer1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Sort" hidden="1">#REF!</definedName>
    <definedName name="a" hidden="1">{"SPM1",#N/A,FALSE,"RIEP"}</definedName>
    <definedName name="A_impresión_IM">#REF!</definedName>
    <definedName name="aaa" hidden="1">#REF!</definedName>
    <definedName name="aaaa" hidden="1">#REF!</definedName>
    <definedName name="aaaaa" hidden="1">{#N/A,#N/A,FALSE,"RIEP"}</definedName>
    <definedName name="aaaaaaaaaaaaaaaa" hidden="1">{#N/A,#N/A,FALSE,"RIEP"}</definedName>
    <definedName name="AASAS" hidden="1">{"QQQ",#N/A,FALSE,"RIEP"}</definedName>
    <definedName name="ADV" hidden="1">{#N/A,#N/A,TRUE,"ANALYSE";#N/A,#N/A,TRUE,"PM VOLUME";#N/A,#N/A,TRUE,"PM VALEUR";#N/A,#N/A,TRUE,"AR1";#N/A,#N/A,TRUE,"AR2";#N/A,#N/A,TRUE,"RAF";#N/A,#N/A,TRUE,"BILAN";#N/A,#N/A,TRUE,"CASH FLOW";#N/A,#N/A,TRUE,"ETAT FI"}</definedName>
    <definedName name="ana" hidden="1">{#N/A,#N/A,TRUE,"EC COMM-t";#N/A,#N/A,TRUE,"EC PAR PDTS-t";#N/A,#N/A,TRUE,"EC MAT-t";#N/A,#N/A,TRUE,"SUIVI HAUSSES-t"}</definedName>
    <definedName name="anscount" hidden="1">1</definedName>
    <definedName name="ardqer" hidden="1">{"SPM1",#N/A,FALSE,"RIEP"}</definedName>
    <definedName name="ASD" hidden="1">{"QQQ",#N/A,FALSE,"RIEP"}</definedName>
    <definedName name="ASDF" hidden="1">{#N/A,#N/A,FALSE,"RIEP"}</definedName>
    <definedName name="asdfas" hidden="1">{#N/A,#N/A,FALSE,"RIEP"}</definedName>
    <definedName name="aùsw" hidden="1">{"SPM1",#N/A,FALSE,"RIEP"}</definedName>
    <definedName name="bbbbb" hidden="1">{#N/A,#N/A,FALSE,"recap";#N/A,#N/A,FALSE,"matNeuf";#N/A,#N/A,FALSE,"matNdie";#N/A,#N/A,FALSE,"incNeuf";#N/A,#N/A,FALSE,"incNdie";#N/A,#N/A,FALSE,"volume";#N/A,#N/A,FALSE,"emballage";#N/A,#N/A,FALSE,"charge"}</definedName>
    <definedName name="bd">#REF!</definedName>
    <definedName name="bimes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of">"ComboBox1"</definedName>
    <definedName name="byikbyuj" hidden="1">{"SPM1",#N/A,FALSE,"RIEP"}</definedName>
    <definedName name="byubtyuj" hidden="1">{"QQQ",#N/A,FALSE,"RIEP"}</definedName>
    <definedName name="byukkty" hidden="1">{#N/A,#N/A,FALSE,"RIEP"}</definedName>
    <definedName name="byuku" hidden="1">{#N/A,#N/A,FALSE,"RIEP"}</definedName>
    <definedName name="č" hidden="1">{"'domaće količine'!$K$34:$P$47"}</definedName>
    <definedName name="cc" hidden="1">{#N/A,#N/A,FALSE,"RIEP"}</definedName>
    <definedName name="ccc" hidden="1">{"SPM1",#N/A,FALSE,"RIEP"}</definedName>
    <definedName name="cccc" hidden="1">{"SPM1",#N/A,FALSE,"RIEP"}</definedName>
    <definedName name="CCSFDFRDF" hidden="1">{"SPM1",#N/A,FALSE,"RIEP"}</definedName>
    <definedName name="cdf" hidden="1">{"SPM1",#N/A,FALSE,"RIEP"}</definedName>
    <definedName name="CDVF" hidden="1">{"SPM1",#N/A,FALSE,"RIEP"}</definedName>
    <definedName name="copie" hidden="1">{#N/A,#N/A,TRUE,"ANALYSE";#N/A,#N/A,TRUE,"PM VOLUME";#N/A,#N/A,TRUE,"PM VALEUR";#N/A,#N/A,TRUE,"AR1";#N/A,#N/A,TRUE,"AR2";#N/A,#N/A,TRUE,"RAF";#N/A,#N/A,TRUE,"BILAN";#N/A,#N/A,TRUE,"CASH FLOW";#N/A,#N/A,TRUE,"ETAT FI"}</definedName>
    <definedName name="D" hidden="1">{#N/A,#N/A,FALSE,"RIEP"}</definedName>
    <definedName name="DAFreofè0eirfh" hidden="1">{"SPM1",#N/A,FALSE,"RIEP"}</definedName>
    <definedName name="dd">#REF!</definedName>
    <definedName name="DDD" hidden="1">{#N/A,#N/A,TRUE,"EC COMM-t";#N/A,#N/A,TRUE,"EC PAR PDTS-t";#N/A,#N/A,TRUE,"EC MAT-t";#N/A,#N/A,TRUE,"SUIVI HAUSSES-t"}</definedName>
    <definedName name="DDDDD" hidden="1">{"SPM1",#N/A,FALSE,"RIEP"}</definedName>
    <definedName name="ddddddd" hidden="1">{#N/A,#N/A,FALSE,"RIEP"}</definedName>
    <definedName name="d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fa" hidden="1">{"SPM1",#N/A,FALSE,"RIEP"}</definedName>
    <definedName name="DFda" hidden="1">{#N/A,#N/A,FALSE,"RIEP"}</definedName>
    <definedName name="DFRSFG" hidden="1">{"SPM1",#N/A,FALSE,"RIEP"}</definedName>
    <definedName name="djdjdj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RAGAN" hidden="1">{"'domaće količine'!$K$34:$P$47"}</definedName>
    <definedName name="draganć" hidden="1">{"'domaće količine'!$K$34:$P$47"}</definedName>
    <definedName name="DSFSDGFG" hidden="1">{"SPM1",#N/A,FALSE,"RIEP"}</definedName>
    <definedName name="dthrrr" hidden="1">{"SPM1",#N/A,FALSE,"RIEP"}</definedName>
    <definedName name="ECA" hidden="1">{#N/A,#N/A,FALSE,"ANALYSE";#N/A,#N/A,FALSE,"PM VALEUR"}</definedName>
    <definedName name="ECARTBM" hidden="1">{"DETAIL",#N/A,FALSE,"REELBUDGET";"TOTAL",#N/A,FALSE,"REELBUDGET"}</definedName>
    <definedName name="eeee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rreerr" hidden="1">#REF!</definedName>
    <definedName name="efaz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e" hidden="1">{"QQQ",#N/A,FALSE,"RIEP"}</definedName>
    <definedName name="erte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ssLatest">"JAN"</definedName>
    <definedName name="EssLatest_10">"JAN"</definedName>
    <definedName name="EssLatest_11">"JAN"</definedName>
    <definedName name="EssLatest_12">"JAN"</definedName>
    <definedName name="EssLatest_13">"JAN"</definedName>
    <definedName name="EssLatest_14">"JAN"</definedName>
    <definedName name="EssLatest_15">"JAN"</definedName>
    <definedName name="EssLatest_16">"JAN"</definedName>
    <definedName name="EssLatest_18">"JAN"</definedName>
    <definedName name="EssLatest_2">"JANN0"</definedName>
    <definedName name="EssLatest_20">"YTDMM01"</definedName>
    <definedName name="EssLatest_25">"YTDMM01"</definedName>
    <definedName name="EssLatest_26">"YTDMM01"</definedName>
    <definedName name="EssLatest_3">"JANN0"</definedName>
    <definedName name="EssLatest_38">"JAN"</definedName>
    <definedName name="EssLatest_39">"JAN"</definedName>
    <definedName name="EssLatest_4">"JANN0"</definedName>
    <definedName name="EssLatest_47">"JAN"</definedName>
    <definedName name="EssLatest_48">"JAN"</definedName>
    <definedName name="EssLatest_5">"JANN0"</definedName>
    <definedName name="EssLatest_6">"YTDMM01"</definedName>
    <definedName name="EssLatest_7">"YTDMM01"</definedName>
    <definedName name="EssLatest_8">"YTDMM01"</definedName>
    <definedName name="EssLatest_9">"JAN"</definedName>
    <definedName name="EssOptions_10">"A3000001100130001011001101020_01 00"</definedName>
    <definedName name="EssOptions_11">"A3000001100130001011001101020_01 00"</definedName>
    <definedName name="EssOptions_12">"A3000001100130001011001101020_01 00"</definedName>
    <definedName name="EssOptions_13">"A3000001100130001011001101020_01 00"</definedName>
    <definedName name="EssOptions_14">"A3000001100130001011001101020_01 00"</definedName>
    <definedName name="EssOptions_15">"A3000001100130001011001101020_01 00"</definedName>
    <definedName name="EssOptions_16">"A3000001100130001011001101020_01 00"</definedName>
    <definedName name="EssOptions_18">"A3000001100130001011001101020_01 00"</definedName>
    <definedName name="EssOptions_2">"A1100000010121000011001111120_01000"</definedName>
    <definedName name="EssOptions_20">"A3100000000110001011011111020_01000"</definedName>
    <definedName name="EssOptions_25">"A3100000000130000000011100020_01000"</definedName>
    <definedName name="EssOptions_26">"A3100000000110001011011111020_01000"</definedName>
    <definedName name="EssOptions_3">"A1100000010121000011001111120_01000"</definedName>
    <definedName name="EssOptions_38">"A1100000000131000011001101020_01000"</definedName>
    <definedName name="EssOptions_39">"A1100000000131000011001101020_01000"</definedName>
    <definedName name="EssOptions_4">"A1100000010121000011001111120_01000"</definedName>
    <definedName name="EssOptions_47">"A1100000000131000011001101020_01000"</definedName>
    <definedName name="EssOptions_48">"A1100000000131000011001101020_01000"</definedName>
    <definedName name="EssOptions_5">"A1100000010121000011001111120_01000"</definedName>
    <definedName name="EssOptions_6">"A3100000000110001011011111020_01000"</definedName>
    <definedName name="EssOptions_7">"A3100001100110001011011111020_01000"</definedName>
    <definedName name="EssOptions_8">"A3100000000110001011011111020_01000"</definedName>
    <definedName name="EssOptions_9">"A3000001100130001011001101020_01 00"</definedName>
    <definedName name="EST_salida_salado">#REF!</definedName>
    <definedName name="ESTEROPARAFF">#REF!</definedName>
    <definedName name="ESTEROPLAST">#REF!</definedName>
    <definedName name="ExactAddinConnection" hidden="1">"900"</definedName>
    <definedName name="ExactAddinConnection.900" hidden="1">"SRVSQLCZ;900;skubistova;1"</definedName>
    <definedName name="ExactAddinReports" hidden="1">1</definedName>
    <definedName name="EXCEL" hidden="1">{"'domaće količine'!$K$34:$P$47"}</definedName>
    <definedName name="ez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DSFDSGF" hidden="1">{#N/A,#N/A,FALSE,"RIEP"}</definedName>
    <definedName name="fdsdsgfsggd" hidden="1">{#N/A,#N/A,FALSE,"DIVISION";#N/A,#N/A,FALSE,"ED CAT";#N/A,#N/A,FALSE,"ED CAREL";#N/A,#N/A,FALSE,"ED JORT";#N/A,#N/A,FALSE,"ED VEYS";#N/A,#N/A,FALSE,"ED ORBEC";#N/A,#N/A,FALSE,"ED CLECY"}</definedName>
    <definedName name="fdzf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ffffff" hidden="1">{"QQQ",#N/A,FALSE,"RIEP"}</definedName>
    <definedName name="fg" hidden="1">{#N/A,#N/A,FALSE,"RIEP"}</definedName>
    <definedName name="fgffg" hidden="1">{#N/A,#N/A,FALSE,"RIEP"}</definedName>
    <definedName name="FSDG" hidden="1">{#N/A,#N/A,FALSE,"RIEP"}</definedName>
    <definedName name="ftereare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BP">'[6]Nrj présentat°'!$AR$2</definedName>
    <definedName name="gegeg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F" hidden="1">[7]ACTIVITE!#REF!</definedName>
    <definedName name="gfhkkmh" hidden="1">{#N/A,#N/A,FALSE,"RIEP"}</definedName>
    <definedName name="GG" hidden="1">[7]ACTIVITE!#REF!</definedName>
    <definedName name="GGGG" hidden="1">{"SPM1",#N/A,FALSE,"RIEP"}</definedName>
    <definedName name="ggg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gggggg" hidden="1">{"QQQ",#N/A,FALSE,"RIEP"}</definedName>
    <definedName name="GHJ" hidden="1">{"SPM1",#N/A,FALSE,"RIEP"}</definedName>
    <definedName name="gsdgs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bhajx" hidden="1">{"SPM1",#N/A,FALSE,"RIEP"}</definedName>
    <definedName name="hfderfPOURE" hidden="1">{#N/A,#N/A,FALSE,"RIEP"}</definedName>
    <definedName name="hfhf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g" hidden="1">{"QQQ",#N/A,FALSE,"RIEP"}</definedName>
    <definedName name="hhfxhxf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hh" hidden="1">{"QQQ",#N/A,FALSE,"RIEP"}</definedName>
    <definedName name="hhhhhhh" hidden="1">{"SPM1",#N/A,FALSE,"RIEP"}</definedName>
    <definedName name="HTML_CodePage" hidden="1">1250</definedName>
    <definedName name="HTML_Control" hidden="1">{"'domaće količine'!$K$34:$P$47"}</definedName>
    <definedName name="HTML_Description" hidden="1">""</definedName>
    <definedName name="HTML_Email" hidden="1">""</definedName>
    <definedName name="HTML_Header" hidden="1">"domaće količine"</definedName>
    <definedName name="HTML_LastUpdate" hidden="1">"27.03.2001"</definedName>
    <definedName name="HTML_LineAfter" hidden="1">FALSE</definedName>
    <definedName name="HTML_LineBefore" hidden="1">FALSE</definedName>
    <definedName name="HTML_Name" hidden="1">"Informatika"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"Moja PRODAJA  II VELJAČA '2001"</definedName>
    <definedName name="hzthzh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RI_WorkspaceId" hidden="1">"bc7b7ef8a7ba454b9c6b30466fcd76e0"</definedName>
    <definedName name="ITAPLASPIC">#REF!</definedName>
    <definedName name="IZVQ01" hidden="1">{"'domaće količine'!$K$34:$P$47"}</definedName>
    <definedName name="j" hidden="1">{"SPM1",#N/A,FALSE,"RIEP"}</definedName>
    <definedName name="jcjfjfjjf" hidden="1">{#N/A,#N/A,FALSE,"RIEP"}</definedName>
    <definedName name="j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ej" hidden="1">{#N/A,#N/A,TRUE,"EC COMM-t";#N/A,#N/A,TRUE,"EC PAR PDTS-t";#N/A,#N/A,TRUE,"EC MAT-t";#N/A,#N/A,TRUE,"SUIVI HAUSSES-t"}</definedName>
    <definedName name="jjfhfh" hidden="1">{"QQQ",#N/A,FALSE,"RIEP"}</definedName>
    <definedName name="jjj" hidden="1">{"SPM1",#N/A,FALSE,"RIEP"}</definedName>
    <definedName name="jjjjj" hidden="1">{"SPM1",#N/A,FALSE,"RIEP"}</definedName>
    <definedName name="kfkfkf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fkkf" hidden="1">{#N/A,#N/A,FALSE,"RIEP"}</definedName>
    <definedName name="khkhkh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jfsoyiupo6rhtgz" hidden="1">{#N/A,#N/A,FALSE,"RIEP"}</definedName>
    <definedName name="kjhjhkjh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k" hidden="1">{#N/A,#N/A,FALSE,"RIEP"}</definedName>
    <definedName name="k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LLL" hidden="1">{"QQQ",#N/A,FALSE,"RIEP"}</definedName>
    <definedName name="m" hidden="1">{"'domaće količine'!$K$34:$P$47"}</definedName>
    <definedName name="MARTESANA">#REF!</definedName>
    <definedName name="MG_salida_salado">#REF!</definedName>
    <definedName name="minnii" hidden="1">{"SPM1",#N/A,FALSE,"RIEP"}</definedName>
    <definedName name="MOIS">[8]Grille!$B$3:$C$14</definedName>
    <definedName name="Month_No.">7</definedName>
    <definedName name="nic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ñ" hidden="1">#REF!</definedName>
    <definedName name="ño" hidden="1">{"SPM1",#N/A,FALSE,"RIEP"}</definedName>
    <definedName name="ODRŽ." hidden="1">{"'domaće količine'!$K$34:$P$47"}</definedName>
    <definedName name="òflfgfppfpf" hidden="1">{"SPM1",#N/A,FALSE,"RIEP"}</definedName>
    <definedName name="OIOIIUIUG" hidden="1">{"SPM1",#N/A,FALSE,"RIEP"}</definedName>
    <definedName name="ooo" hidden="1">{"QQQ",#N/A,FALSE,"RIEP"}</definedName>
    <definedName name="oooooo" hidden="1">{#N/A,#N/A,FALSE,"RIEP"}</definedName>
    <definedName name="P_HostName">#REF!</definedName>
    <definedName name="P_ServerName">#REF!</definedName>
    <definedName name="pippo" hidden="1">{#N/A,#N/A,FALSE,"RIEP"}</definedName>
    <definedName name="pluto" hidden="1">{"SPM1",#N/A,FALSE,"RIEP"}</definedName>
    <definedName name="PO" hidden="1">{"QQQ",#N/A,FALSE,"RIEP"}</definedName>
    <definedName name="poùH" hidden="1">{#N/A,#N/A,FALSE,"RIEP"}</definedName>
    <definedName name="ppp" hidden="1">{"QQQ",#N/A,FALSE,"RIEP"}</definedName>
    <definedName name="PROD." hidden="1">{"'domaće količine'!$K$34:$P$47"}</definedName>
    <definedName name="prw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QQQQQQQQQQQQ" hidden="1">{#N/A,#N/A,FALSE,"RIEP"}</definedName>
    <definedName name="qw" hidden="1">{#N/A,#N/A,FALSE,"RIEP"}</definedName>
    <definedName name="ret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a" hidden="1">#REF!</definedName>
    <definedName name="SAPBEXrevision" hidden="1">3</definedName>
    <definedName name="SAPBEXsysID" hidden="1">"BPP"</definedName>
    <definedName name="SAPBEXwbID" hidden="1">"4GNIIN8XAB6OYSDJFHQ7XQLUA"</definedName>
    <definedName name="sd" hidden="1">{"SPM1",#N/A,FALSE,"RIEP"}</definedName>
    <definedName name="SDFDSJF" hidden="1">{#N/A,#N/A,FALSE,"RIEP"}</definedName>
    <definedName name="sdsd" hidden="1">{"SPM1",#N/A,FALSE,"RIEP"}</definedName>
    <definedName name="SEDSDS" hidden="1">{#N/A,#N/A,FALSE,"RIEP"}</definedName>
    <definedName name="sencount" hidden="1">1</definedName>
    <definedName name="SSSADADSF" hidden="1">{"SPM1",#N/A,FALSE,"RIEP"}</definedName>
    <definedName name="ssss" hidden="1">#REF!</definedName>
    <definedName name="sssssss" hidden="1">{#N/A,#N/A,FALSE,"RIEP"}</definedName>
    <definedName name="ssssssssssssssssssssssssss" hidden="1">{"QQQ",#N/A,FALSE,"RIEP"}</definedName>
    <definedName name="stsrhs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weden" hidden="1">{#N/A,#N/A,FALSE,"RIEP"}</definedName>
    <definedName name="t" hidden="1">{"QQQ",#N/A,FALSE,"RIEP"}</definedName>
    <definedName name="T04CC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79oto97t" hidden="1">{#N/A,#N/A,FALSE,"RIEP"}</definedName>
    <definedName name="t7u74u" hidden="1">{"QQQ",#N/A,FALSE,"RIEP"}</definedName>
    <definedName name="t7u75" hidden="1">{"SPM1",#N/A,FALSE,"RIEP"}</definedName>
    <definedName name="t7ur7u" hidden="1">{#N/A,#N/A,FALSE,"RIEP"}</definedName>
    <definedName name="tgfcvds" hidden="1">{#N/A,#N/A,FALSE,"RIEP"}</definedName>
    <definedName name="tgr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ikl679o679o" hidden="1">{#N/A,#N/A,FALSE,"RIEP"}</definedName>
    <definedName name="TM1REBUILDOPTION">0</definedName>
    <definedName name="tom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rjk5i57" hidden="1">{"SPM1",#N/A,FALSE,"RIEP"}</definedName>
    <definedName name="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yiltu9ol" hidden="1">{"QQQ",#N/A,FALSE,"RIEP"}</definedName>
    <definedName name="ugkj" hidden="1">{"QQQ",#N/A,FALSE,"RIEP"}</definedName>
    <definedName name="u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SD">'[6]Nrj présentat°'!$AR$3</definedName>
    <definedName name="uttkjg" hidden="1">{"QQQ",#N/A,FALSE,"RIEP"}</definedName>
    <definedName name="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6uyjyu" hidden="1">{#N/A,#N/A,FALSE,"RIEP"}</definedName>
    <definedName name="vcbbxb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vvv" hidden="1">{"QQQ",#N/A,FALSE,"RIEP"}</definedName>
    <definedName name="vvvvbbbb" hidden="1">{#N/A,#N/A,FALSE,"RIEP"}</definedName>
    <definedName name="vvvvvv" hidden="1">{#N/A,#N/A,FALSE,"RIEP"}</definedName>
    <definedName name="vvvvvvvv" hidden="1">{"SPM1",#N/A,FALSE,"RIEP"}</definedName>
    <definedName name="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e" hidden="1">{"SPM1",#N/A,FALSE,"RIEP"}</definedName>
    <definedName name="wer" hidden="1">{#N/A,#N/A,FALSE,"ANALYSE";#N/A,#N/A,FALSE,"PM VALEUR"}</definedName>
    <definedName name="wetrwrt" hidden="1">{"QQQ",#N/A,FALSE,"RIEP"}</definedName>
    <definedName name="wewe" hidden="1">{"SPM1",#N/A,FALSE,"RIEP"}</definedName>
    <definedName name="wrn.CCC." hidden="1">{"QQQ",#N/A,FALSE,"RIEP"}</definedName>
    <definedName name="wrn.Charges." hidden="1">{"Analyse charges",#N/A,FALSE,"Feuil1 (2)"}</definedName>
    <definedName name="wrn.Charges._.Clécy." hidden="1">{#N/A,#N/A,FALSE,"Evol98";#N/A,#N/A,FALSE,"Saisie98"}</definedName>
    <definedName name="wrn.CLECY.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NQGLOBAL.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OMMENTAIRES." hidden="1">{#N/A,#N/A,FALSE,"EC COMM-c";#N/A,#N/A,FALSE,"EC PAR PDTS-c";#N/A,#N/A,FALSE,"EC MAT-c";#N/A,#N/A,FALSE,"SUIVI HAUSSES-c"}</definedName>
    <definedName name="wrn.Complet.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UMUL." hidden="1">{#N/A,#N/A,FALSE,"recap";#N/A,#N/A,FALSE,"matNeuf";#N/A,#N/A,FALSE,"matNdie";#N/A,#N/A,FALSE,"incNeuf";#N/A,#N/A,FALSE,"incNdie";#N/A,#N/A,FALSE,"volume";#N/A,#N/A,FALSE,"emballage";#N/A,#N/A,FALSE,"charge"}</definedName>
    <definedName name="wrn.EDITION.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x." hidden="1">{#N/A,#N/A,FALSE,"ANALYSE";#N/A,#N/A,FALSE,"PM VALEUR"}</definedName>
    <definedName name="wrn.Impression._.totale." hidden="1">{"Analyse charges",#N/A,FALSE,"Feuil1 (2)";"Ratios activités",#N/A,FALSE,"Feuil1 (2)";"Indicateurs",#N/A,FALSE,"Feuil1 (2)"}</definedName>
    <definedName name="wrn.Indicateurs." hidden="1">{"Indicateurs",#N/A,FALSE,"Feuil1 (2)"}</definedName>
    <definedName name="wrn.MENSUEL.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OYENNE." hidden="1">{#N/A,#N/A,FALSE,"recap";#N/A,#N/A,FALSE,"matNeuf";#N/A,#N/A,FALSE,"matNdie";#N/A,#N/A,FALSE,"incNeuf";#N/A,#N/A,FALSE,"incNdie";#N/A,#N/A,FALSE,"volume";#N/A,#N/A,FALSE,"emballage";#N/A,#N/A,FALSE,"charge"}</definedName>
    <definedName name="wrn.novgl.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Ratios." hidden="1">{"Ratios activités",#N/A,FALSE,"Feuil1 (2)"}</definedName>
    <definedName name="wrn.REELBUD." hidden="1">{"DETAIL",#N/A,FALSE,"REELBUDGET";"TOTAL",#N/A,FALSE,"REELBUDGET"}</definedName>
    <definedName name="wrn.Résultat.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SPA1." hidden="1">{#N/A,#N/A,FALSE,"RIEP"}</definedName>
    <definedName name="wrn.SPM1." hidden="1">{"SPM1",#N/A,FALSE,"RIEP"}</definedName>
    <definedName name="wrn.SYNTHESE." hidden="1">{#N/A,#N/A,TRUE,"ANALYSE";#N/A,#N/A,TRUE,"PM VOLUME";#N/A,#N/A,TRUE,"PM VALEUR";#N/A,#N/A,TRUE,"AR1";#N/A,#N/A,TRUE,"AR2";#N/A,#N/A,TRUE,"RAF";#N/A,#N/A,TRUE,"BILAN";#N/A,#N/A,TRUE,"CASH FLOW";#N/A,#N/A,TRUE,"ETAT FI"}</definedName>
    <definedName name="wrn.TABLEAUX." hidden="1">{#N/A,#N/A,TRUE,"EC COMM-t";#N/A,#N/A,TRUE,"EC PAR PDTS-t";#N/A,#N/A,TRUE,"EC MAT-t";#N/A,#N/A,TRUE,"SUIVI HAUSSES-t"}</definedName>
    <definedName name="wrn1.CCC." hidden="1">{"QQQ",#N/A,FALSE,"RIEP"}</definedName>
    <definedName name="wwww" hidden="1">{#N/A,#N/A,FALSE,"RIEP"}</definedName>
    <definedName name="wwwww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wwwwww" hidden="1">{"QQQ",#N/A,FALSE,"RIEP"}</definedName>
    <definedName name="ybukkbyitkituk" hidden="1">{#N/A,#N/A,FALSE,"RIEP"}</definedName>
    <definedName name="yert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rnukuilky8u" hidden="1">{"QQQ",#N/A,FALSE,"RIEP"}</definedName>
    <definedName name="YY" hidden="1">{#N/A,#N/A,FALSE,"RIEP"}</definedName>
    <definedName name="yyqeyq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" hidden="1">#REF!</definedName>
    <definedName name="zzfzaf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" hidden="1">#REF!</definedName>
    <definedName name="zzzzz" hidden="1">#REF!</definedName>
    <definedName name="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zzz" hidden="1">{#N/A,#N/A,FALSE,"RIEP"}</definedName>
    <definedName name="zzzzzzzzzzzzz" hidden="1">{#N/A,#N/A,FALSE,"RIEP"}</definedName>
    <definedName name="zzzzzzzzzzzzzz" hidden="1">{"QQQ",#N/A,FALSE,"RIEP"}</definedName>
    <definedName name="zzzzzzzzzzzzzzzzzz" hidden="1">{"QQQ",#N/A,FALSE,"RIEP"}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7" l="1"/>
  <c r="E23" i="17"/>
  <c r="F26" i="17"/>
  <c r="F25" i="17"/>
  <c r="F24" i="17"/>
  <c r="F23" i="17"/>
  <c r="E22" i="17"/>
  <c r="F22" i="17" s="1"/>
  <c r="E21" i="17"/>
  <c r="F21" i="17" s="1"/>
  <c r="B16" i="17"/>
  <c r="B15" i="17"/>
  <c r="B14" i="17"/>
  <c r="B17" i="17" s="1"/>
  <c r="C7" i="8"/>
  <c r="C9" i="8" s="1"/>
  <c r="B7" i="8"/>
  <c r="B9" i="8" s="1"/>
  <c r="C25" i="8"/>
  <c r="C21" i="8"/>
  <c r="B32" i="17" l="1"/>
  <c r="B31" i="17"/>
  <c r="B30" i="17"/>
  <c r="C17" i="8"/>
  <c r="C16" i="8"/>
  <c r="C28" i="8"/>
  <c r="B33" i="17" l="1"/>
  <c r="C27" i="8"/>
  <c r="C20" i="8"/>
  <c r="C11" i="8"/>
  <c r="B21" i="8"/>
  <c r="B25" i="8"/>
  <c r="C10" i="8" l="1"/>
  <c r="B17" i="8"/>
  <c r="B16" i="8"/>
  <c r="B27" i="8" l="1"/>
  <c r="B20" i="8"/>
  <c r="B28" i="8" l="1"/>
  <c r="B10" i="8" l="1"/>
  <c r="B11" i="8"/>
</calcChain>
</file>

<file path=xl/sharedStrings.xml><?xml version="1.0" encoding="utf-8"?>
<sst xmlns="http://schemas.openxmlformats.org/spreadsheetml/2006/main" count="91" uniqueCount="68">
  <si>
    <t>Real</t>
  </si>
  <si>
    <t>Datos de materia prima</t>
  </si>
  <si>
    <t>Composición leche (g/L)</t>
  </si>
  <si>
    <t>Coste de la leche en fabrica</t>
  </si>
  <si>
    <t>Total euros/L</t>
  </si>
  <si>
    <t>Composición leche (% m/m)</t>
  </si>
  <si>
    <t>Valoración materia prima</t>
  </si>
  <si>
    <t>Precio resultante de la materia</t>
  </si>
  <si>
    <t>⁰C medida</t>
  </si>
  <si>
    <t>Presupuesto</t>
  </si>
  <si>
    <t xml:space="preserve"> Calidad real                </t>
  </si>
  <si>
    <t xml:space="preserve"> 3   décimas (4,10 vs 3,80)  </t>
  </si>
  <si>
    <t xml:space="preserve"> 1,5 décimas (3,45 vs 3,30)  </t>
  </si>
  <si>
    <t xml:space="preserve">                             </t>
  </si>
  <si>
    <t xml:space="preserve"> Bienestar animal </t>
  </si>
  <si>
    <t xml:space="preserve"> certificacion Welfair/AENOR </t>
  </si>
  <si>
    <t xml:space="preserve"> Letra Q          </t>
  </si>
  <si>
    <t>Grasa (MG)</t>
  </si>
  <si>
    <t>Proteína (MP)</t>
  </si>
  <si>
    <t>Recuento de células somáticas (RCS)</t>
  </si>
  <si>
    <t>Recuento de bacterias totales (RB)</t>
  </si>
  <si>
    <t>Límite prima</t>
  </si>
  <si>
    <t xml:space="preserve"> Bonificación
(€/L)</t>
  </si>
  <si>
    <t>Resultado analítico</t>
  </si>
  <si>
    <t>Sí</t>
  </si>
  <si>
    <t>1. Datos presupuesto</t>
  </si>
  <si>
    <t>2. Liquidación real mensual</t>
  </si>
  <si>
    <t xml:space="preserve">Precio base </t>
  </si>
  <si>
    <t xml:space="preserve">Primas Calidad (MG + MP) </t>
  </si>
  <si>
    <t>Higiene (RCS + RB)</t>
  </si>
  <si>
    <t>Sostenibilidad (BA + Letra Q)</t>
  </si>
  <si>
    <t>Precio neto final</t>
  </si>
  <si>
    <t>MG &gt; 3,80%</t>
  </si>
  <si>
    <t>MP &gt; 3,30%</t>
  </si>
  <si>
    <t>RCS &lt; 200.000</t>
  </si>
  <si>
    <t>RB &lt; 50.000</t>
  </si>
  <si>
    <t>Ejemplo simplificado de liquidación mensual de precio de leche de vaca</t>
  </si>
  <si>
    <t>Prima</t>
  </si>
  <si>
    <t>Calidad real
(diferencia entre resultado y límite prima)</t>
  </si>
  <si>
    <t>Concepto</t>
  </si>
  <si>
    <t>Prima
(€/L)</t>
  </si>
  <si>
    <t>+ 0,008</t>
  </si>
  <si>
    <t>+ 0,005</t>
  </si>
  <si>
    <t>+ 0,007</t>
  </si>
  <si>
    <t>+ 0,010</t>
  </si>
  <si>
    <t>Precio
pagado</t>
  </si>
  <si>
    <t>Parámetro para pago por calidad
(valores presupuestados)</t>
  </si>
  <si>
    <t>Parámetro para pago por calidad
Mes de ABRIL</t>
  </si>
  <si>
    <t>1. Precio base</t>
  </si>
  <si>
    <t>2. Primas calidad (MG/MP)</t>
  </si>
  <si>
    <t>3. Primas higiene</t>
  </si>
  <si>
    <t>4. Prima sostenibilidad</t>
  </si>
  <si>
    <t>5. Total precio al ganadero</t>
  </si>
  <si>
    <t>6. Coste transporte + otros recogida</t>
  </si>
  <si>
    <t>7. Materia grasa</t>
  </si>
  <si>
    <t>8. Proteína</t>
  </si>
  <si>
    <t>9. Materia grasa</t>
  </si>
  <si>
    <t>10. Proteinas totales</t>
  </si>
  <si>
    <t>11. Materia grasa</t>
  </si>
  <si>
    <t>12. Proteinas totales</t>
  </si>
  <si>
    <t>13. Lactosa</t>
  </si>
  <si>
    <t>14. Sales minerales y otros</t>
  </si>
  <si>
    <t>15. Agua</t>
  </si>
  <si>
    <t>16. Densidad</t>
  </si>
  <si>
    <t>17. Valoración MG</t>
  </si>
  <si>
    <t>18. Valoración MP</t>
  </si>
  <si>
    <t>19. Precio MG (euros/kg)</t>
  </si>
  <si>
    <t>20. Precio MP (euros/kg)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</si>
</sst>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#,##0_ ;[Red]\-#,##0\ "/>
    <numFmt numFmtId="165" formatCode="0.000"/>
    <numFmt numFmtId="166" formatCode="_-* #,##0.00\ _€_-;\-* #,##0.00\ _€_-;_-* &quot;-&quot;??\ _€_-;_-@_-"/>
    <numFmt numFmtId="167" formatCode="#,##0.00_ ;[Red]\-#,##0.00\ "/>
    <numFmt numFmtId="168" formatCode="0.0000"/>
    <numFmt numFmtId="169" formatCode="0.0000_ ;[Red]\-0.0000\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64">
    <xf numFmtId="0" fontId="0" fillId="0" borderId="0" xfId="0"/>
    <xf numFmtId="165" fontId="0" fillId="0" borderId="5" xfId="0" applyNumberFormat="1" applyBorder="1"/>
    <xf numFmtId="0" fontId="0" fillId="0" borderId="5" xfId="0" applyBorder="1"/>
    <xf numFmtId="0" fontId="0" fillId="0" borderId="7" xfId="0" applyBorder="1"/>
    <xf numFmtId="10" fontId="0" fillId="0" borderId="9" xfId="0" applyNumberFormat="1" applyBorder="1"/>
    <xf numFmtId="164" fontId="0" fillId="0" borderId="5" xfId="0" applyNumberFormat="1" applyBorder="1" applyAlignment="1">
      <alignment horizontal="left" indent="1"/>
    </xf>
    <xf numFmtId="0" fontId="4" fillId="0" borderId="0" xfId="0" applyFont="1"/>
    <xf numFmtId="164" fontId="0" fillId="0" borderId="6" xfId="0" applyNumberFormat="1" applyBorder="1" applyAlignment="1">
      <alignment horizontal="left" indent="1"/>
    </xf>
    <xf numFmtId="164" fontId="0" fillId="0" borderId="12" xfId="0" applyNumberFormat="1" applyBorder="1" applyAlignment="1">
      <alignment horizontal="left" indent="1"/>
    </xf>
    <xf numFmtId="164" fontId="0" fillId="0" borderId="9" xfId="0" applyNumberFormat="1" applyBorder="1" applyAlignment="1">
      <alignment horizontal="left" indent="1"/>
    </xf>
    <xf numFmtId="165" fontId="0" fillId="0" borderId="0" xfId="0" applyNumberFormat="1"/>
    <xf numFmtId="164" fontId="0" fillId="0" borderId="8" xfId="0" applyNumberFormat="1" applyBorder="1" applyAlignment="1">
      <alignment horizontal="left" indent="1"/>
    </xf>
    <xf numFmtId="164" fontId="2" fillId="0" borderId="7" xfId="0" applyNumberFormat="1" applyFont="1" applyBorder="1" applyAlignment="1">
      <alignment horizontal="left"/>
    </xf>
    <xf numFmtId="164" fontId="2" fillId="0" borderId="5" xfId="0" applyNumberFormat="1" applyFont="1" applyBorder="1" applyAlignment="1">
      <alignment horizontal="left"/>
    </xf>
    <xf numFmtId="164" fontId="0" fillId="0" borderId="9" xfId="0" applyNumberFormat="1" applyBorder="1" applyAlignment="1">
      <alignment horizontal="left" indent="4"/>
    </xf>
    <xf numFmtId="164" fontId="2" fillId="0" borderId="6" xfId="0" applyNumberFormat="1" applyFont="1" applyBorder="1" applyAlignment="1">
      <alignment horizontal="left"/>
    </xf>
    <xf numFmtId="9" fontId="0" fillId="0" borderId="5" xfId="1" applyFont="1" applyBorder="1"/>
    <xf numFmtId="1" fontId="0" fillId="0" borderId="9" xfId="0" applyNumberFormat="1" applyBorder="1"/>
    <xf numFmtId="0" fontId="0" fillId="0" borderId="9" xfId="0" applyBorder="1"/>
    <xf numFmtId="164" fontId="2" fillId="0" borderId="2" xfId="0" applyNumberFormat="1" applyFont="1" applyBorder="1" applyAlignment="1">
      <alignment horizontal="left"/>
    </xf>
    <xf numFmtId="0" fontId="0" fillId="0" borderId="6" xfId="0" applyBorder="1"/>
    <xf numFmtId="0" fontId="0" fillId="0" borderId="12" xfId="0" applyBorder="1"/>
    <xf numFmtId="167" fontId="0" fillId="0" borderId="6" xfId="0" applyNumberForma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0" fontId="0" fillId="0" borderId="6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0" borderId="7" xfId="1" applyNumberFormat="1" applyFont="1" applyBorder="1" applyAlignment="1">
      <alignment horizontal="center"/>
    </xf>
    <xf numFmtId="10" fontId="0" fillId="0" borderId="5" xfId="1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169" fontId="0" fillId="0" borderId="7" xfId="0" applyNumberFormat="1" applyBorder="1"/>
    <xf numFmtId="169" fontId="0" fillId="0" borderId="5" xfId="0" applyNumberFormat="1" applyBorder="1"/>
    <xf numFmtId="169" fontId="0" fillId="0" borderId="9" xfId="0" applyNumberFormat="1" applyBorder="1"/>
    <xf numFmtId="0" fontId="3" fillId="0" borderId="0" xfId="0" applyFont="1"/>
    <xf numFmtId="10" fontId="0" fillId="0" borderId="5" xfId="0" applyNumberFormat="1" applyBorder="1"/>
    <xf numFmtId="168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10" xfId="0" quotePrefix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168" fontId="0" fillId="0" borderId="13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10" xfId="0" applyNumberForma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168" fontId="0" fillId="0" borderId="7" xfId="0" applyNumberFormat="1" applyBorder="1" applyAlignment="1">
      <alignment horizontal="center"/>
    </xf>
    <xf numFmtId="168" fontId="0" fillId="0" borderId="5" xfId="0" applyNumberForma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167" fontId="2" fillId="3" borderId="1" xfId="0" applyNumberFormat="1" applyFont="1" applyFill="1" applyBorder="1" applyAlignment="1">
      <alignment horizontal="center" wrapText="1"/>
    </xf>
    <xf numFmtId="167" fontId="2" fillId="3" borderId="1" xfId="0" applyNumberFormat="1" applyFont="1" applyFill="1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center"/>
    </xf>
    <xf numFmtId="169" fontId="0" fillId="2" borderId="9" xfId="0" applyNumberFormat="1" applyFill="1" applyBorder="1"/>
    <xf numFmtId="9" fontId="0" fillId="2" borderId="5" xfId="1" applyFont="1" applyFill="1" applyBorder="1"/>
    <xf numFmtId="165" fontId="2" fillId="2" borderId="5" xfId="0" applyNumberFormat="1" applyFont="1" applyFill="1" applyBorder="1"/>
    <xf numFmtId="165" fontId="2" fillId="2" borderId="9" xfId="0" applyNumberFormat="1" applyFont="1" applyFill="1" applyBorder="1"/>
    <xf numFmtId="0" fontId="2" fillId="0" borderId="6" xfId="0" applyFont="1" applyBorder="1" applyAlignment="1">
      <alignment horizontal="left"/>
    </xf>
    <xf numFmtId="169" fontId="2" fillId="0" borderId="1" xfId="0" applyNumberFormat="1" applyFont="1" applyBorder="1"/>
    <xf numFmtId="168" fontId="0" fillId="0" borderId="0" xfId="0" applyNumberFormat="1"/>
  </cellXfs>
  <cellStyles count="3">
    <cellStyle name="Millares 2" xfId="2" xr:uid="{0DF497A4-B1A4-4A8E-B2C1-3A725AAFDCC2}"/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C1A0B829-C718-46CC-8773-0D9C98C699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001688/Lactalis%20Industrial/Presupuesto%202017/VR/B11%20BVR%2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ercial\Cheddar\Analysis\2009\01-%20Janary%202009\Performance%20Metrics%20Jan%20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naigeeg.UK\Local%20Settings\Temporary%20Internet%20Files\OLK4\BR%20Variance%20analysis%20Cust%20Clas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GEST\BDG%2005\ScTempi\TempiFusi2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mmercial\2007\09%20September\Variance%20analysis%20by%20Cust%20Class%20Mar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cdg\indcdg\Usines%20Industriel\Budget%202013\0-Synth&#232;se\Analyses%20transversales\Synth&#232;se%20comp%20usine%20budget%20201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ecdg/INDUSTRIEL/Budget%20Industriel/BUDGET%20INDUSTRIEL%202009/BOUVRON/Precdg/INDUSTRIEL/PCI/CREATIONS%20DE%20PCI/PPC%20&amp;%20PPNC/BOUVRON%20PPC/071029%20-%20Mozza%20Galbani/071030%20-%20B08%20BVR%20-%20Mozza%20R&#226;p&#233;%20Galban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ntInd\Res%20Mens\0CONSO\RECAPVOLUME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T (2)"/>
      <sheetName val="VERIF"/>
      <sheetName val="Atterrissage PPNC"/>
      <sheetName val="Atterrissage PPC"/>
      <sheetName val="Synthèse Usine PPC"/>
      <sheetName val="Synthèse Usine PPNC"/>
      <sheetName val="SYNT"/>
      <sheetName val="PE"/>
      <sheetName val="U1"/>
      <sheetName val="DI"/>
      <sheetName val="SIG"/>
      <sheetName val="VOL"/>
      <sheetName val="ACTIVITE"/>
      <sheetName val="FR22"/>
      <sheetName val="MIXM"/>
      <sheetName val="RDT"/>
      <sheetName val="FACON"/>
      <sheetName val="PRODté"/>
      <sheetName val="PCI PPNC"/>
      <sheetName val="PCI PPC"/>
      <sheetName val="Nvx Codes apres Bud"/>
      <sheetName val="INTERFACE"/>
    </sheetNames>
    <sheetDataSet>
      <sheetData sheetId="0" refreshError="1"/>
      <sheetData sheetId="1">
        <row r="10">
          <cell r="B10" t="str">
            <v>2010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O6">
            <v>29.297000000000001</v>
          </cell>
        </row>
      </sheetData>
      <sheetData sheetId="12">
        <row r="73">
          <cell r="G73">
            <v>1.54</v>
          </cell>
        </row>
      </sheetData>
      <sheetData sheetId="13" refreshError="1"/>
      <sheetData sheetId="14">
        <row r="258">
          <cell r="F258">
            <v>2.2000000000000002</v>
          </cell>
        </row>
      </sheetData>
      <sheetData sheetId="15"/>
      <sheetData sheetId="16">
        <row r="270">
          <cell r="C270" t="str">
            <v>E1</v>
          </cell>
        </row>
      </sheetData>
      <sheetData sheetId="17" refreshError="1"/>
      <sheetData sheetId="18" refreshError="1"/>
      <sheetData sheetId="19">
        <row r="9">
          <cell r="AD9">
            <v>4.3841000000000001</v>
          </cell>
        </row>
      </sheetData>
      <sheetData sheetId="20" refreshError="1"/>
      <sheetData sheetId="21">
        <row r="3">
          <cell r="E3" t="str">
            <v>JAN2010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Cover"/>
      <sheetName val="Contents"/>
      <sheetName val="Summary Superfamily"/>
      <sheetName val="_pcSlicerSheet13"/>
      <sheetName val="_pcHiddenSheet93"/>
      <sheetName val="Customer Continental"/>
      <sheetName val="Customer Cheddar"/>
      <sheetName val="_pcSlicerSheet14"/>
      <sheetName val="_pcHiddenSheet96"/>
      <sheetName val="_pcSlicerSheet15"/>
      <sheetName val="_pcHiddenSheet97"/>
      <sheetName val="_pcSlicerSheet16"/>
      <sheetName val="_pcHiddenSheet98"/>
      <sheetName val="_pcSlicerSheet1"/>
      <sheetName val="_pcHiddenSheet13"/>
      <sheetName val="_pcSlicerSheet4"/>
      <sheetName val="_pcHiddenSheet14"/>
      <sheetName val="Product Analysis"/>
      <sheetName val="_pcSlicerSheet"/>
      <sheetName val="_pcHiddenSheet12"/>
      <sheetName val="Promotions"/>
      <sheetName val="Brand Analysis"/>
      <sheetName val="Ratios"/>
      <sheetName val="Wastage"/>
      <sheetName val="1. Summary DB"/>
      <sheetName val="_pcHiddenSheet95"/>
      <sheetName val="2. Customer Analysis DB"/>
      <sheetName val="Glasgow"/>
      <sheetName val="_pcSlicerSheet57"/>
      <sheetName val="_pcHiddenSheet87"/>
      <sheetName val="_pcSlicerSheet3"/>
      <sheetName val="_pcHiddenSheet47"/>
      <sheetName val="_pcSlicerSheet2"/>
      <sheetName val="_pcHiddenSheet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0"/>
      <sheetData sheetId="11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2"/>
      <sheetData sheetId="13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4"/>
      <sheetData sheetId="15"/>
      <sheetData sheetId="16"/>
      <sheetData sheetId="17" refreshError="1">
        <row r="2">
          <cell r="A2" t="str">
            <v>December 2008</v>
          </cell>
        </row>
        <row r="3">
          <cell r="A3" t="str">
            <v>January 2009</v>
          </cell>
        </row>
        <row r="4">
          <cell r="A4" t="str">
            <v>February 2009</v>
          </cell>
        </row>
        <row r="5">
          <cell r="A5" t="str">
            <v>March 2009</v>
          </cell>
        </row>
        <row r="6">
          <cell r="A6" t="str">
            <v>April 2009</v>
          </cell>
        </row>
        <row r="7">
          <cell r="A7" t="str">
            <v>May 2009</v>
          </cell>
        </row>
        <row r="8">
          <cell r="A8" t="str">
            <v>June 2009</v>
          </cell>
        </row>
        <row r="9">
          <cell r="A9" t="str">
            <v>July 2009</v>
          </cell>
        </row>
        <row r="10">
          <cell r="A10" t="str">
            <v>August 2009</v>
          </cell>
        </row>
        <row r="11">
          <cell r="A11" t="str">
            <v>September 2009</v>
          </cell>
        </row>
        <row r="12">
          <cell r="A12" t="str">
            <v>October 2009</v>
          </cell>
        </row>
        <row r="13">
          <cell r="A13" t="str">
            <v>November 2009</v>
          </cell>
        </row>
        <row r="14">
          <cell r="A14" t="str">
            <v>December 2009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Jnl breakdown"/>
      <sheetName val="_pcHiddenSheet3"/>
      <sheetName val="PROMOTION VOLS"/>
    </sheetNames>
    <sheetDataSet>
      <sheetData sheetId="0"/>
      <sheetData sheetId="1" refreshError="1">
        <row r="4">
          <cell r="A4" t="str">
            <v>__Amount_for_Monthly_1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HAN"/>
      <sheetName val="2409_10"/>
      <sheetName val="2410_10"/>
      <sheetName val="2410_10 xRAI"/>
      <sheetName val="2410_ K1 (2)"/>
      <sheetName val="CBP +_K1 (2)"/>
      <sheetName val="SALSA 4F_ K1  (2)"/>
      <sheetName val="TIRAMISU"/>
      <sheetName val="PROCESSATO"/>
      <sheetName val="FABB_ K1"/>
      <sheetName val="Invest Wolf"/>
      <sheetName val="2411_10"/>
      <sheetName val="2430_10"/>
      <sheetName val="2458_10"/>
      <sheetName val="2462_10"/>
      <sheetName val="Mellin x 6 IPO 4H"/>
      <sheetName val="Mellin x 6 IPO 8H"/>
      <sheetName val="2465_10"/>
      <sheetName val="2476_60"/>
      <sheetName val="2510_10"/>
      <sheetName val="2512_10"/>
      <sheetName val="2530_10"/>
      <sheetName val="2580_10"/>
      <sheetName val="Foglio1"/>
      <sheetName val="Foglio1 (2)"/>
      <sheetName val="FILONE MOZZARELLA K2"/>
      <sheetName val="FILONE MOZZARELLA K1,2 UK"/>
      <sheetName val="FILONE MOZZARELLA K4"/>
      <sheetName val="RAPE"/>
      <sheetName val="CUBETTATO"/>
      <sheetName val="TRASPORTI"/>
      <sheetName val="LABCHIM"/>
      <sheetName val="CAPIREP"/>
      <sheetName val="PROGRES"/>
      <sheetName val="2410_10_xRAI"/>
      <sheetName val="2410__K1_(2)"/>
      <sheetName val="CBP_+_K1_(2)"/>
      <sheetName val="SALSA_4F__K1__(2)"/>
      <sheetName val="FABB__K1"/>
      <sheetName val="Invest_Wolf"/>
      <sheetName val="Mellin_x_6_IPO_4H"/>
      <sheetName val="Mellin_x_6_IPO_8H"/>
      <sheetName val="Foglio1_(2)"/>
      <sheetName val="FILONE_MOZZARELLA_K2"/>
      <sheetName val="FILONE_MOZZARELLA_K1,2_UK"/>
      <sheetName val="FILONE_MOZZARELLA_K4"/>
      <sheetName val="2410_10_xRAI1"/>
      <sheetName val="2410__K1_(2)1"/>
      <sheetName val="CBP_+_K1_(2)1"/>
      <sheetName val="SALSA_4F__K1__(2)1"/>
      <sheetName val="FABB__K11"/>
      <sheetName val="Invest_Wolf1"/>
      <sheetName val="Mellin_x_6_IPO_4H1"/>
      <sheetName val="Mellin_x_6_IPO_8H1"/>
      <sheetName val="Foglio1_(2)1"/>
      <sheetName val="FILONE_MOZZARELLA_K21"/>
      <sheetName val="FILONE_MOZZARELLA_K1,2_UK1"/>
      <sheetName val="FILONE_MOZZARELLA_K41"/>
      <sheetName val="Liste"/>
      <sheetName val="MENU"/>
      <sheetName val="TABLE"/>
      <sheetName val="DATA"/>
    </sheetNames>
    <sheetDataSet>
      <sheetData sheetId="0" refreshError="1">
        <row r="2">
          <cell r="B2" t="str">
            <v xml:space="preserve"> Stabilimento di</v>
          </cell>
          <cell r="H2" t="str">
            <v>SCHEDA RILEVAZIONE TEMPI</v>
          </cell>
          <cell r="O2" t="str">
            <v xml:space="preserve"> Data :</v>
          </cell>
        </row>
        <row r="3">
          <cell r="B3" t="str">
            <v xml:space="preserve"> CERTOSA </v>
          </cell>
          <cell r="D3">
            <v>220</v>
          </cell>
          <cell r="F3" t="str">
            <v>Reparto :</v>
          </cell>
          <cell r="G3" t="str">
            <v>FUSI</v>
          </cell>
          <cell r="H3">
            <v>210</v>
          </cell>
          <cell r="I3" t="str">
            <v>PREPARAZIONE IMPASTI E FUSIONE</v>
          </cell>
          <cell r="O3" t="str">
            <v xml:space="preserve"> Gennaio 2004</v>
          </cell>
        </row>
        <row r="4">
          <cell r="B4" t="str">
            <v xml:space="preserve"> PRODUZIONE :</v>
          </cell>
          <cell r="D4" t="str">
            <v xml:space="preserve">CREMA BEL PAESE  NORMALE + BIANCO + CREMOZOLA </v>
          </cell>
        </row>
        <row r="5">
          <cell r="D5" t="str">
            <v>+ FILANTE + FILANTE x PIZZA + IDEA PIZZA + FORMAGGIO PER PIZZA</v>
          </cell>
        </row>
        <row r="6">
          <cell r="F6" t="str">
            <v>Persone</v>
          </cell>
          <cell r="G6" t="str">
            <v>Tempo impiegato</v>
          </cell>
          <cell r="J6" t="str">
            <v>Quantità</v>
          </cell>
          <cell r="L6" t="str">
            <v>Tempo</v>
          </cell>
          <cell r="M6" t="str">
            <v>Prodotti destinatari</v>
          </cell>
        </row>
        <row r="7">
          <cell r="D7" t="str">
            <v>OPERAZIONI</v>
          </cell>
          <cell r="F7" t="str">
            <v>occupate</v>
          </cell>
          <cell r="G7" t="str">
            <v>Ore</v>
          </cell>
          <cell r="H7" t="str">
            <v>Ore</v>
          </cell>
          <cell r="I7" t="str">
            <v>Totale</v>
          </cell>
          <cell r="L7" t="str">
            <v>in ore</v>
          </cell>
          <cell r="M7" t="str">
            <v>C.B.P.</v>
          </cell>
          <cell r="N7" t="str">
            <v>C.B.P +.</v>
          </cell>
          <cell r="P7" t="str">
            <v>Filante</v>
          </cell>
        </row>
        <row r="8">
          <cell r="F8" t="str">
            <v>Posizioni</v>
          </cell>
          <cell r="G8" t="str">
            <v>squadra</v>
          </cell>
          <cell r="H8" t="str">
            <v>squadra</v>
          </cell>
          <cell r="I8" t="str">
            <v>ore ind</v>
          </cell>
          <cell r="J8" t="str">
            <v>Kg</v>
          </cell>
          <cell r="K8" t="str">
            <v>Kg</v>
          </cell>
          <cell r="L8" t="str">
            <v>riferito a</v>
          </cell>
          <cell r="M8" t="str">
            <v>Normale</v>
          </cell>
          <cell r="N8" t="str">
            <v>Dolc. Crem.</v>
          </cell>
          <cell r="O8" t="str">
            <v>K 1</v>
          </cell>
          <cell r="P8" t="str">
            <v>Idea Pizza</v>
          </cell>
        </row>
        <row r="9">
          <cell r="F9" t="str">
            <v>occupate</v>
          </cell>
          <cell r="G9" t="str">
            <v>in '</v>
          </cell>
          <cell r="H9" t="str">
            <v>decimali</v>
          </cell>
          <cell r="I9" t="str">
            <v>decimali</v>
          </cell>
          <cell r="J9" t="str">
            <v>settimana</v>
          </cell>
          <cell r="K9" t="str">
            <v>giorno</v>
          </cell>
          <cell r="L9" t="str">
            <v>100 Kg</v>
          </cell>
          <cell r="N9" t="str">
            <v xml:space="preserve">4 F-Proc.-Tir. </v>
          </cell>
          <cell r="P9" t="str">
            <v>Rapè - Mozz.</v>
          </cell>
        </row>
        <row r="11">
          <cell r="G11" t="str">
            <v xml:space="preserve"> x C.B.P. Normale</v>
          </cell>
          <cell r="J11" t="str">
            <v xml:space="preserve"> x C.B.P. +  e  Dolcelatte Cremoso</v>
          </cell>
          <cell r="M11" t="str">
            <v xml:space="preserve">  x Filante + Idea Pizza + Filante Rapè</v>
          </cell>
        </row>
        <row r="12">
          <cell r="C12" t="str">
            <v xml:space="preserve"> Determinazione gg./anno lavorati</v>
          </cell>
          <cell r="G12" t="str">
            <v>gg/sett.</v>
          </cell>
          <cell r="H12" t="str">
            <v>sett/anno</v>
          </cell>
          <cell r="I12" t="str">
            <v>gg/anno</v>
          </cell>
          <cell r="J12" t="str">
            <v>gg/sett.</v>
          </cell>
          <cell r="K12" t="str">
            <v>sett/anno</v>
          </cell>
          <cell r="L12" t="str">
            <v>gg/anno</v>
          </cell>
          <cell r="M12" t="str">
            <v>gg/sett.</v>
          </cell>
          <cell r="N12" t="str">
            <v>sett/anno</v>
          </cell>
          <cell r="O12" t="str">
            <v>gg/anno</v>
          </cell>
        </row>
        <row r="15">
          <cell r="G15">
            <v>5</v>
          </cell>
          <cell r="H15">
            <v>50</v>
          </cell>
          <cell r="I15">
            <v>250</v>
          </cell>
          <cell r="J15">
            <v>5</v>
          </cell>
          <cell r="K15">
            <v>50</v>
          </cell>
          <cell r="L15">
            <v>250</v>
          </cell>
          <cell r="M15">
            <v>5</v>
          </cell>
          <cell r="N15">
            <v>50</v>
          </cell>
          <cell r="O15">
            <v>250</v>
          </cell>
        </row>
        <row r="16">
          <cell r="B16" t="str">
            <v>A</v>
          </cell>
          <cell r="C16" t="str">
            <v xml:space="preserve"> OPERAZIONI PRELIMINARI</v>
          </cell>
        </row>
        <row r="17">
          <cell r="M17" t="str">
            <v xml:space="preserve">Tempo in ore riferito a 100/kg </v>
          </cell>
        </row>
        <row r="18">
          <cell r="B18">
            <v>1</v>
          </cell>
          <cell r="C18" t="str">
            <v xml:space="preserve"> Rifornimento materie prime a reparto :</v>
          </cell>
        </row>
        <row r="19">
          <cell r="C19" t="str">
            <v xml:space="preserve"> - Scarico camions, pesatura palbox e stoccaggio in cella</v>
          </cell>
        </row>
        <row r="20">
          <cell r="C20" t="str">
            <v xml:space="preserve"> - Prelievo campioni x analisi, controllo</v>
          </cell>
        </row>
        <row r="21">
          <cell r="C21" t="str">
            <v xml:space="preserve">   rimanenze celle dinamica e formaggi</v>
          </cell>
          <cell r="F21">
            <v>2</v>
          </cell>
          <cell r="G21">
            <v>8</v>
          </cell>
          <cell r="H21">
            <v>16</v>
          </cell>
          <cell r="I21">
            <v>16</v>
          </cell>
          <cell r="K21">
            <v>59868</v>
          </cell>
          <cell r="L21">
            <v>2.6725462684572727E-2</v>
          </cell>
          <cell r="M21">
            <v>2.6725462684572727E-2</v>
          </cell>
          <cell r="N21">
            <v>2.6725462684572727E-2</v>
          </cell>
          <cell r="O21">
            <v>2.6725462684572727E-2</v>
          </cell>
          <cell r="P21">
            <v>2.6725462684572727E-2</v>
          </cell>
        </row>
        <row r="22">
          <cell r="B22">
            <v>2</v>
          </cell>
          <cell r="C22" t="str">
            <v xml:space="preserve"> Trasporto materie prime a reparto</v>
          </cell>
          <cell r="F22">
            <v>2</v>
          </cell>
          <cell r="G22">
            <v>8</v>
          </cell>
          <cell r="H22">
            <v>8</v>
          </cell>
          <cell r="I22">
            <v>16</v>
          </cell>
          <cell r="K22">
            <v>59868</v>
          </cell>
          <cell r="L22">
            <v>2.6725462684572727E-2</v>
          </cell>
          <cell r="M22">
            <v>2.6725462684572727E-2</v>
          </cell>
          <cell r="N22">
            <v>2.6725462684572727E-2</v>
          </cell>
          <cell r="O22">
            <v>2.6725462684572727E-2</v>
          </cell>
          <cell r="P22">
            <v>2.6725462684572727E-2</v>
          </cell>
        </row>
        <row r="23">
          <cell r="B23">
            <v>3</v>
          </cell>
          <cell r="C23" t="str">
            <v xml:space="preserve"> Lavaggio palbox m.p. + travaso da cartonbox altri</v>
          </cell>
          <cell r="F23">
            <v>2</v>
          </cell>
          <cell r="G23">
            <v>8</v>
          </cell>
          <cell r="H23">
            <v>8</v>
          </cell>
          <cell r="I23">
            <v>16</v>
          </cell>
          <cell r="K23">
            <v>59868</v>
          </cell>
          <cell r="L23">
            <v>2.6725462684572727E-2</v>
          </cell>
          <cell r="M23">
            <v>2.6725462684572727E-2</v>
          </cell>
          <cell r="N23">
            <v>2.6725462684572727E-2</v>
          </cell>
          <cell r="O23">
            <v>2.6725462684572727E-2</v>
          </cell>
          <cell r="P23">
            <v>2.6725462684572727E-2</v>
          </cell>
        </row>
        <row r="24">
          <cell r="C24" t="str">
            <v xml:space="preserve"> Analisi materie prime</v>
          </cell>
          <cell r="G24">
            <v>8</v>
          </cell>
          <cell r="H24">
            <v>0</v>
          </cell>
          <cell r="I24">
            <v>0</v>
          </cell>
          <cell r="K24">
            <v>22660</v>
          </cell>
          <cell r="L24">
            <v>0</v>
          </cell>
          <cell r="M24">
            <v>0</v>
          </cell>
        </row>
        <row r="25">
          <cell r="B25" t="str">
            <v>B</v>
          </cell>
        </row>
        <row r="26">
          <cell r="C26" t="str">
            <v xml:space="preserve"> PREPARAZIONI IMPASTI E FUSIONE</v>
          </cell>
        </row>
        <row r="27">
          <cell r="B27">
            <v>1</v>
          </cell>
          <cell r="C27" t="str">
            <v xml:space="preserve"> Impostazione ricette + carico + analisi</v>
          </cell>
          <cell r="F27">
            <v>2</v>
          </cell>
          <cell r="G27">
            <v>8</v>
          </cell>
          <cell r="H27">
            <v>8</v>
          </cell>
          <cell r="I27">
            <v>16</v>
          </cell>
          <cell r="K27">
            <v>22660</v>
          </cell>
          <cell r="L27">
            <v>7.0609002647837593E-2</v>
          </cell>
          <cell r="M27">
            <v>7.0609002647837593E-2</v>
          </cell>
        </row>
        <row r="29">
          <cell r="B29">
            <v>2</v>
          </cell>
          <cell r="C29" t="str">
            <v xml:space="preserve"> Assistenza impianto sterilizzazione e cremificazione</v>
          </cell>
          <cell r="F29">
            <v>2</v>
          </cell>
          <cell r="G29">
            <v>8</v>
          </cell>
          <cell r="H29">
            <v>8</v>
          </cell>
          <cell r="I29">
            <v>16</v>
          </cell>
          <cell r="K29">
            <v>22660</v>
          </cell>
          <cell r="L29">
            <v>7.0609002647837593E-2</v>
          </cell>
          <cell r="M29">
            <v>7.0609002647837593E-2</v>
          </cell>
        </row>
        <row r="30">
          <cell r="C30" t="str">
            <v xml:space="preserve"> Stephan + preparazione e carico caseina</v>
          </cell>
        </row>
        <row r="31">
          <cell r="B31">
            <v>3</v>
          </cell>
          <cell r="C31" t="str">
            <v xml:space="preserve"> Carico burro, fusione burro </v>
          </cell>
          <cell r="G31">
            <v>0</v>
          </cell>
          <cell r="H31">
            <v>0</v>
          </cell>
          <cell r="I31">
            <v>0</v>
          </cell>
          <cell r="K31">
            <v>22660</v>
          </cell>
          <cell r="L31">
            <v>0</v>
          </cell>
          <cell r="M31">
            <v>0</v>
          </cell>
        </row>
        <row r="33">
          <cell r="B33">
            <v>4</v>
          </cell>
          <cell r="C33" t="str">
            <v xml:space="preserve"> Assistenza e controllo cremificazione</v>
          </cell>
          <cell r="H33">
            <v>0</v>
          </cell>
          <cell r="I33">
            <v>0</v>
          </cell>
          <cell r="K33">
            <v>22660</v>
          </cell>
          <cell r="L33">
            <v>0</v>
          </cell>
          <cell r="M33">
            <v>0</v>
          </cell>
        </row>
        <row r="34">
          <cell r="B34">
            <v>5</v>
          </cell>
          <cell r="C34" t="str">
            <v xml:space="preserve"> Cottura in 1 Ks : addetti Stephan + pesatura sali di fusione</v>
          </cell>
          <cell r="H34">
            <v>0</v>
          </cell>
          <cell r="I34">
            <v>0</v>
          </cell>
          <cell r="K34">
            <v>22660</v>
          </cell>
          <cell r="L34">
            <v>0</v>
          </cell>
        </row>
        <row r="35">
          <cell r="B35">
            <v>6</v>
          </cell>
          <cell r="C35" t="str">
            <v xml:space="preserve"> Pressatura porzioni fusi + filante</v>
          </cell>
          <cell r="H35">
            <v>0</v>
          </cell>
          <cell r="I35">
            <v>0</v>
          </cell>
          <cell r="K35">
            <v>59868</v>
          </cell>
          <cell r="L35">
            <v>0</v>
          </cell>
          <cell r="M35">
            <v>0</v>
          </cell>
        </row>
        <row r="37">
          <cell r="B37">
            <v>7</v>
          </cell>
          <cell r="C37" t="str">
            <v xml:space="preserve"> Preparazione e cottura form. prefuso settimanale</v>
          </cell>
          <cell r="H37">
            <v>0</v>
          </cell>
          <cell r="I37">
            <v>0</v>
          </cell>
          <cell r="K37">
            <v>113300</v>
          </cell>
          <cell r="L37">
            <v>0</v>
          </cell>
          <cell r="M37">
            <v>0</v>
          </cell>
        </row>
        <row r="39">
          <cell r="B39">
            <v>8</v>
          </cell>
          <cell r="C39" t="str">
            <v xml:space="preserve"> Colatura linee + trasporto pasta a Stephan</v>
          </cell>
          <cell r="F39">
            <v>2</v>
          </cell>
          <cell r="G39">
            <v>8</v>
          </cell>
          <cell r="H39">
            <v>8</v>
          </cell>
          <cell r="I39">
            <v>16</v>
          </cell>
          <cell r="K39">
            <v>29528</v>
          </cell>
          <cell r="L39">
            <v>5.4185857491194797E-2</v>
          </cell>
          <cell r="M39">
            <v>5.4185857491194797E-2</v>
          </cell>
        </row>
        <row r="41">
          <cell r="B41">
            <v>9</v>
          </cell>
          <cell r="C41" t="str">
            <v xml:space="preserve"> Lavaggio iniziale e finale Stephan</v>
          </cell>
          <cell r="F41">
            <v>1</v>
          </cell>
          <cell r="G41">
            <v>8</v>
          </cell>
          <cell r="H41">
            <v>8</v>
          </cell>
          <cell r="I41">
            <v>8</v>
          </cell>
          <cell r="K41">
            <v>22660</v>
          </cell>
          <cell r="L41">
            <v>3.5304501323918797E-2</v>
          </cell>
          <cell r="M41">
            <v>3.5304501323918797E-2</v>
          </cell>
        </row>
        <row r="43">
          <cell r="B43">
            <v>10</v>
          </cell>
          <cell r="C43" t="str">
            <v xml:space="preserve"> Lavaggio iniziale + finale Combinator e linee, preparazione</v>
          </cell>
          <cell r="G43">
            <v>8</v>
          </cell>
          <cell r="H43">
            <v>8</v>
          </cell>
          <cell r="I43">
            <v>0</v>
          </cell>
          <cell r="K43">
            <v>29528</v>
          </cell>
          <cell r="L43">
            <v>0</v>
          </cell>
          <cell r="M43">
            <v>0</v>
          </cell>
        </row>
        <row r="44">
          <cell r="C44" t="str">
            <v xml:space="preserve"> macchine formatrici e lavaggio allibert</v>
          </cell>
        </row>
        <row r="46">
          <cell r="B46">
            <v>11</v>
          </cell>
          <cell r="C46" t="str">
            <v>Lavaggio ferri</v>
          </cell>
          <cell r="F46">
            <v>1</v>
          </cell>
          <cell r="G46">
            <v>8</v>
          </cell>
          <cell r="H46">
            <v>8</v>
          </cell>
          <cell r="I46">
            <v>8</v>
          </cell>
          <cell r="K46">
            <v>29528</v>
          </cell>
          <cell r="L46">
            <v>2.7092928745597399E-2</v>
          </cell>
          <cell r="M46">
            <v>2.7092928745597399E-2</v>
          </cell>
        </row>
        <row r="48">
          <cell r="B48">
            <v>12</v>
          </cell>
          <cell r="C48" t="str">
            <v>Travaso pasta a fusione da cartonbox a palbox</v>
          </cell>
          <cell r="H48">
            <v>0</v>
          </cell>
          <cell r="I48">
            <v>0</v>
          </cell>
          <cell r="K48">
            <v>29528</v>
          </cell>
          <cell r="L48">
            <v>0</v>
          </cell>
          <cell r="M48">
            <v>0</v>
          </cell>
        </row>
        <row r="49">
          <cell r="C49" t="str">
            <v xml:space="preserve"> Addetti Ks x Dolc. Cr. / CBP +/ 4 Form. / Process./ Tiramisù</v>
          </cell>
          <cell r="F49">
            <v>2</v>
          </cell>
          <cell r="G49">
            <v>8</v>
          </cell>
          <cell r="H49">
            <v>8</v>
          </cell>
          <cell r="I49">
            <v>16</v>
          </cell>
          <cell r="K49">
            <v>6868</v>
          </cell>
          <cell r="L49">
            <v>0.23296447291788003</v>
          </cell>
          <cell r="N49">
            <v>0.23296447291788003</v>
          </cell>
        </row>
        <row r="50">
          <cell r="C50" t="str">
            <v xml:space="preserve"> Capi reparto (vedi scheda allegato 3)</v>
          </cell>
          <cell r="L50">
            <v>1.2026458208057728E-2</v>
          </cell>
          <cell r="M50">
            <v>1.2026458208057728E-2</v>
          </cell>
          <cell r="N50">
            <v>1.2026458208057728E-2</v>
          </cell>
          <cell r="O50">
            <v>1.2026458208057728E-2</v>
          </cell>
          <cell r="P50">
            <v>1.2026458208057728E-2</v>
          </cell>
        </row>
        <row r="52">
          <cell r="C52" t="str">
            <v>NB  tener conto di 1 x 8 ore Magor</v>
          </cell>
          <cell r="F52">
            <v>1</v>
          </cell>
          <cell r="G52">
            <v>8</v>
          </cell>
          <cell r="H52">
            <v>8</v>
          </cell>
          <cell r="I52">
            <v>8</v>
          </cell>
        </row>
        <row r="56">
          <cell r="C56" t="str">
            <v xml:space="preserve"> TEMPO TOTALE</v>
          </cell>
          <cell r="E56" t="str">
            <v>ORE/100 KG.</v>
          </cell>
          <cell r="I56">
            <v>136</v>
          </cell>
          <cell r="L56">
            <v>0.58296861203604211</v>
          </cell>
          <cell r="M56">
            <v>0.35000413911816208</v>
          </cell>
          <cell r="N56">
            <v>0.32516731917965591</v>
          </cell>
          <cell r="O56">
            <v>9.2202846261775911E-2</v>
          </cell>
          <cell r="P56">
            <v>9.2202846261775911E-2</v>
          </cell>
        </row>
        <row r="60">
          <cell r="C60" t="str">
            <v xml:space="preserve"> Determinanti 2004</v>
          </cell>
          <cell r="F60" t="str">
            <v>KG/ANNO</v>
          </cell>
          <cell r="G60" t="str">
            <v>GG/ANNO</v>
          </cell>
          <cell r="H60" t="str">
            <v>KG/GIORNO</v>
          </cell>
        </row>
        <row r="61">
          <cell r="C61" t="str">
            <v xml:space="preserve"> C.B.P. Normale</v>
          </cell>
          <cell r="F61">
            <v>5665000</v>
          </cell>
          <cell r="G61">
            <v>250</v>
          </cell>
          <cell r="H61">
            <v>22660</v>
          </cell>
          <cell r="K61" t="str">
            <v xml:space="preserve"> SEGUE SU SCHEDE DI CONFEZIONAMENTO</v>
          </cell>
        </row>
        <row r="62">
          <cell r="C62" t="str">
            <v xml:space="preserve"> C.B.P. +,  Dolcelatte cremoso, Crema 4 formaggi, Processato</v>
          </cell>
          <cell r="F62">
            <v>1717000</v>
          </cell>
          <cell r="G62">
            <v>250</v>
          </cell>
          <cell r="H62">
            <v>6868</v>
          </cell>
          <cell r="K62" t="str">
            <v xml:space="preserve"> - FUSI PORZIONI</v>
          </cell>
        </row>
        <row r="63">
          <cell r="H63" t="str">
            <v/>
          </cell>
          <cell r="K63" t="str">
            <v xml:space="preserve"> - FILANTE</v>
          </cell>
        </row>
        <row r="64">
          <cell r="C64" t="str">
            <v xml:space="preserve"> Filante + Idea Pizza + Fil. Rapè + Filone Mozz.</v>
          </cell>
          <cell r="F64">
            <v>7585000</v>
          </cell>
          <cell r="G64">
            <v>250</v>
          </cell>
          <cell r="H64">
            <v>30340</v>
          </cell>
          <cell r="K64" t="str">
            <v xml:space="preserve"> - FILANTE x PIZZA</v>
          </cell>
        </row>
        <row r="65">
          <cell r="K65" t="str">
            <v xml:space="preserve"> - IDEA PIZZA</v>
          </cell>
        </row>
        <row r="66">
          <cell r="K66" t="str">
            <v xml:space="preserve"> - FORMAGGIO PER PIZZA</v>
          </cell>
        </row>
        <row r="68">
          <cell r="C68" t="str">
            <v xml:space="preserve"> TOTALI</v>
          </cell>
          <cell r="F68">
            <v>14967000</v>
          </cell>
          <cell r="G68">
            <v>248</v>
          </cell>
          <cell r="H68">
            <v>59868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_pcHiddenSheet3"/>
      <sheetName val="PROMOTION VOLS"/>
    </sheetNames>
    <sheetDataSet>
      <sheetData sheetId="0"/>
      <sheetData sheetId="1" refreshError="1">
        <row r="3">
          <cell r="A3" t="str">
            <v>_Amount_for_Monthly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synth"/>
      <sheetName val="pts attention"/>
      <sheetName val="taux de perte MP-MG"/>
      <sheetName val="perte MP-MG av quai"/>
      <sheetName val="rendements sérum"/>
      <sheetName val="dco"/>
      <sheetName val="charges"/>
      <sheetName val="Nrj ratios"/>
      <sheetName val="Prix Nrj"/>
      <sheetName val="Nrj présentat°"/>
      <sheetName val="Eau présentat°"/>
      <sheetName val="détail effectifs"/>
      <sheetName val="productivité"/>
      <sheetName val="pdvté.laval"/>
      <sheetName val="effectifs"/>
      <sheetName val="évolut° eff"/>
      <sheetName val="évolut° masse"/>
      <sheetName val="synthèse.perso"/>
      <sheetName val="eff &amp; frais perso"/>
      <sheetName val="tnp"/>
      <sheetName val="Prod chim"/>
      <sheetName val="Laboratoire"/>
      <sheetName val="analyses"/>
      <sheetName val="PTT EPI"/>
      <sheetName val="info et clean"/>
      <sheetName val="déchets"/>
      <sheetName val="stk ext"/>
      <sheetName val="Shéma palette"/>
      <sheetName val="Emballages"/>
      <sheetName val="Ecremeu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2">
          <cell r="AR2">
            <v>0.83</v>
          </cell>
        </row>
        <row r="3">
          <cell r="AR3">
            <v>1.27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6">
          <cell r="H6">
            <v>82589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"/>
      <sheetName val="PE"/>
      <sheetName val="U1"/>
      <sheetName val="DI"/>
      <sheetName val="VERIF"/>
      <sheetName val="SIG"/>
      <sheetName val="VOL"/>
      <sheetName val="ACTIVITE"/>
      <sheetName val="RDT"/>
      <sheetName val="FR22"/>
      <sheetName val="MIXM"/>
      <sheetName val="PRODté"/>
      <sheetName val="FACON"/>
      <sheetName val="PCI PPNC"/>
      <sheetName val="PCI PPC"/>
      <sheetName val="RAPE GALBANI"/>
      <sheetName val="INTERFA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 Activité"/>
      <sheetName val="VOLUMES"/>
      <sheetName val="Grille"/>
    </sheetNames>
    <sheetDataSet>
      <sheetData sheetId="0"/>
      <sheetData sheetId="1"/>
      <sheetData sheetId="2" refreshError="1">
        <row r="3">
          <cell r="B3">
            <v>1</v>
          </cell>
          <cell r="C3" t="str">
            <v>JANVIER</v>
          </cell>
        </row>
        <row r="4">
          <cell r="B4">
            <v>2</v>
          </cell>
          <cell r="C4" t="str">
            <v>FÉVRIER</v>
          </cell>
        </row>
        <row r="5">
          <cell r="B5">
            <v>3</v>
          </cell>
          <cell r="C5" t="str">
            <v>MARS</v>
          </cell>
        </row>
        <row r="6">
          <cell r="B6">
            <v>4</v>
          </cell>
          <cell r="C6" t="str">
            <v>AVRIL</v>
          </cell>
        </row>
        <row r="7">
          <cell r="B7">
            <v>5</v>
          </cell>
          <cell r="C7" t="str">
            <v>MAI</v>
          </cell>
        </row>
        <row r="8">
          <cell r="B8">
            <v>6</v>
          </cell>
          <cell r="C8" t="str">
            <v>JUIN</v>
          </cell>
        </row>
        <row r="9">
          <cell r="B9">
            <v>7</v>
          </cell>
          <cell r="C9" t="str">
            <v>JUILLET</v>
          </cell>
        </row>
        <row r="10">
          <cell r="B10">
            <v>8</v>
          </cell>
          <cell r="C10" t="str">
            <v>AOÛT</v>
          </cell>
        </row>
        <row r="11">
          <cell r="B11">
            <v>9</v>
          </cell>
          <cell r="C11" t="str">
            <v>SEPTEMBRE</v>
          </cell>
        </row>
        <row r="12">
          <cell r="B12">
            <v>10</v>
          </cell>
          <cell r="C12" t="str">
            <v>OCTOBRE</v>
          </cell>
        </row>
        <row r="13">
          <cell r="B13">
            <v>11</v>
          </cell>
          <cell r="C13" t="str">
            <v>NOVEMBRE</v>
          </cell>
        </row>
        <row r="14">
          <cell r="B14">
            <v>12</v>
          </cell>
          <cell r="C14" t="str">
            <v>DÉCEMBRE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EEE8-B5FE-4126-8C2B-2C084C635DB5}">
  <dimension ref="A1:F33"/>
  <sheetViews>
    <sheetView topLeftCell="A3" workbookViewId="0">
      <selection activeCell="H28" sqref="H28"/>
    </sheetView>
  </sheetViews>
  <sheetFormatPr baseColWidth="10" defaultRowHeight="15" x14ac:dyDescent="0.25"/>
  <cols>
    <col min="1" max="1" width="33.85546875" customWidth="1"/>
    <col min="2" max="2" width="12.7109375" customWidth="1"/>
    <col min="3" max="3" width="15.7109375" customWidth="1"/>
    <col min="5" max="5" width="28" customWidth="1"/>
    <col min="6" max="6" width="12.42578125" customWidth="1"/>
  </cols>
  <sheetData>
    <row r="1" spans="1:6" ht="21" x14ac:dyDescent="0.35">
      <c r="A1" s="37" t="s">
        <v>36</v>
      </c>
    </row>
    <row r="3" spans="1:6" ht="18.75" x14ac:dyDescent="0.3">
      <c r="A3" s="6" t="s">
        <v>25</v>
      </c>
    </row>
    <row r="4" spans="1:6" ht="30" x14ac:dyDescent="0.25">
      <c r="A4" s="46" t="s">
        <v>46</v>
      </c>
      <c r="B4" s="46" t="s">
        <v>23</v>
      </c>
      <c r="C4" s="47" t="s">
        <v>21</v>
      </c>
      <c r="D4" s="48" t="s">
        <v>40</v>
      </c>
      <c r="E4" s="47" t="s">
        <v>10</v>
      </c>
      <c r="F4" s="49" t="s">
        <v>22</v>
      </c>
    </row>
    <row r="5" spans="1:6" x14ac:dyDescent="0.25">
      <c r="A5" s="20" t="s">
        <v>17</v>
      </c>
      <c r="B5" s="26">
        <v>4.1000000000000002E-2</v>
      </c>
      <c r="C5" s="27" t="s">
        <v>32</v>
      </c>
      <c r="D5" s="39" t="s">
        <v>42</v>
      </c>
      <c r="E5" s="27" t="s">
        <v>11</v>
      </c>
      <c r="F5" s="42">
        <v>1.4999999999999999E-2</v>
      </c>
    </row>
    <row r="6" spans="1:6" x14ac:dyDescent="0.25">
      <c r="A6" s="20" t="s">
        <v>18</v>
      </c>
      <c r="B6" s="26">
        <v>3.4500000000000003E-2</v>
      </c>
      <c r="C6" s="27" t="s">
        <v>33</v>
      </c>
      <c r="D6" s="40" t="s">
        <v>41</v>
      </c>
      <c r="E6" s="27" t="s">
        <v>12</v>
      </c>
      <c r="F6" s="42">
        <v>1.2E-2</v>
      </c>
    </row>
    <row r="7" spans="1:6" x14ac:dyDescent="0.25">
      <c r="A7" s="20" t="s">
        <v>19</v>
      </c>
      <c r="B7" s="24">
        <v>180000</v>
      </c>
      <c r="C7" s="27" t="s">
        <v>34</v>
      </c>
      <c r="D7" s="40" t="s">
        <v>43</v>
      </c>
      <c r="E7" s="27" t="s">
        <v>13</v>
      </c>
      <c r="F7" s="42">
        <v>7.0000000000000001E-3</v>
      </c>
    </row>
    <row r="8" spans="1:6" x14ac:dyDescent="0.25">
      <c r="A8" s="20" t="s">
        <v>20</v>
      </c>
      <c r="B8" s="24">
        <v>20000</v>
      </c>
      <c r="C8" s="27" t="s">
        <v>35</v>
      </c>
      <c r="D8" s="40" t="s">
        <v>41</v>
      </c>
      <c r="E8" s="27" t="s">
        <v>13</v>
      </c>
      <c r="F8" s="42">
        <v>8.0000000000000002E-3</v>
      </c>
    </row>
    <row r="9" spans="1:6" x14ac:dyDescent="0.25">
      <c r="A9" s="20" t="s">
        <v>14</v>
      </c>
      <c r="B9" s="22" t="s">
        <v>24</v>
      </c>
      <c r="C9" s="2"/>
      <c r="D9" s="40" t="s">
        <v>44</v>
      </c>
      <c r="E9" s="27" t="s">
        <v>15</v>
      </c>
      <c r="F9" s="42">
        <v>0.01</v>
      </c>
    </row>
    <row r="10" spans="1:6" x14ac:dyDescent="0.25">
      <c r="A10" s="21" t="s">
        <v>16</v>
      </c>
      <c r="B10" s="23" t="s">
        <v>24</v>
      </c>
      <c r="C10" s="18"/>
      <c r="D10" s="41" t="s">
        <v>42</v>
      </c>
      <c r="E10" s="31" t="s">
        <v>13</v>
      </c>
      <c r="F10" s="43">
        <v>5.0000000000000001E-3</v>
      </c>
    </row>
    <row r="11" spans="1:6" x14ac:dyDescent="0.25">
      <c r="A11" s="20"/>
      <c r="B11" s="25"/>
      <c r="E11" s="32"/>
    </row>
    <row r="12" spans="1:6" ht="30" x14ac:dyDescent="0.25">
      <c r="A12" s="54" t="s">
        <v>39</v>
      </c>
      <c r="B12" s="53" t="s">
        <v>45</v>
      </c>
    </row>
    <row r="13" spans="1:6" x14ac:dyDescent="0.25">
      <c r="A13" s="3" t="s">
        <v>27</v>
      </c>
      <c r="B13" s="50">
        <v>0.51</v>
      </c>
    </row>
    <row r="14" spans="1:6" x14ac:dyDescent="0.25">
      <c r="A14" s="2" t="s">
        <v>28</v>
      </c>
      <c r="B14" s="51">
        <f>SUM(F5:F6)</f>
        <v>2.7E-2</v>
      </c>
    </row>
    <row r="15" spans="1:6" x14ac:dyDescent="0.25">
      <c r="A15" s="2" t="s">
        <v>29</v>
      </c>
      <c r="B15" s="51">
        <f>SUM(F7:F8)</f>
        <v>1.4999999999999999E-2</v>
      </c>
    </row>
    <row r="16" spans="1:6" x14ac:dyDescent="0.25">
      <c r="A16" s="2" t="s">
        <v>30</v>
      </c>
      <c r="B16" s="51">
        <f>SUM(F9:F10)</f>
        <v>1.4999999999999999E-2</v>
      </c>
    </row>
    <row r="17" spans="1:6" x14ac:dyDescent="0.25">
      <c r="A17" s="33" t="s">
        <v>31</v>
      </c>
      <c r="B17" s="52">
        <f>SUM(B13:B16)</f>
        <v>0.56700000000000006</v>
      </c>
    </row>
    <row r="19" spans="1:6" ht="18.75" x14ac:dyDescent="0.3">
      <c r="A19" s="6" t="s">
        <v>26</v>
      </c>
    </row>
    <row r="20" spans="1:6" ht="45" x14ac:dyDescent="0.25">
      <c r="A20" s="46" t="s">
        <v>47</v>
      </c>
      <c r="B20" s="46" t="s">
        <v>23</v>
      </c>
      <c r="C20" s="47" t="s">
        <v>21</v>
      </c>
      <c r="D20" s="48" t="s">
        <v>37</v>
      </c>
      <c r="E20" s="47" t="s">
        <v>38</v>
      </c>
      <c r="F20" s="49" t="s">
        <v>22</v>
      </c>
    </row>
    <row r="21" spans="1:6" x14ac:dyDescent="0.25">
      <c r="A21" s="20" t="s">
        <v>17</v>
      </c>
      <c r="B21" s="26">
        <v>3.95E-2</v>
      </c>
      <c r="C21" s="28">
        <v>3.7999999999999999E-2</v>
      </c>
      <c r="D21" s="44">
        <v>5.0000000000000001E-3</v>
      </c>
      <c r="E21" s="27">
        <f>(B21-C21)*1000</f>
        <v>1.5000000000000013</v>
      </c>
      <c r="F21" s="42">
        <f>D21*E21</f>
        <v>7.5000000000000067E-3</v>
      </c>
    </row>
    <row r="22" spans="1:6" x14ac:dyDescent="0.25">
      <c r="A22" s="20" t="s">
        <v>18</v>
      </c>
      <c r="B22" s="26">
        <v>3.4000000000000002E-2</v>
      </c>
      <c r="C22" s="29">
        <v>3.3000000000000002E-2</v>
      </c>
      <c r="D22" s="44">
        <v>8.0000000000000002E-3</v>
      </c>
      <c r="E22" s="27">
        <f>(B22-C22)*1000</f>
        <v>1.0000000000000009</v>
      </c>
      <c r="F22" s="42">
        <f>D22*E22</f>
        <v>8.0000000000000071E-3</v>
      </c>
    </row>
    <row r="23" spans="1:6" x14ac:dyDescent="0.25">
      <c r="A23" s="20" t="s">
        <v>19</v>
      </c>
      <c r="B23" s="24">
        <v>195000</v>
      </c>
      <c r="C23" s="30">
        <v>200000</v>
      </c>
      <c r="D23" s="44">
        <v>7.0000000000000001E-3</v>
      </c>
      <c r="E23" s="27" t="str">
        <f>IF(B23&lt;C23,"Aplica","No aplica")</f>
        <v>Aplica</v>
      </c>
      <c r="F23" s="42">
        <f>IF(B23&lt;C23,D23,0)</f>
        <v>7.0000000000000001E-3</v>
      </c>
    </row>
    <row r="24" spans="1:6" x14ac:dyDescent="0.25">
      <c r="A24" s="20" t="s">
        <v>20</v>
      </c>
      <c r="B24" s="24">
        <v>52000</v>
      </c>
      <c r="C24" s="30">
        <v>50000</v>
      </c>
      <c r="D24" s="44">
        <v>8.0000000000000002E-3</v>
      </c>
      <c r="E24" s="27" t="str">
        <f>IF(B24&lt;C24,"Aplica","No aplica")</f>
        <v>No aplica</v>
      </c>
      <c r="F24" s="42">
        <f>IF(B24&lt;C24,D24,0)</f>
        <v>0</v>
      </c>
    </row>
    <row r="25" spans="1:6" x14ac:dyDescent="0.25">
      <c r="A25" s="20" t="s">
        <v>14</v>
      </c>
      <c r="B25" s="22" t="s">
        <v>24</v>
      </c>
      <c r="C25" s="2"/>
      <c r="D25" s="44">
        <v>0.01</v>
      </c>
      <c r="E25" s="27"/>
      <c r="F25" s="42">
        <f>IF(B25="Sí",D25,0)</f>
        <v>0.01</v>
      </c>
    </row>
    <row r="26" spans="1:6" x14ac:dyDescent="0.25">
      <c r="A26" s="21" t="s">
        <v>16</v>
      </c>
      <c r="B26" s="23" t="s">
        <v>24</v>
      </c>
      <c r="C26" s="18"/>
      <c r="D26" s="45">
        <v>5.0000000000000001E-3</v>
      </c>
      <c r="E26" s="18"/>
      <c r="F26" s="43">
        <f>IF(B26="Sí",D26,0)</f>
        <v>5.0000000000000001E-3</v>
      </c>
    </row>
    <row r="28" spans="1:6" ht="30" x14ac:dyDescent="0.25">
      <c r="A28" s="54" t="s">
        <v>39</v>
      </c>
      <c r="B28" s="53" t="s">
        <v>45</v>
      </c>
    </row>
    <row r="29" spans="1:6" x14ac:dyDescent="0.25">
      <c r="A29" s="3" t="s">
        <v>27</v>
      </c>
      <c r="B29" s="50">
        <v>0.51</v>
      </c>
    </row>
    <row r="30" spans="1:6" x14ac:dyDescent="0.25">
      <c r="A30" s="2" t="s">
        <v>28</v>
      </c>
      <c r="B30" s="51">
        <f>SUM(F21:F22)</f>
        <v>1.5500000000000014E-2</v>
      </c>
    </row>
    <row r="31" spans="1:6" x14ac:dyDescent="0.25">
      <c r="A31" s="2" t="s">
        <v>29</v>
      </c>
      <c r="B31" s="51">
        <f>SUM(F23:F24)</f>
        <v>7.0000000000000001E-3</v>
      </c>
    </row>
    <row r="32" spans="1:6" x14ac:dyDescent="0.25">
      <c r="A32" s="2" t="s">
        <v>30</v>
      </c>
      <c r="B32" s="51">
        <f>SUM(F25:F26)</f>
        <v>1.4999999999999999E-2</v>
      </c>
    </row>
    <row r="33" spans="1:2" x14ac:dyDescent="0.25">
      <c r="A33" s="33" t="s">
        <v>31</v>
      </c>
      <c r="B33" s="52">
        <f>SUM(B29:B32)</f>
        <v>0.5475000000000001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A5F7-7476-41E2-B25E-833B29F6911A}">
  <dimension ref="A1:D37"/>
  <sheetViews>
    <sheetView tabSelected="1" zoomScaleNormal="100" workbookViewId="0"/>
  </sheetViews>
  <sheetFormatPr baseColWidth="10" defaultRowHeight="15" x14ac:dyDescent="0.25"/>
  <cols>
    <col min="1" max="1" width="40.28515625" customWidth="1"/>
    <col min="2" max="2" width="15.140625" customWidth="1"/>
    <col min="3" max="3" width="11.85546875" customWidth="1"/>
  </cols>
  <sheetData>
    <row r="1" spans="1:3" ht="18.75" x14ac:dyDescent="0.3">
      <c r="A1" s="6" t="s">
        <v>1</v>
      </c>
    </row>
    <row r="2" spans="1:3" x14ac:dyDescent="0.25">
      <c r="A2" s="55" t="s">
        <v>3</v>
      </c>
      <c r="B2" s="56" t="s">
        <v>9</v>
      </c>
      <c r="C2" s="56" t="s">
        <v>0</v>
      </c>
    </row>
    <row r="3" spans="1:3" x14ac:dyDescent="0.25">
      <c r="A3" s="11" t="s">
        <v>48</v>
      </c>
      <c r="B3" s="34">
        <v>0.51</v>
      </c>
      <c r="C3" s="34">
        <v>0.51</v>
      </c>
    </row>
    <row r="4" spans="1:3" x14ac:dyDescent="0.25">
      <c r="A4" s="7" t="s">
        <v>49</v>
      </c>
      <c r="B4" s="35">
        <v>2.7E-2</v>
      </c>
      <c r="C4" s="35">
        <v>1.5500000000000014E-2</v>
      </c>
    </row>
    <row r="5" spans="1:3" x14ac:dyDescent="0.25">
      <c r="A5" s="7" t="s">
        <v>50</v>
      </c>
      <c r="B5" s="35">
        <v>1.4999999999999999E-2</v>
      </c>
      <c r="C5" s="35">
        <v>7.0000000000000001E-3</v>
      </c>
    </row>
    <row r="6" spans="1:3" x14ac:dyDescent="0.25">
      <c r="A6" s="8" t="s">
        <v>51</v>
      </c>
      <c r="B6" s="36">
        <v>1.4999999999999999E-2</v>
      </c>
      <c r="C6" s="36">
        <v>1.4999999999999999E-2</v>
      </c>
    </row>
    <row r="7" spans="1:3" x14ac:dyDescent="0.25">
      <c r="A7" s="11" t="s">
        <v>52</v>
      </c>
      <c r="B7" s="34">
        <f>SUM(B3:B6)</f>
        <v>0.56700000000000006</v>
      </c>
      <c r="C7" s="34">
        <f>SUM(C3:C6)</f>
        <v>0.5475000000000001</v>
      </c>
    </row>
    <row r="8" spans="1:3" x14ac:dyDescent="0.25">
      <c r="A8" s="8" t="s">
        <v>53</v>
      </c>
      <c r="B8" s="57">
        <v>2.1000000000000001E-2</v>
      </c>
      <c r="C8" s="57">
        <v>2.5000000000000001E-2</v>
      </c>
    </row>
    <row r="9" spans="1:3" x14ac:dyDescent="0.25">
      <c r="A9" s="19" t="s">
        <v>4</v>
      </c>
      <c r="B9" s="62">
        <f>SUM(B7:B8)</f>
        <v>0.58800000000000008</v>
      </c>
      <c r="C9" s="62">
        <f>SUM(C7:C8)</f>
        <v>0.57250000000000012</v>
      </c>
    </row>
    <row r="10" spans="1:3" x14ac:dyDescent="0.25">
      <c r="A10" s="7" t="s">
        <v>54</v>
      </c>
      <c r="B10" s="35">
        <f>B27*B16/1000</f>
        <v>0.23520000000000005</v>
      </c>
      <c r="C10" s="35">
        <f>C27*C16/1000</f>
        <v>0.22900000000000006</v>
      </c>
    </row>
    <row r="11" spans="1:3" x14ac:dyDescent="0.25">
      <c r="A11" s="8" t="s">
        <v>55</v>
      </c>
      <c r="B11" s="36">
        <f>B28*B17/1000</f>
        <v>0.35280000000000006</v>
      </c>
      <c r="C11" s="36">
        <f>C28*C17/1000</f>
        <v>0.34350000000000008</v>
      </c>
    </row>
    <row r="12" spans="1:3" x14ac:dyDescent="0.25">
      <c r="A12" s="12" t="s">
        <v>5</v>
      </c>
      <c r="B12" s="3"/>
      <c r="C12" s="3"/>
    </row>
    <row r="13" spans="1:3" x14ac:dyDescent="0.25">
      <c r="A13" s="5" t="s">
        <v>56</v>
      </c>
      <c r="B13" s="38">
        <v>4.1000000000000002E-2</v>
      </c>
      <c r="C13" s="38">
        <v>3.95E-2</v>
      </c>
    </row>
    <row r="14" spans="1:3" x14ac:dyDescent="0.25">
      <c r="A14" s="9" t="s">
        <v>57</v>
      </c>
      <c r="B14" s="4">
        <v>3.4500000000000003E-2</v>
      </c>
      <c r="C14" s="4">
        <v>3.4000000000000002E-2</v>
      </c>
    </row>
    <row r="15" spans="1:3" x14ac:dyDescent="0.25">
      <c r="A15" s="13" t="s">
        <v>2</v>
      </c>
      <c r="B15" s="2"/>
      <c r="C15" s="2"/>
    </row>
    <row r="16" spans="1:3" x14ac:dyDescent="0.25">
      <c r="A16" s="5" t="s">
        <v>58</v>
      </c>
      <c r="B16" s="1">
        <f>B13*B21*1000</f>
        <v>42.403446035919998</v>
      </c>
      <c r="C16" s="1">
        <f>C13*C21*1000</f>
        <v>40.852168093780008</v>
      </c>
    </row>
    <row r="17" spans="1:4" x14ac:dyDescent="0.25">
      <c r="A17" s="5" t="s">
        <v>59</v>
      </c>
      <c r="B17" s="1">
        <f>B14*B21*1000</f>
        <v>35.680948493640003</v>
      </c>
      <c r="C17" s="1">
        <f>C14*C21*1000</f>
        <v>35.163891523760007</v>
      </c>
    </row>
    <row r="18" spans="1:4" x14ac:dyDescent="0.25">
      <c r="A18" s="5" t="s">
        <v>60</v>
      </c>
      <c r="B18" s="1">
        <v>48</v>
      </c>
      <c r="C18" s="1">
        <v>48</v>
      </c>
    </row>
    <row r="19" spans="1:4" x14ac:dyDescent="0.25">
      <c r="A19" s="5" t="s">
        <v>61</v>
      </c>
      <c r="B19" s="1">
        <v>9</v>
      </c>
      <c r="C19" s="1">
        <v>9</v>
      </c>
    </row>
    <row r="20" spans="1:4" x14ac:dyDescent="0.25">
      <c r="A20" s="5" t="s">
        <v>62</v>
      </c>
      <c r="B20" s="1">
        <f>B21*1000-SUM(B16:B19)</f>
        <v>899.14599659043995</v>
      </c>
      <c r="C20" s="1">
        <f>C21*1000-SUM(C16:C19)</f>
        <v>901.2160440224601</v>
      </c>
    </row>
    <row r="21" spans="1:4" x14ac:dyDescent="0.25">
      <c r="A21" s="5" t="s">
        <v>63</v>
      </c>
      <c r="B21" s="1">
        <f>(-0.2307*10^(-2)*B22^2-0.2655*B22+1040.51-B13*(-0.478*10^(-4)*B22^2+0.969*10^(-2)*B22+0.967))/1000</f>
        <v>1.0342303911199999</v>
      </c>
      <c r="C21" s="1">
        <f>(-0.2307*10^(-2)*C22^2-0.2655*C22+1040.51-C13*(-0.478*10^(-4)*C22^2+0.969*10^(-2)*C22+0.967))/1000</f>
        <v>1.0342321036400002</v>
      </c>
    </row>
    <row r="22" spans="1:4" x14ac:dyDescent="0.25">
      <c r="A22" s="14" t="s">
        <v>8</v>
      </c>
      <c r="B22" s="17">
        <v>20</v>
      </c>
      <c r="C22" s="17">
        <v>20</v>
      </c>
    </row>
    <row r="23" spans="1:4" x14ac:dyDescent="0.25">
      <c r="A23" s="15" t="s">
        <v>6</v>
      </c>
      <c r="B23" s="3"/>
      <c r="C23" s="3"/>
    </row>
    <row r="24" spans="1:4" x14ac:dyDescent="0.25">
      <c r="A24" s="7" t="s">
        <v>64</v>
      </c>
      <c r="B24" s="58">
        <v>0.4</v>
      </c>
      <c r="C24" s="58">
        <v>0.4</v>
      </c>
      <c r="D24" s="10"/>
    </row>
    <row r="25" spans="1:4" x14ac:dyDescent="0.25">
      <c r="A25" s="7" t="s">
        <v>65</v>
      </c>
      <c r="B25" s="16">
        <f>1-B24</f>
        <v>0.6</v>
      </c>
      <c r="C25" s="16">
        <f>1-C24</f>
        <v>0.6</v>
      </c>
      <c r="D25" s="10"/>
    </row>
    <row r="26" spans="1:4" x14ac:dyDescent="0.25">
      <c r="A26" s="61" t="s">
        <v>7</v>
      </c>
      <c r="B26" s="2"/>
      <c r="C26" s="2"/>
      <c r="D26" s="10"/>
    </row>
    <row r="27" spans="1:4" x14ac:dyDescent="0.25">
      <c r="A27" s="7" t="s">
        <v>66</v>
      </c>
      <c r="B27" s="59">
        <f>B9/B16*B24*1000</f>
        <v>5.5467190048837516</v>
      </c>
      <c r="C27" s="59">
        <f>C9/C16*C24*1000</f>
        <v>5.6055776397059009</v>
      </c>
    </row>
    <row r="28" spans="1:4" x14ac:dyDescent="0.25">
      <c r="A28" s="8" t="s">
        <v>67</v>
      </c>
      <c r="B28" s="60">
        <f>B9/B17*B25*1000</f>
        <v>9.8876295304449471</v>
      </c>
      <c r="C28" s="60">
        <f>C9/C17*C25*1000</f>
        <v>9.7685433868404292</v>
      </c>
      <c r="D28" s="10"/>
    </row>
    <row r="29" spans="1:4" x14ac:dyDescent="0.25">
      <c r="D29" s="10"/>
    </row>
    <row r="30" spans="1:4" x14ac:dyDescent="0.25">
      <c r="D30" s="10"/>
    </row>
    <row r="31" spans="1:4" x14ac:dyDescent="0.25">
      <c r="D31" s="10"/>
    </row>
    <row r="32" spans="1:4" x14ac:dyDescent="0.25">
      <c r="D32" s="10"/>
    </row>
    <row r="33" spans="2:4" x14ac:dyDescent="0.25">
      <c r="D33" s="10"/>
    </row>
    <row r="34" spans="2:4" x14ac:dyDescent="0.25">
      <c r="B34" s="63"/>
      <c r="D34" s="10"/>
    </row>
    <row r="35" spans="2:4" x14ac:dyDescent="0.25">
      <c r="B35" s="10"/>
      <c r="D35" s="10"/>
    </row>
    <row r="36" spans="2:4" x14ac:dyDescent="0.25">
      <c r="B36" s="10"/>
    </row>
    <row r="37" spans="2:4" x14ac:dyDescent="0.25">
      <c r="B3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Liquidación leche</vt:lpstr>
      <vt:lpstr>Datos materia prima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Riera</dc:creator>
  <cp:lastModifiedBy>Juan Riera</cp:lastModifiedBy>
  <dcterms:created xsi:type="dcterms:W3CDTF">2021-08-17T11:04:57Z</dcterms:created>
  <dcterms:modified xsi:type="dcterms:W3CDTF">2026-02-03T09:43:48Z</dcterms:modified>
</cp:coreProperties>
</file>