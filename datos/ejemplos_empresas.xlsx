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279" documentId="8_{E3968524-56AA-4ED7-8BA0-7E46E3840944}" xr6:coauthVersionLast="47" xr6:coauthVersionMax="47" xr10:uidLastSave="{6FFFACFB-8729-4B10-9FFB-F566472DF2F0}"/>
  <bookViews>
    <workbookView xWindow="-120" yWindow="-120" windowWidth="29040" windowHeight="16440" xr2:uid="{36A48B76-50FA-4C2B-B697-2A79038C0BE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E40" i="1"/>
  <c r="E43" i="1"/>
  <c r="E42" i="1"/>
  <c r="B32" i="1"/>
  <c r="C32" i="1"/>
  <c r="D32" i="1"/>
  <c r="E32" i="1"/>
  <c r="F32" i="1"/>
  <c r="B33" i="1"/>
  <c r="D33" i="1" s="1"/>
  <c r="E33" i="1" s="1"/>
  <c r="E34" i="1" s="1"/>
  <c r="E35" i="1" s="1"/>
  <c r="C33" i="1"/>
  <c r="F33" i="1"/>
  <c r="B38" i="1"/>
  <c r="C38" i="1" s="1"/>
  <c r="D38" i="1" s="1"/>
  <c r="E38" i="1" s="1"/>
  <c r="B37" i="1"/>
  <c r="C37" i="1" s="1"/>
  <c r="D37" i="1" s="1"/>
  <c r="E37" i="1" s="1"/>
  <c r="E39" i="1" s="1"/>
  <c r="E21" i="1"/>
  <c r="B16" i="1"/>
  <c r="D27" i="1"/>
  <c r="B20" i="1"/>
  <c r="B19" i="1"/>
  <c r="G3" i="1"/>
  <c r="G5" i="1" s="1"/>
  <c r="G7" i="1" s="1"/>
  <c r="D3" i="1"/>
  <c r="D5" i="1" s="1"/>
  <c r="D7" i="1" s="1"/>
  <c r="A3" i="1"/>
  <c r="A5" i="1" s="1"/>
  <c r="A7" i="1" s="1"/>
  <c r="D20" i="1" l="1"/>
  <c r="D19" i="1"/>
  <c r="B26" i="1"/>
  <c r="B25" i="1"/>
  <c r="D21" i="1"/>
  <c r="D26" i="1" l="1"/>
  <c r="D28" i="1" s="1"/>
</calcChain>
</file>

<file path=xl/sharedStrings.xml><?xml version="1.0" encoding="utf-8"?>
<sst xmlns="http://schemas.openxmlformats.org/spreadsheetml/2006/main" count="61" uniqueCount="32">
  <si>
    <t>litros/kg</t>
  </si>
  <si>
    <t>kg queso</t>
  </si>
  <si>
    <t>mermas mad</t>
  </si>
  <si>
    <t>L leche comprada</t>
  </si>
  <si>
    <t>L leche a fabricacion</t>
  </si>
  <si>
    <t>pérdidas balance</t>
  </si>
  <si>
    <t>queso expedición</t>
  </si>
  <si>
    <t>EST</t>
  </si>
  <si>
    <t>MG</t>
  </si>
  <si>
    <t>MP</t>
  </si>
  <si>
    <t>euros</t>
  </si>
  <si>
    <t>euros/kg</t>
  </si>
  <si>
    <t>Materia grasa</t>
  </si>
  <si>
    <t>Kg</t>
  </si>
  <si>
    <t>Proteína</t>
  </si>
  <si>
    <t>Total</t>
  </si>
  <si>
    <t>Precio
total
(euros)</t>
  </si>
  <si>
    <t>Precio unitario
(euros/kg)</t>
  </si>
  <si>
    <t>Análisis de la 
leche comprada</t>
  </si>
  <si>
    <t>Análisis del
queso vendido</t>
  </si>
  <si>
    <t>Extracto seco total (EST)</t>
  </si>
  <si>
    <t>Materia grasa (MG)</t>
  </si>
  <si>
    <t>Extracto seco magro (ESM)</t>
  </si>
  <si>
    <t>Balance de materia</t>
  </si>
  <si>
    <t>MP/ESP</t>
  </si>
  <si>
    <t>Balance total</t>
  </si>
  <si>
    <t>% recuperacion materia</t>
  </si>
  <si>
    <t>Comprado
(kg)</t>
  </si>
  <si>
    <t>Vendido
(kg)</t>
  </si>
  <si>
    <t>Pérdidas
(kg)</t>
  </si>
  <si>
    <t>Coste de la pérdida
(euros)</t>
  </si>
  <si>
    <t>Facturación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</si>
</sst>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 ;[Red]\-#,##0\ "/>
    <numFmt numFmtId="169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0" fontId="0" fillId="0" borderId="0" xfId="0" applyNumberFormat="1"/>
    <xf numFmtId="9" fontId="0" fillId="0" borderId="0" xfId="1" applyFont="1"/>
    <xf numFmtId="0" fontId="0" fillId="0" borderId="5" xfId="0" applyBorder="1"/>
    <xf numFmtId="164" fontId="0" fillId="0" borderId="0" xfId="0" applyNumberFormat="1" applyBorder="1"/>
    <xf numFmtId="0" fontId="0" fillId="0" borderId="7" xfId="0" applyBorder="1"/>
    <xf numFmtId="0" fontId="0" fillId="0" borderId="8" xfId="0" applyBorder="1"/>
    <xf numFmtId="164" fontId="0" fillId="0" borderId="11" xfId="0" applyNumberFormat="1" applyBorder="1"/>
    <xf numFmtId="0" fontId="0" fillId="0" borderId="12" xfId="0" applyBorder="1"/>
    <xf numFmtId="164" fontId="0" fillId="0" borderId="12" xfId="0" applyNumberFormat="1" applyBorder="1"/>
    <xf numFmtId="0" fontId="2" fillId="2" borderId="1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13" xfId="0" applyBorder="1"/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9" fontId="0" fillId="0" borderId="0" xfId="1" applyNumberFormat="1" applyFont="1"/>
    <xf numFmtId="0" fontId="0" fillId="0" borderId="11" xfId="0" applyBorder="1"/>
    <xf numFmtId="0" fontId="0" fillId="0" borderId="1" xfId="0" applyBorder="1"/>
    <xf numFmtId="0" fontId="0" fillId="0" borderId="2" xfId="0" applyBorder="1"/>
    <xf numFmtId="164" fontId="0" fillId="0" borderId="3" xfId="0" applyNumberFormat="1" applyBorder="1"/>
    <xf numFmtId="9" fontId="0" fillId="0" borderId="4" xfId="1" applyFont="1" applyBorder="1"/>
    <xf numFmtId="9" fontId="0" fillId="0" borderId="6" xfId="1" applyFont="1" applyBorder="1"/>
    <xf numFmtId="164" fontId="0" fillId="0" borderId="8" xfId="0" applyNumberFormat="1" applyBorder="1"/>
    <xf numFmtId="0" fontId="0" fillId="0" borderId="9" xfId="0" applyBorder="1"/>
    <xf numFmtId="0" fontId="2" fillId="2" borderId="15" xfId="0" applyFont="1" applyFill="1" applyBorder="1" applyAlignment="1">
      <alignment horizontal="center" vertical="center" wrapText="1"/>
    </xf>
    <xf numFmtId="164" fontId="0" fillId="0" borderId="10" xfId="0" applyNumberFormat="1" applyBorder="1"/>
    <xf numFmtId="164" fontId="0" fillId="0" borderId="0" xfId="0" applyNumberFormat="1" applyBorder="1" applyAlignment="1"/>
    <xf numFmtId="0" fontId="0" fillId="0" borderId="3" xfId="0" applyBorder="1"/>
    <xf numFmtId="9" fontId="0" fillId="0" borderId="4" xfId="0" applyNumberFormat="1" applyBorder="1"/>
    <xf numFmtId="0" fontId="0" fillId="0" borderId="0" xfId="0" applyBorder="1"/>
    <xf numFmtId="9" fontId="0" fillId="0" borderId="6" xfId="0" applyNumberFormat="1" applyBorder="1"/>
    <xf numFmtId="0" fontId="0" fillId="0" borderId="10" xfId="0" applyBorder="1"/>
  </cellXfs>
  <cellStyles count="2">
    <cellStyle name="Normal" xfId="0" builtinId="0"/>
    <cellStyle name="Porcentaje" xfId="1" builtinId="5"/>
  </cellStyles>
  <dxfs count="0"/>
  <tableStyles count="1" defaultTableStyle="TableStyleMedium2" defaultPivotStyle="PivotStyleLight16">
    <tableStyle name="Invisible" pivot="0" table="0" count="0" xr9:uid="{72DEA1D7-C97A-4143-8268-D29505BC4C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9525</xdr:colOff>
      <xdr:row>16</xdr:row>
      <xdr:rowOff>152400</xdr:rowOff>
    </xdr:from>
    <xdr:to>
      <xdr:col>12</xdr:col>
      <xdr:colOff>381000</xdr:colOff>
      <xdr:row>20</xdr:row>
      <xdr:rowOff>161925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181F950-CBB9-75FD-AA66-25033939BF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48525" y="2819400"/>
          <a:ext cx="3419475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23</xdr:row>
      <xdr:rowOff>0</xdr:rowOff>
    </xdr:from>
    <xdr:to>
      <xdr:col>13</xdr:col>
      <xdr:colOff>47625</xdr:colOff>
      <xdr:row>28</xdr:row>
      <xdr:rowOff>9525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1E86D03-8C46-3E63-AF04-250BB74CB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0" y="4381500"/>
          <a:ext cx="3857625" cy="134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30</xdr:row>
      <xdr:rowOff>0</xdr:rowOff>
    </xdr:from>
    <xdr:to>
      <xdr:col>15</xdr:col>
      <xdr:colOff>180975</xdr:colOff>
      <xdr:row>34</xdr:row>
      <xdr:rowOff>9525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2006B3F-381D-A9B7-03D3-6612E676E9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0" y="6096000"/>
          <a:ext cx="5514975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35</xdr:row>
      <xdr:rowOff>0</xdr:rowOff>
    </xdr:from>
    <xdr:to>
      <xdr:col>15</xdr:col>
      <xdr:colOff>180975</xdr:colOff>
      <xdr:row>39</xdr:row>
      <xdr:rowOff>9525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B9423A5-311E-7097-19E8-BBEDD927CD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0" y="7810500"/>
          <a:ext cx="5514975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F03B8-E965-4443-8C16-957ED6FE43C6}">
  <dimension ref="A1:H43"/>
  <sheetViews>
    <sheetView tabSelected="1" topLeftCell="A18" workbookViewId="0">
      <selection activeCell="E42" sqref="E42"/>
    </sheetView>
  </sheetViews>
  <sheetFormatPr baseColWidth="10" defaultRowHeight="15" x14ac:dyDescent="0.25"/>
  <cols>
    <col min="1" max="1" width="23.42578125" customWidth="1"/>
    <col min="6" max="6" width="13.42578125" customWidth="1"/>
    <col min="7" max="7" width="14.5703125" customWidth="1"/>
  </cols>
  <sheetData>
    <row r="1" spans="1:8" x14ac:dyDescent="0.25">
      <c r="A1" s="3">
        <v>1300000</v>
      </c>
      <c r="B1" t="s">
        <v>3</v>
      </c>
      <c r="D1" s="3">
        <v>1300000</v>
      </c>
      <c r="E1" t="s">
        <v>3</v>
      </c>
      <c r="G1" s="3">
        <v>1300000</v>
      </c>
      <c r="H1" t="s">
        <v>3</v>
      </c>
    </row>
    <row r="2" spans="1:8" x14ac:dyDescent="0.25">
      <c r="A2" s="2">
        <v>0.03</v>
      </c>
      <c r="B2" t="s">
        <v>5</v>
      </c>
      <c r="D2" s="2">
        <v>7.0000000000000007E-2</v>
      </c>
      <c r="E2" t="s">
        <v>5</v>
      </c>
      <c r="G2" s="2">
        <v>1.4999999999999999E-2</v>
      </c>
      <c r="H2" t="s">
        <v>5</v>
      </c>
    </row>
    <row r="3" spans="1:8" x14ac:dyDescent="0.25">
      <c r="A3" s="3">
        <f>A1*(1-A2)</f>
        <v>1261000</v>
      </c>
      <c r="B3" t="s">
        <v>4</v>
      </c>
      <c r="D3" s="3">
        <f>D1*(1-D2)</f>
        <v>1209000</v>
      </c>
      <c r="E3" t="s">
        <v>4</v>
      </c>
      <c r="G3" s="3">
        <f>G1*(1-G2)</f>
        <v>1280500</v>
      </c>
      <c r="H3" t="s">
        <v>4</v>
      </c>
    </row>
    <row r="4" spans="1:8" x14ac:dyDescent="0.25">
      <c r="A4">
        <v>8</v>
      </c>
      <c r="B4" t="s">
        <v>0</v>
      </c>
      <c r="D4">
        <v>7</v>
      </c>
      <c r="E4" t="s">
        <v>0</v>
      </c>
      <c r="G4">
        <v>8</v>
      </c>
      <c r="H4" t="s">
        <v>0</v>
      </c>
    </row>
    <row r="5" spans="1:8" x14ac:dyDescent="0.25">
      <c r="A5" s="1">
        <f>A3/A4</f>
        <v>157625</v>
      </c>
      <c r="B5" t="s">
        <v>1</v>
      </c>
      <c r="D5" s="1">
        <f>D3/D4</f>
        <v>172714.28571428571</v>
      </c>
      <c r="E5" t="s">
        <v>1</v>
      </c>
      <c r="G5" s="1">
        <f>G3/G4</f>
        <v>160062.5</v>
      </c>
      <c r="H5" t="s">
        <v>1</v>
      </c>
    </row>
    <row r="6" spans="1:8" x14ac:dyDescent="0.25">
      <c r="A6" s="4">
        <v>0.17519999999999999</v>
      </c>
      <c r="B6" t="s">
        <v>2</v>
      </c>
      <c r="D6" s="2">
        <v>0.12</v>
      </c>
      <c r="E6" t="s">
        <v>2</v>
      </c>
      <c r="G6" s="2">
        <v>0.17</v>
      </c>
      <c r="H6" t="s">
        <v>2</v>
      </c>
    </row>
    <row r="7" spans="1:8" x14ac:dyDescent="0.25">
      <c r="A7" s="3">
        <f>A5*(1-A6)</f>
        <v>130009.09999999999</v>
      </c>
      <c r="B7" t="s">
        <v>6</v>
      </c>
      <c r="D7" s="3">
        <f>D5*(1-D6)</f>
        <v>151988.57142857142</v>
      </c>
      <c r="E7" t="s">
        <v>6</v>
      </c>
      <c r="G7" s="3">
        <f>G5*(1-G6)</f>
        <v>132851.875</v>
      </c>
      <c r="H7" t="s">
        <v>6</v>
      </c>
    </row>
    <row r="9" spans="1:8" x14ac:dyDescent="0.25">
      <c r="A9" s="2">
        <v>0.55000000000000004</v>
      </c>
      <c r="B9" t="s">
        <v>7</v>
      </c>
    </row>
    <row r="10" spans="1:8" x14ac:dyDescent="0.25">
      <c r="A10" s="2">
        <v>0.28000000000000003</v>
      </c>
      <c r="B10" t="s">
        <v>8</v>
      </c>
    </row>
    <row r="12" spans="1:8" x14ac:dyDescent="0.25">
      <c r="A12" s="4">
        <v>4.1000000000000002E-2</v>
      </c>
      <c r="B12" t="s">
        <v>8</v>
      </c>
    </row>
    <row r="13" spans="1:8" x14ac:dyDescent="0.25">
      <c r="A13" s="4">
        <v>3.4500000000000003E-2</v>
      </c>
      <c r="B13" t="s">
        <v>9</v>
      </c>
    </row>
    <row r="14" spans="1:8" x14ac:dyDescent="0.25">
      <c r="A14" s="4"/>
    </row>
    <row r="15" spans="1:8" x14ac:dyDescent="0.25">
      <c r="A15" s="4" t="s">
        <v>31</v>
      </c>
      <c r="B15">
        <v>12</v>
      </c>
      <c r="C15" t="s">
        <v>11</v>
      </c>
    </row>
    <row r="16" spans="1:8" x14ac:dyDescent="0.25">
      <c r="B16" s="34">
        <f>B15*A7</f>
        <v>1560109.2</v>
      </c>
      <c r="C16" t="s">
        <v>10</v>
      </c>
    </row>
    <row r="18" spans="1:7" ht="45" x14ac:dyDescent="0.25">
      <c r="A18" s="13" t="s">
        <v>18</v>
      </c>
      <c r="B18" s="14" t="s">
        <v>13</v>
      </c>
      <c r="C18" s="15" t="s">
        <v>17</v>
      </c>
      <c r="D18" s="16" t="s">
        <v>16</v>
      </c>
    </row>
    <row r="19" spans="1:7" x14ac:dyDescent="0.25">
      <c r="A19" s="6" t="s">
        <v>12</v>
      </c>
      <c r="B19" s="17">
        <f>A1*A12</f>
        <v>53300</v>
      </c>
      <c r="C19" s="18">
        <v>5.5467190048837516</v>
      </c>
      <c r="D19" s="17">
        <f>C19*B19</f>
        <v>295640.12296030397</v>
      </c>
    </row>
    <row r="20" spans="1:7" x14ac:dyDescent="0.25">
      <c r="A20" s="6" t="s">
        <v>14</v>
      </c>
      <c r="B20" s="17">
        <f>A1*A13</f>
        <v>44850.000000000007</v>
      </c>
      <c r="C20" s="18">
        <v>9.8876295304449471</v>
      </c>
      <c r="D20" s="17">
        <f>C20*B20</f>
        <v>443460.18444045592</v>
      </c>
    </row>
    <row r="21" spans="1:7" x14ac:dyDescent="0.25">
      <c r="A21" s="19" t="s">
        <v>15</v>
      </c>
      <c r="B21" s="20"/>
      <c r="C21" s="21"/>
      <c r="D21" s="22">
        <f>SUM(D19:D20)</f>
        <v>739100.30740075989</v>
      </c>
      <c r="E21" s="3">
        <f>B16-D21</f>
        <v>821008.89259924006</v>
      </c>
    </row>
    <row r="22" spans="1:7" x14ac:dyDescent="0.25">
      <c r="D22" s="3"/>
    </row>
    <row r="23" spans="1:7" x14ac:dyDescent="0.25">
      <c r="D23" s="3"/>
    </row>
    <row r="24" spans="1:7" ht="45" x14ac:dyDescent="0.25">
      <c r="A24" s="16" t="s">
        <v>19</v>
      </c>
      <c r="B24" s="14" t="s">
        <v>13</v>
      </c>
      <c r="C24" s="15" t="s">
        <v>17</v>
      </c>
      <c r="D24" s="16" t="s">
        <v>16</v>
      </c>
    </row>
    <row r="25" spans="1:7" x14ac:dyDescent="0.25">
      <c r="A25" s="24" t="s">
        <v>20</v>
      </c>
      <c r="B25" s="17">
        <f>A9*A7</f>
        <v>71505.005000000005</v>
      </c>
      <c r="D25" s="24"/>
    </row>
    <row r="26" spans="1:7" x14ac:dyDescent="0.25">
      <c r="A26" s="24" t="s">
        <v>21</v>
      </c>
      <c r="B26" s="17">
        <f>A10*A7</f>
        <v>36402.548000000003</v>
      </c>
      <c r="C26" s="18">
        <v>5.5467190048837516</v>
      </c>
      <c r="D26" s="17">
        <f>C26*B26</f>
        <v>201914.70481779301</v>
      </c>
    </row>
    <row r="27" spans="1:7" x14ac:dyDescent="0.25">
      <c r="A27" s="24" t="s">
        <v>22</v>
      </c>
      <c r="B27" s="17">
        <v>35102</v>
      </c>
      <c r="C27" s="18">
        <v>9.8876295304449471</v>
      </c>
      <c r="D27" s="17">
        <f>C27*B27</f>
        <v>347075.57177767856</v>
      </c>
    </row>
    <row r="28" spans="1:7" x14ac:dyDescent="0.25">
      <c r="A28" s="25" t="s">
        <v>15</v>
      </c>
      <c r="B28" s="20"/>
      <c r="C28" s="21"/>
      <c r="D28" s="22">
        <f>SUM(D26:D27)</f>
        <v>548990.27659547154</v>
      </c>
    </row>
    <row r="30" spans="1:7" x14ac:dyDescent="0.25">
      <c r="G30" s="5"/>
    </row>
    <row r="31" spans="1:7" ht="45" x14ac:dyDescent="0.25">
      <c r="A31" s="13" t="s">
        <v>23</v>
      </c>
      <c r="B31" s="16" t="s">
        <v>27</v>
      </c>
      <c r="C31" s="16" t="s">
        <v>28</v>
      </c>
      <c r="D31" s="15" t="s">
        <v>29</v>
      </c>
      <c r="E31" s="16" t="s">
        <v>30</v>
      </c>
      <c r="F31" s="32" t="s">
        <v>26</v>
      </c>
    </row>
    <row r="32" spans="1:7" x14ac:dyDescent="0.25">
      <c r="A32" s="26" t="s">
        <v>8</v>
      </c>
      <c r="B32" s="33">
        <f>B19</f>
        <v>53300</v>
      </c>
      <c r="C32" s="33">
        <f>B26</f>
        <v>36402.548000000003</v>
      </c>
      <c r="D32" s="27">
        <f>C32-B32</f>
        <v>-16897.451999999997</v>
      </c>
      <c r="E32" s="33">
        <f>D32*C26</f>
        <v>-93725.418142510942</v>
      </c>
      <c r="F32" s="28">
        <f>C32/B32</f>
        <v>0.68297463414634152</v>
      </c>
    </row>
    <row r="33" spans="1:6" x14ac:dyDescent="0.25">
      <c r="A33" s="6" t="s">
        <v>24</v>
      </c>
      <c r="B33" s="10">
        <f>B20</f>
        <v>44850.000000000007</v>
      </c>
      <c r="C33" s="10">
        <f>B27</f>
        <v>35102</v>
      </c>
      <c r="D33" s="7">
        <f>C33-B33</f>
        <v>-9748.0000000000073</v>
      </c>
      <c r="E33" s="10">
        <f>D33*C27</f>
        <v>-96384.612662777421</v>
      </c>
      <c r="F33" s="29">
        <f>C33/B33</f>
        <v>0.78265328874024509</v>
      </c>
    </row>
    <row r="34" spans="1:6" x14ac:dyDescent="0.25">
      <c r="A34" s="8" t="s">
        <v>25</v>
      </c>
      <c r="B34" s="12"/>
      <c r="C34" s="11"/>
      <c r="D34" s="30"/>
      <c r="E34" s="12">
        <f>SUM(E32:E33)</f>
        <v>-190110.03080528835</v>
      </c>
      <c r="F34" s="31"/>
    </row>
    <row r="35" spans="1:6" x14ac:dyDescent="0.25">
      <c r="E35" s="5">
        <f>E34/B16</f>
        <v>-0.12185687438115765</v>
      </c>
    </row>
    <row r="36" spans="1:6" ht="45" x14ac:dyDescent="0.25">
      <c r="A36" s="16" t="s">
        <v>23</v>
      </c>
      <c r="B36" s="16" t="s">
        <v>27</v>
      </c>
      <c r="C36" s="16" t="s">
        <v>28</v>
      </c>
      <c r="D36" s="15" t="s">
        <v>29</v>
      </c>
      <c r="E36" s="16" t="s">
        <v>30</v>
      </c>
      <c r="F36" s="32" t="s">
        <v>26</v>
      </c>
    </row>
    <row r="37" spans="1:6" x14ac:dyDescent="0.25">
      <c r="A37" s="39" t="s">
        <v>8</v>
      </c>
      <c r="B37" s="33">
        <f>B32</f>
        <v>53300</v>
      </c>
      <c r="C37" s="35">
        <f>B37*F37</f>
        <v>47970</v>
      </c>
      <c r="D37" s="33">
        <f>C37-B37</f>
        <v>-5330</v>
      </c>
      <c r="E37" s="33">
        <f>D37*C26</f>
        <v>-29564.012296030396</v>
      </c>
      <c r="F37" s="36">
        <v>0.9</v>
      </c>
    </row>
    <row r="38" spans="1:6" x14ac:dyDescent="0.25">
      <c r="A38" s="24" t="s">
        <v>24</v>
      </c>
      <c r="B38" s="10">
        <f>B33</f>
        <v>44850.000000000007</v>
      </c>
      <c r="C38" s="37">
        <f>B38*F38</f>
        <v>40365.000000000007</v>
      </c>
      <c r="D38" s="10">
        <f>C38-B38</f>
        <v>-4485</v>
      </c>
      <c r="E38" s="10">
        <f>D38*C27</f>
        <v>-44346.018444045585</v>
      </c>
      <c r="F38" s="38">
        <v>0.9</v>
      </c>
    </row>
    <row r="39" spans="1:6" x14ac:dyDescent="0.25">
      <c r="A39" s="11" t="s">
        <v>25</v>
      </c>
      <c r="B39" s="11"/>
      <c r="C39" s="9"/>
      <c r="D39" s="11"/>
      <c r="E39" s="12">
        <f>SUM(E37:E38)</f>
        <v>-73910.030740075978</v>
      </c>
      <c r="F39" s="31"/>
    </row>
    <row r="40" spans="1:6" x14ac:dyDescent="0.25">
      <c r="E40" s="23">
        <f>E39/B16</f>
        <v>-4.7374908589780752E-2</v>
      </c>
    </row>
    <row r="41" spans="1:6" x14ac:dyDescent="0.25">
      <c r="E41" s="3">
        <f>E34-E39</f>
        <v>-116200.00006521237</v>
      </c>
    </row>
    <row r="42" spans="1:6" x14ac:dyDescent="0.25">
      <c r="E42" s="23">
        <f>(E34-E39)/E34</f>
        <v>0.61122498151728244</v>
      </c>
    </row>
    <row r="43" spans="1:6" x14ac:dyDescent="0.25">
      <c r="E43" s="23">
        <f>E39/E34</f>
        <v>0.38877501848271756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2026-01-07T12:26:47Z</dcterms:created>
  <dcterms:modified xsi:type="dcterms:W3CDTF">2026-02-08T12:17:01Z</dcterms:modified>
</cp:coreProperties>
</file>