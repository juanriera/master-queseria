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11" documentId="13_ncr:1_{11055F31-17DA-4C5B-9F6F-EDDA202C5C9F}" xr6:coauthVersionLast="47" xr6:coauthVersionMax="47" xr10:uidLastSave="{57A0C5DB-D395-491F-AA83-19FAE829065D}"/>
  <bookViews>
    <workbookView xWindow="-120" yWindow="-120" windowWidth="29040" windowHeight="16440" xr2:uid="{36A48B76-50FA-4C2B-B697-2A79038C0B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2" i="1"/>
  <c r="G11" i="1"/>
  <c r="D15" i="1"/>
  <c r="D14" i="1"/>
  <c r="D12" i="1"/>
  <c r="D11" i="1"/>
  <c r="A15" i="1"/>
  <c r="A14" i="1"/>
  <c r="A11" i="1"/>
  <c r="A16" i="1"/>
  <c r="B31" i="1"/>
  <c r="A17" i="1"/>
  <c r="A12" i="1"/>
  <c r="B25" i="1"/>
  <c r="B38" i="1" s="1"/>
  <c r="B43" i="1" s="1"/>
  <c r="C43" i="1" s="1"/>
  <c r="D43" i="1" s="1"/>
  <c r="E43" i="1" s="1"/>
  <c r="B24" i="1"/>
  <c r="B37" i="1"/>
  <c r="B42" i="1" s="1"/>
  <c r="C42" i="1" s="1"/>
  <c r="D42" i="1" s="1"/>
  <c r="E42" i="1" s="1"/>
  <c r="E44" i="1" s="1"/>
  <c r="G3" i="1"/>
  <c r="G5" i="1" s="1"/>
  <c r="G7" i="1" s="1"/>
  <c r="D3" i="1"/>
  <c r="D5" i="1" s="1"/>
  <c r="D7" i="1" s="1"/>
  <c r="A3" i="1"/>
  <c r="A5" i="1" s="1"/>
  <c r="A7" i="1" s="1"/>
  <c r="B30" i="1" s="1"/>
  <c r="G17" i="1" l="1"/>
  <c r="G16" i="1"/>
  <c r="D17" i="1"/>
  <c r="D16" i="1"/>
  <c r="D25" i="1"/>
  <c r="D24" i="1"/>
  <c r="C37" i="1" l="1"/>
  <c r="B32" i="1"/>
  <c r="D26" i="1"/>
  <c r="E45" i="1" s="1"/>
  <c r="F37" i="1"/>
  <c r="D37" i="1"/>
  <c r="E37" i="1" s="1"/>
  <c r="D31" i="1"/>
  <c r="D32" i="1" l="1"/>
  <c r="D33" i="1" s="1"/>
  <c r="C38" i="1"/>
  <c r="D38" i="1" l="1"/>
  <c r="E38" i="1" s="1"/>
  <c r="E39" i="1" s="1"/>
  <c r="F38" i="1"/>
  <c r="E40" i="1" l="1"/>
  <c r="E46" i="1"/>
  <c r="E47" i="1"/>
  <c r="E48" i="1"/>
</calcChain>
</file>

<file path=xl/sharedStrings.xml><?xml version="1.0" encoding="utf-8"?>
<sst xmlns="http://schemas.openxmlformats.org/spreadsheetml/2006/main" count="93" uniqueCount="34">
  <si>
    <t>litros/kg</t>
  </si>
  <si>
    <t>kg queso</t>
  </si>
  <si>
    <t>mermas mad</t>
  </si>
  <si>
    <t>L leche comprada</t>
  </si>
  <si>
    <t>L leche a fabricacion</t>
  </si>
  <si>
    <t>pérdidas balance</t>
  </si>
  <si>
    <t>queso expedición</t>
  </si>
  <si>
    <t>EST</t>
  </si>
  <si>
    <t>MG</t>
  </si>
  <si>
    <t>Materia grasa</t>
  </si>
  <si>
    <t>Kg</t>
  </si>
  <si>
    <t>Proteína</t>
  </si>
  <si>
    <t>Total</t>
  </si>
  <si>
    <t>Precio
total
(euros)</t>
  </si>
  <si>
    <t>Precio unitario
(euros/kg)</t>
  </si>
  <si>
    <t>Análisis de la 
leche comprada</t>
  </si>
  <si>
    <t>Análisis del
queso vendido</t>
  </si>
  <si>
    <t>Extracto seco total (EST)</t>
  </si>
  <si>
    <t>Materia grasa (MG)</t>
  </si>
  <si>
    <t>Extracto seco magro (ESM)</t>
  </si>
  <si>
    <t>Balance de materia</t>
  </si>
  <si>
    <t>Balance total</t>
  </si>
  <si>
    <t>% recuperacion materia</t>
  </si>
  <si>
    <t>Comprado
(kg)</t>
  </si>
  <si>
    <t>Vendido
(kg)</t>
  </si>
  <si>
    <t>Pérdidas
(kg)</t>
  </si>
  <si>
    <t>Coste de la pérdida
(euros)</t>
  </si>
  <si>
    <t>salida sal</t>
  </si>
  <si>
    <t>leche</t>
  </si>
  <si>
    <t>MP</t>
  </si>
  <si>
    <t>expedicion y venta</t>
  </si>
  <si>
    <t>ESM</t>
  </si>
  <si>
    <t>HFD</t>
  </si>
  <si>
    <t>MP(ESM)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</si>
</sst>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 ;[Red]\-#,##0\ 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9" fontId="0" fillId="0" borderId="0" xfId="1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0" borderId="11" xfId="0" applyNumberFormat="1" applyBorder="1"/>
    <xf numFmtId="0" fontId="0" fillId="0" borderId="12" xfId="0" applyBorder="1"/>
    <xf numFmtId="164" fontId="0" fillId="0" borderId="12" xfId="0" applyNumberFormat="1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0" xfId="1" applyNumberFormat="1" applyFont="1"/>
    <xf numFmtId="0" fontId="0" fillId="0" borderId="11" xfId="0" applyBorder="1"/>
    <xf numFmtId="0" fontId="0" fillId="0" borderId="1" xfId="0" applyBorder="1"/>
    <xf numFmtId="0" fontId="0" fillId="0" borderId="2" xfId="0" applyBorder="1"/>
    <xf numFmtId="164" fontId="0" fillId="0" borderId="3" xfId="0" applyNumberFormat="1" applyBorder="1"/>
    <xf numFmtId="9" fontId="0" fillId="0" borderId="4" xfId="1" applyFont="1" applyBorder="1"/>
    <xf numFmtId="9" fontId="0" fillId="0" borderId="6" xfId="1" applyFont="1" applyBorder="1"/>
    <xf numFmtId="164" fontId="0" fillId="0" borderId="8" xfId="0" applyNumberFormat="1" applyBorder="1"/>
    <xf numFmtId="0" fontId="0" fillId="0" borderId="9" xfId="0" applyBorder="1"/>
    <xf numFmtId="0" fontId="2" fillId="2" borderId="15" xfId="0" applyFont="1" applyFill="1" applyBorder="1" applyAlignment="1">
      <alignment horizontal="center" vertical="center" wrapText="1"/>
    </xf>
    <xf numFmtId="164" fontId="0" fillId="0" borderId="10" xfId="0" applyNumberFormat="1" applyBorder="1"/>
    <xf numFmtId="9" fontId="0" fillId="0" borderId="4" xfId="0" applyNumberFormat="1" applyBorder="1"/>
    <xf numFmtId="9" fontId="0" fillId="0" borderId="6" xfId="0" applyNumberFormat="1" applyBorder="1"/>
    <xf numFmtId="0" fontId="0" fillId="0" borderId="10" xfId="0" applyBorder="1"/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72DEA1D7-C97A-4143-8268-D29505BC4C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21</xdr:row>
      <xdr:rowOff>152400</xdr:rowOff>
    </xdr:from>
    <xdr:to>
      <xdr:col>12</xdr:col>
      <xdr:colOff>381000</xdr:colOff>
      <xdr:row>25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81F950-CBB9-75FD-AA66-25033939B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2819400"/>
          <a:ext cx="34194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47625</xdr:colOff>
      <xdr:row>33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8D3475-0F8E-88A6-B363-5226710C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5715000"/>
          <a:ext cx="385762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15</xdr:col>
      <xdr:colOff>180975</xdr:colOff>
      <xdr:row>39</xdr:row>
      <xdr:rowOff>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897C3FA-9E6F-D92F-9A4E-5E9E3F36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7429500"/>
          <a:ext cx="55149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15</xdr:col>
      <xdr:colOff>180975</xdr:colOff>
      <xdr:row>44</xdr:row>
      <xdr:rowOff>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501BBE1-7232-A526-80E0-428D49238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8763000"/>
          <a:ext cx="55149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03B8-E965-4443-8C16-957ED6FE43C6}">
  <dimension ref="A1:H48"/>
  <sheetViews>
    <sheetView tabSelected="1" topLeftCell="A19" zoomScaleNormal="100" workbookViewId="0">
      <selection activeCell="N29" sqref="N29"/>
    </sheetView>
  </sheetViews>
  <sheetFormatPr baseColWidth="10" defaultRowHeight="15" x14ac:dyDescent="0.25"/>
  <cols>
    <col min="1" max="1" width="23.42578125" customWidth="1"/>
    <col min="6" max="6" width="13.42578125" customWidth="1"/>
    <col min="7" max="7" width="14.5703125" customWidth="1"/>
  </cols>
  <sheetData>
    <row r="1" spans="1:8" x14ac:dyDescent="0.25">
      <c r="A1" s="3">
        <v>1300000</v>
      </c>
      <c r="B1" t="s">
        <v>3</v>
      </c>
      <c r="D1" s="3">
        <v>1300000</v>
      </c>
      <c r="E1" t="s">
        <v>3</v>
      </c>
      <c r="G1" s="3">
        <v>1300000</v>
      </c>
      <c r="H1" t="s">
        <v>3</v>
      </c>
    </row>
    <row r="2" spans="1:8" x14ac:dyDescent="0.25">
      <c r="A2" s="2">
        <v>0.03</v>
      </c>
      <c r="B2" t="s">
        <v>5</v>
      </c>
      <c r="D2" s="2">
        <v>7.0000000000000007E-2</v>
      </c>
      <c r="E2" t="s">
        <v>5</v>
      </c>
      <c r="G2" s="2">
        <v>1.4999999999999999E-2</v>
      </c>
      <c r="H2" t="s">
        <v>5</v>
      </c>
    </row>
    <row r="3" spans="1:8" x14ac:dyDescent="0.25">
      <c r="A3" s="3">
        <f>A1*(1-A2)</f>
        <v>1261000</v>
      </c>
      <c r="B3" t="s">
        <v>4</v>
      </c>
      <c r="D3" s="3">
        <f>D1*(1-D2)</f>
        <v>1209000</v>
      </c>
      <c r="E3" t="s">
        <v>4</v>
      </c>
      <c r="G3" s="3">
        <f>G1*(1-G2)</f>
        <v>1280500</v>
      </c>
      <c r="H3" t="s">
        <v>4</v>
      </c>
    </row>
    <row r="4" spans="1:8" x14ac:dyDescent="0.25">
      <c r="A4">
        <v>8</v>
      </c>
      <c r="B4" t="s">
        <v>0</v>
      </c>
      <c r="D4">
        <v>7</v>
      </c>
      <c r="E4" t="s">
        <v>0</v>
      </c>
      <c r="G4">
        <v>8</v>
      </c>
      <c r="H4" t="s">
        <v>0</v>
      </c>
    </row>
    <row r="5" spans="1:8" x14ac:dyDescent="0.25">
      <c r="A5" s="1">
        <f>A3/A4</f>
        <v>157625</v>
      </c>
      <c r="B5" t="s">
        <v>1</v>
      </c>
      <c r="D5" s="1">
        <f>D3/D4</f>
        <v>172714.28571428571</v>
      </c>
      <c r="E5" t="s">
        <v>1</v>
      </c>
      <c r="G5" s="1">
        <f>G3/G4</f>
        <v>160062.5</v>
      </c>
      <c r="H5" t="s">
        <v>1</v>
      </c>
    </row>
    <row r="6" spans="1:8" x14ac:dyDescent="0.25">
      <c r="A6" s="4">
        <v>0.17519999999999999</v>
      </c>
      <c r="B6" t="s">
        <v>2</v>
      </c>
      <c r="D6" s="2">
        <v>0.12</v>
      </c>
      <c r="E6" t="s">
        <v>2</v>
      </c>
      <c r="G6" s="2">
        <v>0.17</v>
      </c>
      <c r="H6" t="s">
        <v>2</v>
      </c>
    </row>
    <row r="7" spans="1:8" x14ac:dyDescent="0.25">
      <c r="A7" s="3">
        <f>A5*(1-A6)</f>
        <v>130009.09999999999</v>
      </c>
      <c r="B7" t="s">
        <v>6</v>
      </c>
      <c r="D7" s="3">
        <f>D5*(1-D6)</f>
        <v>151988.57142857142</v>
      </c>
      <c r="E7" t="s">
        <v>6</v>
      </c>
      <c r="G7" s="3">
        <f>G5*(1-G6)</f>
        <v>132851.875</v>
      </c>
      <c r="H7" t="s">
        <v>6</v>
      </c>
    </row>
    <row r="8" spans="1:8" x14ac:dyDescent="0.25">
      <c r="A8" t="s">
        <v>27</v>
      </c>
      <c r="D8" t="s">
        <v>27</v>
      </c>
      <c r="G8" t="s">
        <v>27</v>
      </c>
    </row>
    <row r="9" spans="1:8" x14ac:dyDescent="0.25">
      <c r="A9" s="2">
        <v>0.52</v>
      </c>
      <c r="B9" t="s">
        <v>7</v>
      </c>
      <c r="D9" s="2">
        <v>0.52</v>
      </c>
      <c r="E9" t="s">
        <v>7</v>
      </c>
      <c r="G9" s="2">
        <v>0.52</v>
      </c>
      <c r="H9" t="s">
        <v>7</v>
      </c>
    </row>
    <row r="10" spans="1:8" x14ac:dyDescent="0.25">
      <c r="A10" s="2">
        <v>0.27</v>
      </c>
      <c r="B10" t="s">
        <v>8</v>
      </c>
      <c r="D10" s="2">
        <v>0.27</v>
      </c>
      <c r="E10" t="s">
        <v>8</v>
      </c>
      <c r="G10" s="2">
        <v>0.27</v>
      </c>
      <c r="H10" t="s">
        <v>8</v>
      </c>
    </row>
    <row r="11" spans="1:8" x14ac:dyDescent="0.25">
      <c r="A11" s="2">
        <f>A9-A10</f>
        <v>0.25</v>
      </c>
      <c r="B11" t="s">
        <v>31</v>
      </c>
      <c r="C11" s="2"/>
      <c r="D11" s="2">
        <f>D9-D10</f>
        <v>0.25</v>
      </c>
      <c r="E11" t="s">
        <v>31</v>
      </c>
      <c r="G11" s="2">
        <f>G9-G10</f>
        <v>0.25</v>
      </c>
      <c r="H11" t="s">
        <v>31</v>
      </c>
    </row>
    <row r="12" spans="1:8" x14ac:dyDescent="0.25">
      <c r="A12" s="2">
        <f>(1-A9)/(1-A10)</f>
        <v>0.65753424657534243</v>
      </c>
      <c r="B12" t="s">
        <v>32</v>
      </c>
      <c r="C12" s="2"/>
      <c r="D12" s="2">
        <f>(1-D9)/(1-D10)</f>
        <v>0.65753424657534243</v>
      </c>
      <c r="E12" t="s">
        <v>32</v>
      </c>
      <c r="G12" s="2">
        <f>(1-G9)/(1-G10)</f>
        <v>0.65753424657534243</v>
      </c>
      <c r="H12" t="s">
        <v>32</v>
      </c>
    </row>
    <row r="13" spans="1:8" x14ac:dyDescent="0.25">
      <c r="A13" s="2" t="s">
        <v>30</v>
      </c>
      <c r="D13" s="2" t="s">
        <v>30</v>
      </c>
      <c r="G13" s="2" t="s">
        <v>30</v>
      </c>
    </row>
    <row r="14" spans="1:8" x14ac:dyDescent="0.25">
      <c r="A14" s="2">
        <f>A9/(1-A6)</f>
        <v>0.63045586808923382</v>
      </c>
      <c r="B14" t="s">
        <v>7</v>
      </c>
      <c r="C14" s="4"/>
      <c r="D14" s="2">
        <f>D9/(1-D6)</f>
        <v>0.59090909090909094</v>
      </c>
      <c r="E14" t="s">
        <v>7</v>
      </c>
      <c r="G14" s="2">
        <f>G9/(1-G6)</f>
        <v>0.62650602409638556</v>
      </c>
      <c r="H14" t="s">
        <v>7</v>
      </c>
    </row>
    <row r="15" spans="1:8" x14ac:dyDescent="0.25">
      <c r="A15" s="2">
        <f>A10/(1-A6)</f>
        <v>0.32735208535402527</v>
      </c>
      <c r="B15" t="s">
        <v>8</v>
      </c>
      <c r="C15" s="4"/>
      <c r="D15" s="2">
        <f>D10/(1-D6)</f>
        <v>0.30681818181818182</v>
      </c>
      <c r="E15" t="s">
        <v>8</v>
      </c>
      <c r="G15" s="2">
        <f>G10/(1-G6)</f>
        <v>0.32530120481927716</v>
      </c>
      <c r="H15" t="s">
        <v>8</v>
      </c>
    </row>
    <row r="16" spans="1:8" x14ac:dyDescent="0.25">
      <c r="A16" s="2">
        <f>A14-A15</f>
        <v>0.30310378273520855</v>
      </c>
      <c r="B16" t="s">
        <v>31</v>
      </c>
      <c r="C16" s="2"/>
      <c r="D16" s="2">
        <f>D14-D15</f>
        <v>0.28409090909090912</v>
      </c>
      <c r="E16" t="s">
        <v>31</v>
      </c>
      <c r="G16" s="2">
        <f>G14-G15</f>
        <v>0.3012048192771084</v>
      </c>
      <c r="H16" t="s">
        <v>31</v>
      </c>
    </row>
    <row r="17" spans="1:8" x14ac:dyDescent="0.25">
      <c r="A17" s="2">
        <f>(1-A14)/(1-A15)</f>
        <v>0.54938716654650321</v>
      </c>
      <c r="B17" t="s">
        <v>32</v>
      </c>
      <c r="C17" s="2"/>
      <c r="D17" s="2">
        <f>(1-D14)/(1-D15)</f>
        <v>0.5901639344262295</v>
      </c>
      <c r="E17" t="s">
        <v>32</v>
      </c>
      <c r="G17" s="2">
        <f>(1-G14)/(1-G15)</f>
        <v>0.5535714285714286</v>
      </c>
      <c r="H17" t="s">
        <v>32</v>
      </c>
    </row>
    <row r="18" spans="1:8" x14ac:dyDescent="0.25">
      <c r="A18" s="2" t="s">
        <v>28</v>
      </c>
      <c r="D18" s="2" t="s">
        <v>28</v>
      </c>
      <c r="G18" s="2" t="s">
        <v>28</v>
      </c>
    </row>
    <row r="19" spans="1:8" x14ac:dyDescent="0.25">
      <c r="A19">
        <v>4.0999999999999996</v>
      </c>
      <c r="B19" s="2" t="s">
        <v>8</v>
      </c>
      <c r="D19">
        <v>4.0999999999999996</v>
      </c>
      <c r="E19" s="2" t="s">
        <v>8</v>
      </c>
      <c r="G19">
        <v>4.0999999999999996</v>
      </c>
      <c r="H19" s="2" t="s">
        <v>8</v>
      </c>
    </row>
    <row r="20" spans="1:8" x14ac:dyDescent="0.25">
      <c r="A20">
        <v>3.45</v>
      </c>
      <c r="B20" s="2" t="s">
        <v>29</v>
      </c>
      <c r="D20">
        <v>3.45</v>
      </c>
      <c r="E20" s="2" t="s">
        <v>29</v>
      </c>
      <c r="G20">
        <v>3.45</v>
      </c>
      <c r="H20" s="2" t="s">
        <v>29</v>
      </c>
    </row>
    <row r="21" spans="1:8" x14ac:dyDescent="0.25">
      <c r="A21" s="2"/>
    </row>
    <row r="23" spans="1:8" ht="45" x14ac:dyDescent="0.25">
      <c r="A23" s="12" t="s">
        <v>15</v>
      </c>
      <c r="B23" s="13" t="s">
        <v>10</v>
      </c>
      <c r="C23" s="14" t="s">
        <v>14</v>
      </c>
      <c r="D23" s="15" t="s">
        <v>13</v>
      </c>
    </row>
    <row r="24" spans="1:8" x14ac:dyDescent="0.25">
      <c r="A24" s="6" t="s">
        <v>9</v>
      </c>
      <c r="B24" s="16">
        <f>A1*A19/100</f>
        <v>53300</v>
      </c>
      <c r="C24" s="17">
        <v>5.5467190048837516</v>
      </c>
      <c r="D24" s="16">
        <f>C24*B24</f>
        <v>295640.12296030397</v>
      </c>
    </row>
    <row r="25" spans="1:8" x14ac:dyDescent="0.25">
      <c r="A25" s="6" t="s">
        <v>11</v>
      </c>
      <c r="B25" s="16">
        <f>A1*A20/100</f>
        <v>44850</v>
      </c>
      <c r="C25" s="17">
        <v>9.8876295304449471</v>
      </c>
      <c r="D25" s="16">
        <f>C25*B25</f>
        <v>443460.18444045587</v>
      </c>
    </row>
    <row r="26" spans="1:8" x14ac:dyDescent="0.25">
      <c r="A26" s="18" t="s">
        <v>12</v>
      </c>
      <c r="B26" s="19"/>
      <c r="C26" s="20"/>
      <c r="D26" s="21">
        <f>SUM(D24:D25)</f>
        <v>739100.30740075978</v>
      </c>
      <c r="E26" s="3"/>
    </row>
    <row r="27" spans="1:8" x14ac:dyDescent="0.25">
      <c r="D27" s="3"/>
    </row>
    <row r="28" spans="1:8" x14ac:dyDescent="0.25">
      <c r="D28" s="3"/>
    </row>
    <row r="29" spans="1:8" ht="45" x14ac:dyDescent="0.25">
      <c r="A29" s="15" t="s">
        <v>16</v>
      </c>
      <c r="B29" s="13" t="s">
        <v>10</v>
      </c>
      <c r="C29" s="14" t="s">
        <v>14</v>
      </c>
      <c r="D29" s="15" t="s">
        <v>13</v>
      </c>
    </row>
    <row r="30" spans="1:8" x14ac:dyDescent="0.25">
      <c r="A30" s="23" t="s">
        <v>17</v>
      </c>
      <c r="B30" s="16">
        <f>A14*A7</f>
        <v>81965</v>
      </c>
      <c r="D30" s="23"/>
    </row>
    <row r="31" spans="1:8" x14ac:dyDescent="0.25">
      <c r="A31" s="23" t="s">
        <v>18</v>
      </c>
      <c r="B31" s="16">
        <f>A15*A7</f>
        <v>42558.750000000007</v>
      </c>
      <c r="C31" s="17">
        <v>5.5467190048837516</v>
      </c>
      <c r="D31" s="16">
        <f>C31*B31</f>
        <v>236061.4274490964</v>
      </c>
    </row>
    <row r="32" spans="1:8" x14ac:dyDescent="0.25">
      <c r="A32" s="23" t="s">
        <v>19</v>
      </c>
      <c r="B32" s="16">
        <f>B30-B31</f>
        <v>39406.249999999993</v>
      </c>
      <c r="C32" s="17">
        <v>9.8876295304449471</v>
      </c>
      <c r="D32" s="16">
        <f>C32*B32</f>
        <v>389634.40118409612</v>
      </c>
      <c r="E32" s="22"/>
    </row>
    <row r="33" spans="1:7" x14ac:dyDescent="0.25">
      <c r="A33" s="24" t="s">
        <v>12</v>
      </c>
      <c r="B33" s="19"/>
      <c r="C33" s="20"/>
      <c r="D33" s="21">
        <f>SUM(D31:D32)</f>
        <v>625695.82863319246</v>
      </c>
    </row>
    <row r="35" spans="1:7" x14ac:dyDescent="0.25">
      <c r="G35" s="5"/>
    </row>
    <row r="36" spans="1:7" ht="45" x14ac:dyDescent="0.25">
      <c r="A36" s="12" t="s">
        <v>20</v>
      </c>
      <c r="B36" s="15" t="s">
        <v>23</v>
      </c>
      <c r="C36" s="15" t="s">
        <v>24</v>
      </c>
      <c r="D36" s="14" t="s">
        <v>25</v>
      </c>
      <c r="E36" s="15" t="s">
        <v>26</v>
      </c>
      <c r="F36" s="31" t="s">
        <v>22</v>
      </c>
    </row>
    <row r="37" spans="1:7" x14ac:dyDescent="0.25">
      <c r="A37" s="25" t="s">
        <v>8</v>
      </c>
      <c r="B37" s="32">
        <f>B24</f>
        <v>53300</v>
      </c>
      <c r="C37" s="32">
        <f>B31</f>
        <v>42558.750000000007</v>
      </c>
      <c r="D37" s="26">
        <f>C37-B37</f>
        <v>-10741.249999999993</v>
      </c>
      <c r="E37" s="32">
        <f>D37*C31</f>
        <v>-59578.695511207559</v>
      </c>
      <c r="F37" s="27">
        <f>C37/B37</f>
        <v>0.79847560975609766</v>
      </c>
    </row>
    <row r="38" spans="1:7" x14ac:dyDescent="0.25">
      <c r="A38" s="6" t="s">
        <v>33</v>
      </c>
      <c r="B38" s="9">
        <f>B25</f>
        <v>44850</v>
      </c>
      <c r="C38" s="9">
        <f>B32</f>
        <v>39406.249999999993</v>
      </c>
      <c r="D38" s="3">
        <f>C38-B38</f>
        <v>-5443.7500000000073</v>
      </c>
      <c r="E38" s="9">
        <f>D38*C32</f>
        <v>-53825.783256359755</v>
      </c>
      <c r="F38" s="28">
        <f>C38/B38</f>
        <v>0.8786231884057969</v>
      </c>
    </row>
    <row r="39" spans="1:7" x14ac:dyDescent="0.25">
      <c r="A39" s="7" t="s">
        <v>21</v>
      </c>
      <c r="B39" s="11"/>
      <c r="C39" s="10"/>
      <c r="D39" s="29"/>
      <c r="E39" s="11">
        <f>SUM(E37:E38)</f>
        <v>-113404.47876756731</v>
      </c>
      <c r="F39" s="30"/>
    </row>
    <row r="40" spans="1:7" x14ac:dyDescent="0.25">
      <c r="E40" s="5">
        <f>E39/D26</f>
        <v>-0.15343584305408278</v>
      </c>
    </row>
    <row r="41" spans="1:7" ht="45" x14ac:dyDescent="0.25">
      <c r="A41" s="15" t="s">
        <v>20</v>
      </c>
      <c r="B41" s="15" t="s">
        <v>23</v>
      </c>
      <c r="C41" s="15" t="s">
        <v>24</v>
      </c>
      <c r="D41" s="14" t="s">
        <v>25</v>
      </c>
      <c r="E41" s="15" t="s">
        <v>26</v>
      </c>
      <c r="F41" s="31" t="s">
        <v>22</v>
      </c>
    </row>
    <row r="42" spans="1:7" x14ac:dyDescent="0.25">
      <c r="A42" s="35" t="s">
        <v>8</v>
      </c>
      <c r="B42" s="32">
        <f>B37</f>
        <v>53300</v>
      </c>
      <c r="C42" s="32">
        <f>B42*F42</f>
        <v>47970</v>
      </c>
      <c r="D42" s="32">
        <f>C42-B42</f>
        <v>-5330</v>
      </c>
      <c r="E42" s="32">
        <f>D42*C31</f>
        <v>-29564.012296030396</v>
      </c>
      <c r="F42" s="33">
        <v>0.9</v>
      </c>
    </row>
    <row r="43" spans="1:7" x14ac:dyDescent="0.25">
      <c r="A43" s="23" t="s">
        <v>33</v>
      </c>
      <c r="B43" s="9">
        <f>B38</f>
        <v>44850</v>
      </c>
      <c r="C43" s="9">
        <f>B43*F43</f>
        <v>40365</v>
      </c>
      <c r="D43" s="9">
        <f>C43-B43</f>
        <v>-4485</v>
      </c>
      <c r="E43" s="9">
        <f>D43*C32</f>
        <v>-44346.018444045585</v>
      </c>
      <c r="F43" s="34">
        <v>0.9</v>
      </c>
    </row>
    <row r="44" spans="1:7" x14ac:dyDescent="0.25">
      <c r="A44" s="10" t="s">
        <v>21</v>
      </c>
      <c r="B44" s="10"/>
      <c r="C44" s="8"/>
      <c r="D44" s="10"/>
      <c r="E44" s="11">
        <f>SUM(E42:E43)</f>
        <v>-73910.030740075978</v>
      </c>
      <c r="F44" s="30"/>
    </row>
    <row r="45" spans="1:7" x14ac:dyDescent="0.25">
      <c r="E45" s="22">
        <f>E44/D26</f>
        <v>-0.1</v>
      </c>
    </row>
    <row r="46" spans="1:7" x14ac:dyDescent="0.25">
      <c r="E46" s="3">
        <f>E39-E44</f>
        <v>-39494.448027491337</v>
      </c>
    </row>
    <row r="47" spans="1:7" x14ac:dyDescent="0.25">
      <c r="E47" s="22">
        <f>(E39-E44)/E39</f>
        <v>0.34826180109199006</v>
      </c>
    </row>
    <row r="48" spans="1:7" x14ac:dyDescent="0.25">
      <c r="E48" s="22">
        <f>E44/E39</f>
        <v>0.65173819890800999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2026-01-07T12:26:47Z</dcterms:created>
  <dcterms:modified xsi:type="dcterms:W3CDTF">2026-02-19T12:23:58Z</dcterms:modified>
</cp:coreProperties>
</file>