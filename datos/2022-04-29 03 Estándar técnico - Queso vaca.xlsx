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333" documentId="8_{58FA9201-9A4B-4116-88FF-C37DC395546E}" xr6:coauthVersionLast="47" xr6:coauthVersionMax="47" xr10:uidLastSave="{D91FACC7-2602-4E3D-80BA-63073BB6529C}"/>
  <bookViews>
    <workbookView xWindow="-120" yWindow="-120" windowWidth="29040" windowHeight="16440" tabRatio="675" activeTab="2" xr2:uid="{6977E7F1-D64B-47FE-B2A7-D4E9B0399E18}"/>
  </bookViews>
  <sheets>
    <sheet name="Datos de partida" sheetId="8" r:id="rId1"/>
    <sheet name="Ejemplo" sheetId="14" r:id="rId2"/>
    <sheet name="Ejemplo coef G como ESM y no MP" sheetId="1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hidden="1">{#N/A,#N/A,FALSE,"RIEP"}</definedName>
    <definedName name="aaaaaaaaaaaaaaaa" hidden="1">{#N/A,#N/A,FALSE,"RIEP"}</definedName>
    <definedName name="AASAS" hidden="1">{"QQQ",#N/A,FALSE,"RIEP"}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hidden="1">{"SPM1",#N/A,FALSE,"RIEP"}</definedName>
    <definedName name="ASD" hidden="1">{"QQQ",#N/A,FALSE,"RIEP"}</definedName>
    <definedName name="ASDF" hidden="1">{#N/A,#N/A,FALSE,"RIEP"}</definedName>
    <definedName name="asdfas" hidden="1">{#N/A,#N/A,FALSE,"RIEP"}</definedName>
    <definedName name="aùsw" hidden="1">{"SPM1",#N/A,FALSE,"RIEP"}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hidden="1">{"SPM1",#N/A,FALSE,"RIEP"}</definedName>
    <definedName name="byubtyuj" hidden="1">{"QQQ",#N/A,FALSE,"RIEP"}</definedName>
    <definedName name="byukkty" hidden="1">{#N/A,#N/A,FALSE,"RIEP"}</definedName>
    <definedName name="byuku" hidden="1">{#N/A,#N/A,FALSE,"RIEP"}</definedName>
    <definedName name="č" hidden="1">{"'domaće količine'!$K$34:$P$47"}</definedName>
    <definedName name="cc" hidden="1">{#N/A,#N/A,FALSE,"RIEP"}</definedName>
    <definedName name="ccc" hidden="1">{"SPM1",#N/A,FALSE,"RIEP"}</definedName>
    <definedName name="cccc" hidden="1">{"SPM1",#N/A,FALSE,"RIEP"}</definedName>
    <definedName name="CCSFDFRDF" hidden="1">{"SPM1",#N/A,FALSE,"RIEP"}</definedName>
    <definedName name="cdf" hidden="1">{"SPM1",#N/A,FALSE,"RIEP"}</definedName>
    <definedName name="CDVF" hidden="1">{"SPM1",#N/A,FALSE,"RIEP"}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hidden="1">{#N/A,#N/A,FALSE,"RIEP"}</definedName>
    <definedName name="DAFreofè0eirfh" hidden="1">{"SPM1",#N/A,FALSE,"RIEP"}</definedName>
    <definedName name="dd">#REF!</definedName>
    <definedName name="DDD" hidden="1">{#N/A,#N/A,TRUE,"EC COMM-t";#N/A,#N/A,TRUE,"EC PAR PDTS-t";#N/A,#N/A,TRUE,"EC MAT-t";#N/A,#N/A,TRUE,"SUIVI HAUSSES-t"}</definedName>
    <definedName name="DDDDD" hidden="1">{"SPM1",#N/A,FALSE,"RIEP"}</definedName>
    <definedName name="ddddddd" hidden="1">{#N/A,#N/A,FALSE,"RIEP"}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hidden="1">{"SPM1",#N/A,FALSE,"RIEP"}</definedName>
    <definedName name="DFda" hidden="1">{#N/A,#N/A,FALSE,"RIEP"}</definedName>
    <definedName name="DFRSFG" hidden="1">{"SPM1",#N/A,FALSE,"RIEP"}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hidden="1">{"'domaće količine'!$K$34:$P$47"}</definedName>
    <definedName name="draganć" hidden="1">{"'domaće količine'!$K$34:$P$47"}</definedName>
    <definedName name="DSFSDGFG" hidden="1">{"SPM1",#N/A,FALSE,"RIEP"}</definedName>
    <definedName name="dthrrr" hidden="1">{"SPM1",#N/A,FALSE,"RIEP"}</definedName>
    <definedName name="ECA" hidden="1">{#N/A,#N/A,FALSE,"ANALYSE";#N/A,#N/A,FALSE,"PM VALEUR"}</definedName>
    <definedName name="ECARTBM" hidden="1">{"DETAIL",#N/A,FALSE,"REELBUDGET";"TOTAL",#N/A,FALSE,"REELBUDGET"}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hidden="1">{"QQQ",#N/A,FALSE,"RIEP"}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hidden="1">{"'domaće količine'!$K$34:$P$47"}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hidden="1">{#N/A,#N/A,FALSE,"RIEP"}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hidden="1">{"QQQ",#N/A,FALSE,"RIEP"}</definedName>
    <definedName name="fg" hidden="1">{#N/A,#N/A,FALSE,"RIEP"}</definedName>
    <definedName name="fgffg" hidden="1">{#N/A,#N/A,FALSE,"RIEP"}</definedName>
    <definedName name="FSDG" hidden="1">{#N/A,#N/A,FALSE,"RIEP"}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hidden="1">{#N/A,#N/A,FALSE,"RIEP"}</definedName>
    <definedName name="GG" hidden="1">[7]ACTIVITE!#REF!</definedName>
    <definedName name="GGGG" hidden="1">{"SPM1",#N/A,FALSE,"RIEP"}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hidden="1">{"QQQ",#N/A,FALSE,"RIEP"}</definedName>
    <definedName name="GHJ" hidden="1">{"SPM1",#N/A,FALSE,"RIEP"}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hidden="1">{"SPM1",#N/A,FALSE,"RIEP"}</definedName>
    <definedName name="hfderfPOURE" hidden="1">{#N/A,#N/A,FALSE,"RIEP"}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hidden="1">{"QQQ",#N/A,FALSE,"RIEP"}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hidden="1">{"QQQ",#N/A,FALSE,"RIEP"}</definedName>
    <definedName name="hhhhhhh" hidden="1">{"SPM1",#N/A,FALSE,"RIEP"}</definedName>
    <definedName name="HTML_CodePage" hidden="1">1250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hidden="1">{"'domaće količine'!$K$34:$P$47"}</definedName>
    <definedName name="j" hidden="1">{"SPM1",#N/A,FALSE,"RIEP"}</definedName>
    <definedName name="jcjfjfjjf" hidden="1">{#N/A,#N/A,FALSE,"RIEP"}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hidden="1">{#N/A,#N/A,TRUE,"EC COMM-t";#N/A,#N/A,TRUE,"EC PAR PDTS-t";#N/A,#N/A,TRUE,"EC MAT-t";#N/A,#N/A,TRUE,"SUIVI HAUSSES-t"}</definedName>
    <definedName name="jjfhfh" hidden="1">{"QQQ",#N/A,FALSE,"RIEP"}</definedName>
    <definedName name="jjj" hidden="1">{"SPM1",#N/A,FALSE,"RIEP"}</definedName>
    <definedName name="jjjjj" hidden="1">{"SPM1",#N/A,FALSE,"RIEP"}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hidden="1">{#N/A,#N/A,FALSE,"RIEP"}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hidden="1">{#N/A,#N/A,FALSE,"RIEP"}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hidden="1">{#N/A,#N/A,FALSE,"RIEP"}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hidden="1">{"QQQ",#N/A,FALSE,"RIEP"}</definedName>
    <definedName name="m" hidden="1">{"'domaće količine'!$K$34:$P$47"}</definedName>
    <definedName name="MARTESANA">#REF!</definedName>
    <definedName name="minnii" hidden="1">{"SPM1",#N/A,FALSE,"RIEP"}</definedName>
    <definedName name="MOIS">[8]Grille!$B$3:$C$14</definedName>
    <definedName name="Month_No.">7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hidden="1">{"SPM1",#N/A,FALSE,"RIEP"}</definedName>
    <definedName name="ODRŽ." hidden="1">{"'domaće količine'!$K$34:$P$47"}</definedName>
    <definedName name="òflfgfppfpf" hidden="1">{"SPM1",#N/A,FALSE,"RIEP"}</definedName>
    <definedName name="OIOIIUIUG" hidden="1">{"SPM1",#N/A,FALSE,"RIEP"}</definedName>
    <definedName name="ooo" hidden="1">{"QQQ",#N/A,FALSE,"RIEP"}</definedName>
    <definedName name="oooooo" hidden="1">{#N/A,#N/A,FALSE,"RIEP"}</definedName>
    <definedName name="P_HostName">#REF!</definedName>
    <definedName name="P_ServerName">#REF!</definedName>
    <definedName name="pippo" hidden="1">{#N/A,#N/A,FALSE,"RIEP"}</definedName>
    <definedName name="pluto" hidden="1">{"SPM1",#N/A,FALSE,"RIEP"}</definedName>
    <definedName name="PO" hidden="1">{"QQQ",#N/A,FALSE,"RIEP"}</definedName>
    <definedName name="poùH" hidden="1">{#N/A,#N/A,FALSE,"RIEP"}</definedName>
    <definedName name="ppp" hidden="1">{"QQQ",#N/A,FALSE,"RIEP"}</definedName>
    <definedName name="PROD." hidden="1">{"'domaće količine'!$K$34:$P$47"}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hidden="1">{#N/A,#N/A,FALSE,"RIEP"}</definedName>
    <definedName name="qw" hidden="1">{#N/A,#N/A,FALSE,"RIEP"}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hidden="1">{"SPM1",#N/A,FALSE,"RIEP"}</definedName>
    <definedName name="SDFDSJF" hidden="1">{#N/A,#N/A,FALSE,"RIEP"}</definedName>
    <definedName name="sdsd" hidden="1">{"SPM1",#N/A,FALSE,"RIEP"}</definedName>
    <definedName name="SEDSDS" hidden="1">{#N/A,#N/A,FALSE,"RIEP"}</definedName>
    <definedName name="sencount" hidden="1">1</definedName>
    <definedName name="SSSADADSF" hidden="1">{"SPM1",#N/A,FALSE,"RIEP"}</definedName>
    <definedName name="ssss" hidden="1">#REF!</definedName>
    <definedName name="sssssss" hidden="1">{#N/A,#N/A,FALSE,"RIEP"}</definedName>
    <definedName name="ssssssssssssssssssssssssss" hidden="1">{"QQQ",#N/A,FALSE,"RIEP"}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hidden="1">{#N/A,#N/A,FALSE,"RIEP"}</definedName>
    <definedName name="t" hidden="1">{"QQQ",#N/A,FALSE,"RIEP"}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hidden="1">{#N/A,#N/A,FALSE,"RIEP"}</definedName>
    <definedName name="t7u74u" hidden="1">{"QQQ",#N/A,FALSE,"RIEP"}</definedName>
    <definedName name="t7u75" hidden="1">{"SPM1",#N/A,FALSE,"RIEP"}</definedName>
    <definedName name="t7ur7u" hidden="1">{#N/A,#N/A,FALSE,"RIEP"}</definedName>
    <definedName name="tgfcvds" hidden="1">{#N/A,#N/A,FALSE,"RIEP"}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hidden="1">{#N/A,#N/A,FALSE,"RIEP"}</definedName>
    <definedName name="TM1REBUILDOPTION">0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hidden="1">{"SPM1",#N/A,FALSE,"RIEP"}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hidden="1">{"QQQ",#N/A,FALSE,"RIEP"}</definedName>
    <definedName name="ugkj" hidden="1">{"QQQ",#N/A,FALSE,"RIEP"}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hidden="1">{"QQQ",#N/A,FALSE,"RIEP"}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hidden="1">{#N/A,#N/A,FALSE,"RIEP"}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hidden="1">{"QQQ",#N/A,FALSE,"RIEP"}</definedName>
    <definedName name="vvvvbbbb" hidden="1">{#N/A,#N/A,FALSE,"RIEP"}</definedName>
    <definedName name="vvvvvv" hidden="1">{#N/A,#N/A,FALSE,"RIEP"}</definedName>
    <definedName name="vvvvvvvv" hidden="1">{"SPM1",#N/A,FALSE,"RIEP"}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hidden="1">{"SPM1",#N/A,FALSE,"RIEP"}</definedName>
    <definedName name="wer" hidden="1">{#N/A,#N/A,FALSE,"ANALYSE";#N/A,#N/A,FALSE,"PM VALEUR"}</definedName>
    <definedName name="wetrwrt" hidden="1">{"QQQ",#N/A,FALSE,"RIEP"}</definedName>
    <definedName name="wewe" hidden="1">{"SPM1",#N/A,FALSE,"RIEP"}</definedName>
    <definedName name="wrn.CCC." hidden="1">{"QQQ",#N/A,FALSE,"RIEP"}</definedName>
    <definedName name="wrn.Charges." hidden="1">{"Analyse charges",#N/A,FALSE,"Feuil1 (2)"}</definedName>
    <definedName name="wrn.Charges._.Clécy." hidden="1">{#N/A,#N/A,FALSE,"Evol98";#N/A,#N/A,FALSE,"Saisie98"}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hidden="1">{#N/A,#N/A,FALSE,"EC COMM-c";#N/A,#N/A,FALSE,"EC PAR PDTS-c";#N/A,#N/A,FALSE,"EC MAT-c";#N/A,#N/A,FALSE,"SUIVI HAUSSES-c"}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hidden="1">{#N/A,#N/A,FALSE,"ANALYSE";#N/A,#N/A,FALSE,"PM VALEUR"}</definedName>
    <definedName name="wrn.Impression._.totale." hidden="1">{"Analyse charges",#N/A,FALSE,"Feuil1 (2)";"Ratios activités",#N/A,FALSE,"Feuil1 (2)";"Indicateurs",#N/A,FALSE,"Feuil1 (2)"}</definedName>
    <definedName name="wrn.Indicateurs." hidden="1">{"Indicateurs",#N/A,FALSE,"Feuil1 (2)"}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hidden="1">{"Ratios activités",#N/A,FALSE,"Feuil1 (2)"}</definedName>
    <definedName name="wrn.REELBUD." hidden="1">{"DETAIL",#N/A,FALSE,"REELBUDGET";"TOTAL",#N/A,FALSE,"REELBUDGET"}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hidden="1">{#N/A,#N/A,FALSE,"RIEP"}</definedName>
    <definedName name="wrn.SPM1." hidden="1">{"SPM1",#N/A,FALSE,"RIEP"}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hidden="1">{#N/A,#N/A,TRUE,"EC COMM-t";#N/A,#N/A,TRUE,"EC PAR PDTS-t";#N/A,#N/A,TRUE,"EC MAT-t";#N/A,#N/A,TRUE,"SUIVI HAUSSES-t"}</definedName>
    <definedName name="wrn1.CCC." hidden="1">{"QQQ",#N/A,FALSE,"RIEP"}</definedName>
    <definedName name="wwww" hidden="1">{#N/A,#N/A,FALSE,"RIEP"}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hidden="1">{"QQQ",#N/A,FALSE,"RIEP"}</definedName>
    <definedName name="ybukkbyitkituk" hidden="1">{#N/A,#N/A,FALSE,"RIEP"}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hidden="1">{"QQQ",#N/A,FALSE,"RIEP"}</definedName>
    <definedName name="YY" hidden="1">{#N/A,#N/A,FALSE,"RIEP"}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hidden="1">{#N/A,#N/A,FALSE,"RIEP"}</definedName>
    <definedName name="zzzzzzzzzzzzz" hidden="1">{#N/A,#N/A,FALSE,"RIEP"}</definedName>
    <definedName name="zzzzzzzzzzzzzz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9" i="16" l="1"/>
  <c r="E88" i="16"/>
  <c r="E84" i="16"/>
  <c r="E83" i="16"/>
  <c r="E94" i="16" s="1"/>
  <c r="E76" i="16"/>
  <c r="E59" i="16"/>
  <c r="E53" i="16"/>
  <c r="E54" i="16" s="1"/>
  <c r="E52" i="16"/>
  <c r="E56" i="16" s="1"/>
  <c r="E48" i="16"/>
  <c r="E43" i="16"/>
  <c r="E77" i="16" s="1"/>
  <c r="E35" i="16"/>
  <c r="E81" i="16" s="1"/>
  <c r="E92" i="16" s="1"/>
  <c r="E25" i="16"/>
  <c r="E20" i="16"/>
  <c r="E39" i="16" s="1"/>
  <c r="E19" i="16"/>
  <c r="E80" i="16" s="1"/>
  <c r="E91" i="16" s="1"/>
  <c r="E93" i="16" s="1"/>
  <c r="E18" i="16"/>
  <c r="E11" i="16"/>
  <c r="E8" i="16"/>
  <c r="D89" i="16"/>
  <c r="D88" i="16"/>
  <c r="D97" i="16" s="1"/>
  <c r="D84" i="16"/>
  <c r="D76" i="16"/>
  <c r="D59" i="16"/>
  <c r="D53" i="16"/>
  <c r="D52" i="16"/>
  <c r="D48" i="16"/>
  <c r="D43" i="16"/>
  <c r="D77" i="16" s="1"/>
  <c r="D95" i="16" s="1"/>
  <c r="D35" i="16"/>
  <c r="D81" i="16" s="1"/>
  <c r="D92" i="16" s="1"/>
  <c r="D25" i="16"/>
  <c r="D20" i="16"/>
  <c r="D83" i="16" s="1"/>
  <c r="D94" i="16" s="1"/>
  <c r="D96" i="16" s="1"/>
  <c r="D58" i="16" s="1"/>
  <c r="D19" i="16"/>
  <c r="D80" i="16" s="1"/>
  <c r="D91" i="16" s="1"/>
  <c r="D93" i="16" s="1"/>
  <c r="D18" i="16"/>
  <c r="D11" i="16"/>
  <c r="D8" i="16"/>
  <c r="C89" i="16"/>
  <c r="C88" i="16"/>
  <c r="C84" i="16"/>
  <c r="C76" i="16"/>
  <c r="C59" i="16"/>
  <c r="C53" i="16"/>
  <c r="C52" i="16"/>
  <c r="C56" i="16" s="1"/>
  <c r="C48" i="16"/>
  <c r="C43" i="16"/>
  <c r="C77" i="16" s="1"/>
  <c r="C35" i="16"/>
  <c r="C81" i="16" s="1"/>
  <c r="C92" i="16" s="1"/>
  <c r="C25" i="16"/>
  <c r="C20" i="16"/>
  <c r="C83" i="16" s="1"/>
  <c r="C94" i="16" s="1"/>
  <c r="C19" i="16"/>
  <c r="C80" i="16" s="1"/>
  <c r="C91" i="16" s="1"/>
  <c r="C93" i="16" s="1"/>
  <c r="C18" i="16"/>
  <c r="C11" i="16"/>
  <c r="C8" i="16"/>
  <c r="D56" i="16" l="1"/>
  <c r="D54" i="16"/>
  <c r="D55" i="16" s="1"/>
  <c r="C54" i="16"/>
  <c r="C55" i="16" s="1"/>
  <c r="E86" i="16"/>
  <c r="E66" i="16"/>
  <c r="E78" i="16"/>
  <c r="E95" i="16"/>
  <c r="E106" i="16"/>
  <c r="E13" i="16"/>
  <c r="D66" i="16"/>
  <c r="D86" i="16"/>
  <c r="E96" i="16"/>
  <c r="E58" i="16" s="1"/>
  <c r="D61" i="16"/>
  <c r="E97" i="16"/>
  <c r="D78" i="16"/>
  <c r="D23" i="16"/>
  <c r="E23" i="16"/>
  <c r="E38" i="16"/>
  <c r="D38" i="16"/>
  <c r="D39" i="16"/>
  <c r="E55" i="16"/>
  <c r="C66" i="16"/>
  <c r="C78" i="16"/>
  <c r="C95" i="16"/>
  <c r="C96" i="16" s="1"/>
  <c r="C97" i="16"/>
  <c r="C23" i="16"/>
  <c r="C38" i="16"/>
  <c r="C39" i="16"/>
  <c r="B84" i="16"/>
  <c r="B76" i="16"/>
  <c r="B59" i="16"/>
  <c r="B53" i="16"/>
  <c r="B52" i="16"/>
  <c r="B48" i="16"/>
  <c r="B89" i="16" s="1"/>
  <c r="B43" i="16"/>
  <c r="B77" i="16" s="1"/>
  <c r="B25" i="16"/>
  <c r="B88" i="16" s="1"/>
  <c r="B20" i="16"/>
  <c r="B83" i="16" s="1"/>
  <c r="B19" i="16"/>
  <c r="B80" i="16" s="1"/>
  <c r="B18" i="16"/>
  <c r="B11" i="16"/>
  <c r="B8" i="16"/>
  <c r="B52" i="14"/>
  <c r="H31" i="14"/>
  <c r="I77" i="14"/>
  <c r="I88" i="14" s="1"/>
  <c r="I69" i="14"/>
  <c r="I71" i="14" s="1"/>
  <c r="I52" i="14"/>
  <c r="I46" i="14"/>
  <c r="I45" i="14"/>
  <c r="I49" i="14" s="1"/>
  <c r="I41" i="14"/>
  <c r="I82" i="14" s="1"/>
  <c r="I36" i="14"/>
  <c r="I70" i="14" s="1"/>
  <c r="I25" i="14"/>
  <c r="I19" i="14" s="1"/>
  <c r="I73" i="14" s="1"/>
  <c r="I84" i="14" s="1"/>
  <c r="I18" i="14"/>
  <c r="I11" i="14"/>
  <c r="I8" i="14"/>
  <c r="H77" i="14"/>
  <c r="H69" i="14"/>
  <c r="H52" i="14"/>
  <c r="H46" i="14"/>
  <c r="H45" i="14"/>
  <c r="H41" i="14"/>
  <c r="H82" i="14" s="1"/>
  <c r="H36" i="14"/>
  <c r="H70" i="14" s="1"/>
  <c r="H25" i="14"/>
  <c r="H18" i="14"/>
  <c r="H11" i="14"/>
  <c r="H8" i="14"/>
  <c r="F77" i="14"/>
  <c r="F69" i="14"/>
  <c r="F52" i="14"/>
  <c r="F46" i="14"/>
  <c r="F45" i="14"/>
  <c r="F41" i="14"/>
  <c r="F28" i="14" s="1"/>
  <c r="F74" i="14" s="1"/>
  <c r="F36" i="14"/>
  <c r="F70" i="14" s="1"/>
  <c r="F25" i="14"/>
  <c r="F20" i="14" s="1"/>
  <c r="F76" i="14" s="1"/>
  <c r="F87" i="14" s="1"/>
  <c r="F19" i="14"/>
  <c r="F73" i="14" s="1"/>
  <c r="F84" i="14" s="1"/>
  <c r="F18" i="14"/>
  <c r="F11" i="14"/>
  <c r="F8" i="14"/>
  <c r="E46" i="14"/>
  <c r="E77" i="14"/>
  <c r="E69" i="14"/>
  <c r="E71" i="14" s="1"/>
  <c r="E52" i="14"/>
  <c r="E45" i="14"/>
  <c r="E41" i="14"/>
  <c r="E82" i="14" s="1"/>
  <c r="E36" i="14"/>
  <c r="E70" i="14" s="1"/>
  <c r="E25" i="14"/>
  <c r="E81" i="14" s="1"/>
  <c r="E18" i="14"/>
  <c r="E11" i="14"/>
  <c r="E8" i="14"/>
  <c r="D41" i="14"/>
  <c r="D82" i="14" s="1"/>
  <c r="B41" i="14"/>
  <c r="B82" i="14" s="1"/>
  <c r="B40" i="8"/>
  <c r="B27" i="8" s="1"/>
  <c r="D77" i="14"/>
  <c r="D69" i="14"/>
  <c r="D52" i="14"/>
  <c r="D46" i="14"/>
  <c r="D45" i="14"/>
  <c r="D49" i="14" s="1"/>
  <c r="D36" i="14"/>
  <c r="D70" i="14" s="1"/>
  <c r="D25" i="14"/>
  <c r="D19" i="14" s="1"/>
  <c r="D73" i="14" s="1"/>
  <c r="D84" i="14" s="1"/>
  <c r="D18" i="14"/>
  <c r="D11" i="14"/>
  <c r="D8" i="14"/>
  <c r="B77" i="14"/>
  <c r="B69" i="14"/>
  <c r="B46" i="14"/>
  <c r="B45" i="14"/>
  <c r="B36" i="14"/>
  <c r="B70" i="14" s="1"/>
  <c r="B25" i="14"/>
  <c r="B81" i="14" s="1"/>
  <c r="B18" i="14"/>
  <c r="B11" i="14"/>
  <c r="B8" i="14"/>
  <c r="B35" i="8"/>
  <c r="B69" i="8" s="1"/>
  <c r="B44" i="8"/>
  <c r="B45" i="8"/>
  <c r="B51" i="8"/>
  <c r="B68" i="8"/>
  <c r="B76" i="8"/>
  <c r="B10" i="8"/>
  <c r="D62" i="16" l="1"/>
  <c r="D63" i="16"/>
  <c r="D60" i="16" s="1"/>
  <c r="D74" i="16"/>
  <c r="D68" i="16"/>
  <c r="D12" i="16"/>
  <c r="D105" i="16"/>
  <c r="E105" i="16"/>
  <c r="E12" i="16"/>
  <c r="E61" i="16"/>
  <c r="E62" i="16" s="1"/>
  <c r="E63" i="16" s="1"/>
  <c r="E60" i="16" s="1"/>
  <c r="D67" i="16"/>
  <c r="D106" i="16"/>
  <c r="D13" i="16"/>
  <c r="E67" i="16"/>
  <c r="E64" i="16"/>
  <c r="C58" i="16"/>
  <c r="C86" i="16"/>
  <c r="C106" i="16"/>
  <c r="C13" i="16"/>
  <c r="C105" i="16"/>
  <c r="C12" i="16"/>
  <c r="B56" i="16"/>
  <c r="B39" i="16"/>
  <c r="B54" i="16"/>
  <c r="B55" i="16" s="1"/>
  <c r="B91" i="16"/>
  <c r="B94" i="16"/>
  <c r="B35" i="16"/>
  <c r="B81" i="16" s="1"/>
  <c r="B92" i="16" s="1"/>
  <c r="B95" i="16"/>
  <c r="B96" i="16" s="1"/>
  <c r="B58" i="16" s="1"/>
  <c r="B13" i="16"/>
  <c r="B106" i="16"/>
  <c r="B97" i="16"/>
  <c r="B78" i="16"/>
  <c r="B38" i="16"/>
  <c r="B23" i="16"/>
  <c r="I81" i="14"/>
  <c r="I90" i="14" s="1"/>
  <c r="I20" i="14"/>
  <c r="I76" i="14" s="1"/>
  <c r="I87" i="14" s="1"/>
  <c r="I89" i="14" s="1"/>
  <c r="I51" i="14" s="1"/>
  <c r="I54" i="14" s="1"/>
  <c r="I55" i="14" s="1"/>
  <c r="I56" i="14" s="1"/>
  <c r="I47" i="14"/>
  <c r="I48" i="14" s="1"/>
  <c r="I28" i="14"/>
  <c r="I74" i="14" s="1"/>
  <c r="I85" i="14" s="1"/>
  <c r="I86" i="14" s="1"/>
  <c r="I31" i="14"/>
  <c r="F88" i="14"/>
  <c r="F89" i="14" s="1"/>
  <c r="F51" i="14" s="1"/>
  <c r="F54" i="14" s="1"/>
  <c r="F23" i="14"/>
  <c r="F81" i="14"/>
  <c r="E90" i="14"/>
  <c r="E88" i="14"/>
  <c r="F32" i="14"/>
  <c r="F13" i="14" s="1"/>
  <c r="F49" i="14"/>
  <c r="H88" i="14"/>
  <c r="H81" i="14"/>
  <c r="H90" i="14" s="1"/>
  <c r="H19" i="14"/>
  <c r="H98" i="14" s="1"/>
  <c r="H20" i="14"/>
  <c r="H76" i="14" s="1"/>
  <c r="H87" i="14" s="1"/>
  <c r="H49" i="14"/>
  <c r="H71" i="14"/>
  <c r="H47" i="14"/>
  <c r="H28" i="14"/>
  <c r="H74" i="14" s="1"/>
  <c r="H85" i="14" s="1"/>
  <c r="H48" i="14"/>
  <c r="F85" i="14"/>
  <c r="F86" i="14" s="1"/>
  <c r="F99" i="14"/>
  <c r="F71" i="14"/>
  <c r="F47" i="14"/>
  <c r="F48" i="14" s="1"/>
  <c r="F82" i="14"/>
  <c r="F90" i="14" s="1"/>
  <c r="F31" i="14"/>
  <c r="E49" i="14"/>
  <c r="E19" i="14"/>
  <c r="E73" i="14" s="1"/>
  <c r="E84" i="14" s="1"/>
  <c r="E47" i="14"/>
  <c r="E48" i="14" s="1"/>
  <c r="E28" i="14"/>
  <c r="E74" i="14" s="1"/>
  <c r="E85" i="14" s="1"/>
  <c r="E31" i="14"/>
  <c r="E20" i="14"/>
  <c r="E76" i="14" s="1"/>
  <c r="E87" i="14" s="1"/>
  <c r="E89" i="14" s="1"/>
  <c r="E51" i="14" s="1"/>
  <c r="B88" i="14"/>
  <c r="B71" i="14"/>
  <c r="B49" i="14"/>
  <c r="B90" i="14"/>
  <c r="D71" i="14"/>
  <c r="D88" i="14"/>
  <c r="D20" i="14"/>
  <c r="D76" i="14" s="1"/>
  <c r="D87" i="14" s="1"/>
  <c r="D47" i="14"/>
  <c r="D48" i="14" s="1"/>
  <c r="D28" i="14"/>
  <c r="D74" i="14" s="1"/>
  <c r="D85" i="14" s="1"/>
  <c r="D86" i="14" s="1"/>
  <c r="D31" i="14"/>
  <c r="D81" i="14"/>
  <c r="D90" i="14" s="1"/>
  <c r="B47" i="14"/>
  <c r="B48" i="14" s="1"/>
  <c r="B28" i="14"/>
  <c r="B74" i="14" s="1"/>
  <c r="B85" i="14" s="1"/>
  <c r="B19" i="14"/>
  <c r="B20" i="14"/>
  <c r="B76" i="14" s="1"/>
  <c r="B87" i="14" s="1"/>
  <c r="B73" i="8"/>
  <c r="B84" i="8"/>
  <c r="B70" i="8"/>
  <c r="B46" i="8"/>
  <c r="B47" i="8" s="1"/>
  <c r="B87" i="8"/>
  <c r="B81" i="8"/>
  <c r="B48" i="8"/>
  <c r="B8" i="8"/>
  <c r="B17" i="8"/>
  <c r="B24" i="8"/>
  <c r="B80" i="8" s="1"/>
  <c r="B89" i="8" s="1"/>
  <c r="E68" i="16" l="1"/>
  <c r="E101" i="16" s="1"/>
  <c r="E108" i="16" s="1"/>
  <c r="E65" i="16"/>
  <c r="D64" i="16"/>
  <c r="D102" i="16"/>
  <c r="D69" i="16" s="1"/>
  <c r="D72" i="16" s="1"/>
  <c r="D73" i="16" s="1"/>
  <c r="D100" i="16"/>
  <c r="D107" i="16" s="1"/>
  <c r="E74" i="16"/>
  <c r="E102" i="16"/>
  <c r="E69" i="16" s="1"/>
  <c r="E72" i="16" s="1"/>
  <c r="E73" i="16" s="1"/>
  <c r="E100" i="16"/>
  <c r="E107" i="16" s="1"/>
  <c r="E103" i="16"/>
  <c r="D103" i="16"/>
  <c r="D101" i="16"/>
  <c r="D108" i="16" s="1"/>
  <c r="C61" i="16"/>
  <c r="C62" i="16" s="1"/>
  <c r="C74" i="16" s="1"/>
  <c r="B93" i="16"/>
  <c r="B66" i="16" s="1"/>
  <c r="B61" i="16"/>
  <c r="B62" i="16" s="1"/>
  <c r="B63" i="16" s="1"/>
  <c r="B12" i="16"/>
  <c r="B105" i="16"/>
  <c r="I79" i="14"/>
  <c r="I59" i="14"/>
  <c r="I23" i="14"/>
  <c r="I32" i="14"/>
  <c r="I12" i="14"/>
  <c r="I98" i="14"/>
  <c r="I61" i="14"/>
  <c r="I67" i="14"/>
  <c r="D89" i="14"/>
  <c r="D51" i="14" s="1"/>
  <c r="D54" i="14" s="1"/>
  <c r="D55" i="14" s="1"/>
  <c r="D56" i="14" s="1"/>
  <c r="F55" i="14"/>
  <c r="F56" i="14" s="1"/>
  <c r="F53" i="14" s="1"/>
  <c r="B89" i="14"/>
  <c r="B51" i="14" s="1"/>
  <c r="B54" i="14" s="1"/>
  <c r="B55" i="14" s="1"/>
  <c r="B56" i="14" s="1"/>
  <c r="H89" i="14"/>
  <c r="H51" i="14" s="1"/>
  <c r="H54" i="14" s="1"/>
  <c r="H55" i="14" s="1"/>
  <c r="H12" i="14"/>
  <c r="H73" i="14"/>
  <c r="H84" i="14" s="1"/>
  <c r="H86" i="14" s="1"/>
  <c r="H23" i="14"/>
  <c r="H32" i="14"/>
  <c r="H61" i="14"/>
  <c r="H67" i="14"/>
  <c r="H56" i="14"/>
  <c r="F79" i="14"/>
  <c r="F59" i="14"/>
  <c r="F12" i="14"/>
  <c r="F98" i="14"/>
  <c r="F67" i="14"/>
  <c r="E54" i="14"/>
  <c r="E55" i="14" s="1"/>
  <c r="E56" i="14" s="1"/>
  <c r="E12" i="14"/>
  <c r="E98" i="14"/>
  <c r="E86" i="14"/>
  <c r="E23" i="14"/>
  <c r="E32" i="14"/>
  <c r="D59" i="14"/>
  <c r="D32" i="14"/>
  <c r="D12" i="14"/>
  <c r="D98" i="14"/>
  <c r="D23" i="14"/>
  <c r="B31" i="14"/>
  <c r="B73" i="14"/>
  <c r="B84" i="14" s="1"/>
  <c r="B86" i="14" s="1"/>
  <c r="B23" i="14"/>
  <c r="B32" i="14"/>
  <c r="B18" i="8"/>
  <c r="B72" i="8" s="1"/>
  <c r="B19" i="8"/>
  <c r="B75" i="8" s="1"/>
  <c r="B86" i="8" s="1"/>
  <c r="B88" i="8" s="1"/>
  <c r="B50" i="8" s="1"/>
  <c r="C68" i="16" l="1"/>
  <c r="C103" i="16" s="1"/>
  <c r="E109" i="16"/>
  <c r="D109" i="16"/>
  <c r="D70" i="16"/>
  <c r="D71" i="16" s="1"/>
  <c r="D65" i="16"/>
  <c r="E70" i="16"/>
  <c r="E71" i="16" s="1"/>
  <c r="C101" i="16"/>
  <c r="C108" i="16" s="1"/>
  <c r="C63" i="16"/>
  <c r="C67" i="16"/>
  <c r="B86" i="16"/>
  <c r="B64" i="16"/>
  <c r="B67" i="16"/>
  <c r="B60" i="16"/>
  <c r="B68" i="16"/>
  <c r="B74" i="16"/>
  <c r="I13" i="14"/>
  <c r="I99" i="14"/>
  <c r="I57" i="14"/>
  <c r="I60" i="14"/>
  <c r="I96" i="14"/>
  <c r="I94" i="14"/>
  <c r="I53" i="14"/>
  <c r="D79" i="14"/>
  <c r="F61" i="14"/>
  <c r="F96" i="14" s="1"/>
  <c r="H99" i="14"/>
  <c r="H13" i="14"/>
  <c r="H79" i="14"/>
  <c r="H59" i="14"/>
  <c r="H96" i="14"/>
  <c r="H94" i="14"/>
  <c r="H53" i="14"/>
  <c r="F57" i="14"/>
  <c r="F60" i="14"/>
  <c r="E67" i="14"/>
  <c r="E61" i="14"/>
  <c r="E96" i="14" s="1"/>
  <c r="E13" i="14"/>
  <c r="E99" i="14"/>
  <c r="E79" i="14"/>
  <c r="E59" i="14"/>
  <c r="E53" i="14" s="1"/>
  <c r="D53" i="14"/>
  <c r="D67" i="14"/>
  <c r="D13" i="14"/>
  <c r="D99" i="14"/>
  <c r="D61" i="14"/>
  <c r="D57" i="14"/>
  <c r="D60" i="14"/>
  <c r="B67" i="14"/>
  <c r="B13" i="14"/>
  <c r="B99" i="14"/>
  <c r="B79" i="14"/>
  <c r="B59" i="14"/>
  <c r="B53" i="14" s="1"/>
  <c r="B12" i="14"/>
  <c r="B98" i="14"/>
  <c r="B61" i="14"/>
  <c r="B83" i="8"/>
  <c r="B85" i="8" s="1"/>
  <c r="B53" i="8"/>
  <c r="B54" i="8" s="1"/>
  <c r="B55" i="8" s="1"/>
  <c r="B30" i="8"/>
  <c r="B31" i="8"/>
  <c r="B22" i="8"/>
  <c r="C102" i="16" l="1"/>
  <c r="C69" i="16" s="1"/>
  <c r="C72" i="16" s="1"/>
  <c r="C73" i="16" s="1"/>
  <c r="C100" i="16"/>
  <c r="C107" i="16" s="1"/>
  <c r="C109" i="16" s="1"/>
  <c r="C60" i="16"/>
  <c r="C64" i="16"/>
  <c r="B103" i="16"/>
  <c r="B101" i="16"/>
  <c r="B108" i="16" s="1"/>
  <c r="B102" i="16"/>
  <c r="B69" i="16" s="1"/>
  <c r="B72" i="16" s="1"/>
  <c r="B73" i="16" s="1"/>
  <c r="B100" i="16"/>
  <c r="B107" i="16" s="1"/>
  <c r="B65" i="16"/>
  <c r="I101" i="14"/>
  <c r="I93" i="14"/>
  <c r="I100" i="14" s="1"/>
  <c r="I95" i="14"/>
  <c r="I62" i="14" s="1"/>
  <c r="I65" i="14" s="1"/>
  <c r="I66" i="14" s="1"/>
  <c r="I58" i="14"/>
  <c r="I63" i="14"/>
  <c r="I64" i="14" s="1"/>
  <c r="F94" i="14"/>
  <c r="F101" i="14" s="1"/>
  <c r="H101" i="14"/>
  <c r="H57" i="14"/>
  <c r="H60" i="14"/>
  <c r="F93" i="14"/>
  <c r="F100" i="14" s="1"/>
  <c r="F95" i="14"/>
  <c r="F62" i="14" s="1"/>
  <c r="F65" i="14" s="1"/>
  <c r="F66" i="14" s="1"/>
  <c r="F58" i="14"/>
  <c r="F63" i="14"/>
  <c r="F64" i="14" s="1"/>
  <c r="E94" i="14"/>
  <c r="E101" i="14" s="1"/>
  <c r="E60" i="14"/>
  <c r="E57" i="14"/>
  <c r="D93" i="14"/>
  <c r="D100" i="14" s="1"/>
  <c r="D95" i="14"/>
  <c r="D62" i="14" s="1"/>
  <c r="D65" i="14" s="1"/>
  <c r="D66" i="14" s="1"/>
  <c r="D58" i="14"/>
  <c r="D94" i="14"/>
  <c r="D101" i="14" s="1"/>
  <c r="D96" i="14"/>
  <c r="B94" i="14"/>
  <c r="B101" i="14" s="1"/>
  <c r="B96" i="14"/>
  <c r="B60" i="14"/>
  <c r="B57" i="14"/>
  <c r="B12" i="8"/>
  <c r="B98" i="8"/>
  <c r="B60" i="8"/>
  <c r="B11" i="8"/>
  <c r="B97" i="8"/>
  <c r="B66" i="8"/>
  <c r="B58" i="8"/>
  <c r="B78" i="8"/>
  <c r="C70" i="16" l="1"/>
  <c r="C71" i="16" s="1"/>
  <c r="C65" i="16"/>
  <c r="B70" i="16"/>
  <c r="B71" i="16" s="1"/>
  <c r="B109" i="16"/>
  <c r="I102" i="14"/>
  <c r="F102" i="14"/>
  <c r="H58" i="14"/>
  <c r="H93" i="14"/>
  <c r="H100" i="14" s="1"/>
  <c r="H102" i="14" s="1"/>
  <c r="H95" i="14"/>
  <c r="H62" i="14" s="1"/>
  <c r="H65" i="14" s="1"/>
  <c r="H66" i="14" s="1"/>
  <c r="E58" i="14"/>
  <c r="E93" i="14"/>
  <c r="E100" i="14" s="1"/>
  <c r="E102" i="14" s="1"/>
  <c r="E95" i="14"/>
  <c r="E62" i="14" s="1"/>
  <c r="E65" i="14" s="1"/>
  <c r="E66" i="14" s="1"/>
  <c r="D63" i="14"/>
  <c r="D64" i="14" s="1"/>
  <c r="D102" i="14"/>
  <c r="B58" i="14"/>
  <c r="B93" i="14"/>
  <c r="B100" i="14" s="1"/>
  <c r="B102" i="14" s="1"/>
  <c r="B95" i="14"/>
  <c r="B56" i="8"/>
  <c r="B59" i="8"/>
  <c r="B93" i="8"/>
  <c r="B100" i="8" s="1"/>
  <c r="B95" i="8"/>
  <c r="B52" i="8"/>
  <c r="B62" i="14" l="1"/>
  <c r="B65" i="14" s="1"/>
  <c r="B66" i="14" s="1"/>
  <c r="H63" i="14"/>
  <c r="H64" i="14" s="1"/>
  <c r="E63" i="14"/>
  <c r="E64" i="14" s="1"/>
  <c r="B57" i="8"/>
  <c r="B94" i="8"/>
  <c r="B61" i="8" s="1"/>
  <c r="B64" i="8" s="1"/>
  <c r="B65" i="8" s="1"/>
  <c r="B92" i="8"/>
  <c r="B99" i="8" s="1"/>
  <c r="B101" i="8" s="1"/>
  <c r="B63" i="14" l="1"/>
  <c r="B64" i="14" s="1"/>
  <c r="B62" i="8"/>
  <c r="B63" i="8" s="1"/>
</calcChain>
</file>

<file path=xl/sharedStrings.xml><?xml version="1.0" encoding="utf-8"?>
<sst xmlns="http://schemas.openxmlformats.org/spreadsheetml/2006/main" count="294" uniqueCount="93">
  <si>
    <t>ESM</t>
  </si>
  <si>
    <t>MG</t>
  </si>
  <si>
    <t>MP</t>
  </si>
  <si>
    <t>Total mat prima</t>
  </si>
  <si>
    <t>VALOR MP</t>
  </si>
  <si>
    <t>VALOR MG</t>
  </si>
  <si>
    <t>Precio materia (euros/kg)</t>
  </si>
  <si>
    <t>Consumo materia g/kg queso</t>
  </si>
  <si>
    <t>Densidad Nata de suero</t>
  </si>
  <si>
    <t>Composición leche</t>
  </si>
  <si>
    <t>Receta</t>
  </si>
  <si>
    <t>MG Nata de Suero  (g/L)</t>
  </si>
  <si>
    <t>Leche en cubas</t>
  </si>
  <si>
    <t>MG Nata de suero (g/L)</t>
  </si>
  <si>
    <t>MP Nata de suero (g/L)</t>
  </si>
  <si>
    <t>Ratio MG/MP leche</t>
  </si>
  <si>
    <t>G/ES %</t>
  </si>
  <si>
    <t xml:space="preserve">HFD </t>
  </si>
  <si>
    <t xml:space="preserve">EST % </t>
  </si>
  <si>
    <t>Análisis salida sal</t>
  </si>
  <si>
    <t>MP en cuba (g/L)</t>
  </si>
  <si>
    <t>Densidad Leche</t>
  </si>
  <si>
    <t>MG Leche (g/L)</t>
  </si>
  <si>
    <t>MP Leche  (g/L)</t>
  </si>
  <si>
    <t>MG Origen Leche</t>
  </si>
  <si>
    <t>MP Origen Leche</t>
  </si>
  <si>
    <t>MG Origen Nata Suero</t>
  </si>
  <si>
    <t>MP Origen Nata Suero</t>
  </si>
  <si>
    <t>MG Pérddias brutas suero  (g/L)</t>
  </si>
  <si>
    <t>MG estándar en la mezcla (g/L)</t>
  </si>
  <si>
    <t>MG Pérddas suero neta (%)</t>
  </si>
  <si>
    <t>MG Pérddas suero neta (g/L)</t>
  </si>
  <si>
    <t>MG suero en cuba (g/L)</t>
  </si>
  <si>
    <t>MG STD sin nata de suero (g/L)</t>
  </si>
  <si>
    <t>Consumo MP total leche en cuba</t>
  </si>
  <si>
    <t>Consumo MG total leche en cuba</t>
  </si>
  <si>
    <t>MG Pérddias brutas suero  (%)</t>
  </si>
  <si>
    <t>Ratio recuperación MP (Rendimiento MP %)</t>
  </si>
  <si>
    <t>Litraje unitario</t>
  </si>
  <si>
    <t>MG teórica en la cuba (g/L)</t>
  </si>
  <si>
    <t>Consumo MG (sólo MG comprada) (g/K queso)</t>
  </si>
  <si>
    <t>Consumo MP (sólo MP comprada) (g/K queso)</t>
  </si>
  <si>
    <t>Datos del producto</t>
  </si>
  <si>
    <t>EST a salida de sal (%)</t>
  </si>
  <si>
    <t>MG a saida de sal (%)</t>
  </si>
  <si>
    <t>Ratio recuperación MG (%)</t>
  </si>
  <si>
    <t>1. Presupuesto</t>
  </si>
  <si>
    <t>Datos de materia prima</t>
  </si>
  <si>
    <t>Coef de recuperación MG</t>
  </si>
  <si>
    <t>Coef de recuperación MP</t>
  </si>
  <si>
    <t>Leche (%)</t>
  </si>
  <si>
    <t>Nata de suero de recuperación (%)</t>
  </si>
  <si>
    <t>Coeficientes de recuperación</t>
  </si>
  <si>
    <t>Receta en volumen (debe sumar 100%)</t>
  </si>
  <si>
    <t>Composición nata suero (g/L)</t>
  </si>
  <si>
    <t>Otros datos</t>
  </si>
  <si>
    <t>Densidad nata (kg/L)</t>
  </si>
  <si>
    <t>Coef G (ESM queso obtenido a partir de MP leche)</t>
  </si>
  <si>
    <t>Agua</t>
  </si>
  <si>
    <t>Lactosa</t>
  </si>
  <si>
    <t>Sales minerales y otros</t>
  </si>
  <si>
    <t>Densidad</t>
  </si>
  <si>
    <t>Coste de la leche en fabrica</t>
  </si>
  <si>
    <t>Total euros/L</t>
  </si>
  <si>
    <t>Datos estándar</t>
  </si>
  <si>
    <t>Materia grasa (% m/m)</t>
  </si>
  <si>
    <t>Proteinas totales (% m/m)</t>
  </si>
  <si>
    <t>Materia grasa (g/L)</t>
  </si>
  <si>
    <t>Proteinas totales (g/L)</t>
  </si>
  <si>
    <t>Factor MG/MP</t>
  </si>
  <si>
    <t>Reparto precio MG leche</t>
  </si>
  <si>
    <t>Reparto precio MP leche (1 - MG)</t>
  </si>
  <si>
    <t>Temperatura a la que se hace la medida (⁰C)</t>
  </si>
  <si>
    <t xml:space="preserve">% Leche </t>
  </si>
  <si>
    <t>% Nata de suero</t>
  </si>
  <si>
    <t>Densidad calculada leche en cuba</t>
  </si>
  <si>
    <t>Precio pagado al ganadero (euros/L)</t>
  </si>
  <si>
    <t>Coste transporte + otros recogida (euros/L)</t>
  </si>
  <si>
    <t>Valor MG leche en fábrica (euros/L)</t>
  </si>
  <si>
    <t>Valor MP leche en fábrica (euros/L)</t>
  </si>
  <si>
    <t>2. Estándar técnico del producto</t>
  </si>
  <si>
    <t>Modelo</t>
  </si>
  <si>
    <t>Ejemplo 1 
 Paso 1</t>
  </si>
  <si>
    <t>Ejemplo 3
Estandarización MG</t>
  </si>
  <si>
    <t>Ejemplo 1
 Paso 3- Precio</t>
  </si>
  <si>
    <t>Ejemplo 1 
Paso 2 - MG/ES</t>
  </si>
  <si>
    <t>Ejemplo 3
Estandarización MG y precio</t>
  </si>
  <si>
    <t xml:space="preserve">Composición suero entero (g/L) </t>
  </si>
  <si>
    <t>EST</t>
  </si>
  <si>
    <t>Mezcla</t>
  </si>
  <si>
    <t>Vaca</t>
  </si>
  <si>
    <t>Oveja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</si>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</sst>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#,##0_ ;[Red]\-#,##0\ "/>
    <numFmt numFmtId="165" formatCode="#,##0.000_ ;[Red]\-#,##0.000\ "/>
    <numFmt numFmtId="166" formatCode="0.0%"/>
    <numFmt numFmtId="167" formatCode="0.000"/>
    <numFmt numFmtId="168" formatCode="#,##0.000_);\(#,##0.000\)"/>
    <numFmt numFmtId="169" formatCode="#,##0.00_);\(#,##0.00\)"/>
    <numFmt numFmtId="170" formatCode="#,##0.0000"/>
    <numFmt numFmtId="171" formatCode="_-* #,##0.00\ _€_-;\-* #,##0.00\ _€_-;_-* &quot;-&quot;??\ _€_-;_-@_-"/>
    <numFmt numFmtId="172" formatCode="#,##0.00_ ;[Red]\-#,##0.00\ "/>
    <numFmt numFmtId="173" formatCode="0.0000"/>
    <numFmt numFmtId="174" formatCode="0.0"/>
    <numFmt numFmtId="175" formatCode="_-* #,##0.000_-;\-* #,##0.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3" xfId="0" applyBorder="1"/>
    <xf numFmtId="0" fontId="0" fillId="0" borderId="5" xfId="0" applyBorder="1"/>
    <xf numFmtId="164" fontId="0" fillId="0" borderId="3" xfId="0" applyNumberFormat="1" applyBorder="1" applyAlignment="1">
      <alignment horizontal="left" indent="1"/>
    </xf>
    <xf numFmtId="2" fontId="0" fillId="0" borderId="0" xfId="0" applyNumberFormat="1"/>
    <xf numFmtId="10" fontId="0" fillId="3" borderId="3" xfId="1" applyNumberFormat="1" applyFont="1" applyFill="1" applyBorder="1"/>
    <xf numFmtId="168" fontId="3" fillId="4" borderId="16" xfId="0" applyNumberFormat="1" applyFont="1" applyFill="1" applyBorder="1"/>
    <xf numFmtId="168" fontId="3" fillId="4" borderId="14" xfId="0" applyNumberFormat="1" applyFont="1" applyFill="1" applyBorder="1"/>
    <xf numFmtId="168" fontId="3" fillId="4" borderId="15" xfId="0" applyNumberFormat="1" applyFont="1" applyFill="1" applyBorder="1"/>
    <xf numFmtId="2" fontId="3" fillId="0" borderId="5" xfId="0" applyNumberFormat="1" applyFont="1" applyBorder="1"/>
    <xf numFmtId="169" fontId="7" fillId="0" borderId="5" xfId="0" applyNumberFormat="1" applyFont="1" applyBorder="1" applyAlignment="1" applyProtection="1">
      <alignment horizontal="right"/>
      <protection locked="0"/>
    </xf>
    <xf numFmtId="169" fontId="3" fillId="0" borderId="9" xfId="0" applyNumberFormat="1" applyFont="1" applyBorder="1"/>
    <xf numFmtId="169" fontId="3" fillId="0" borderId="9" xfId="0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168" fontId="3" fillId="0" borderId="9" xfId="0" applyNumberFormat="1" applyFont="1" applyBorder="1" applyAlignment="1">
      <alignment horizontal="right"/>
    </xf>
    <xf numFmtId="10" fontId="7" fillId="0" borderId="9" xfId="1" applyNumberFormat="1" applyFont="1" applyBorder="1" applyAlignment="1" applyProtection="1">
      <alignment horizontal="right"/>
      <protection locked="0"/>
    </xf>
    <xf numFmtId="169" fontId="7" fillId="0" borderId="3" xfId="0" applyNumberFormat="1" applyFont="1" applyBorder="1" applyProtection="1">
      <protection locked="0"/>
    </xf>
    <xf numFmtId="10" fontId="3" fillId="0" borderId="3" xfId="0" applyNumberFormat="1" applyFont="1" applyBorder="1"/>
    <xf numFmtId="169" fontId="3" fillId="0" borderId="3" xfId="0" applyNumberFormat="1" applyFont="1" applyBorder="1"/>
    <xf numFmtId="169" fontId="3" fillId="0" borderId="7" xfId="0" applyNumberFormat="1" applyFont="1" applyBorder="1"/>
    <xf numFmtId="172" fontId="5" fillId="0" borderId="9" xfId="0" applyNumberFormat="1" applyFont="1" applyBorder="1"/>
    <xf numFmtId="10" fontId="3" fillId="0" borderId="9" xfId="1" applyNumberFormat="1" applyFont="1" applyBorder="1" applyAlignment="1">
      <alignment horizontal="right"/>
    </xf>
    <xf numFmtId="168" fontId="3" fillId="0" borderId="9" xfId="0" applyNumberFormat="1" applyFont="1" applyBorder="1" applyProtection="1">
      <protection locked="0"/>
    </xf>
    <xf numFmtId="169" fontId="4" fillId="5" borderId="3" xfId="0" applyNumberFormat="1" applyFont="1" applyFill="1" applyBorder="1"/>
    <xf numFmtId="169" fontId="4" fillId="5" borderId="7" xfId="0" applyNumberFormat="1" applyFont="1" applyFill="1" applyBorder="1"/>
    <xf numFmtId="169" fontId="4" fillId="5" borderId="9" xfId="0" applyNumberFormat="1" applyFont="1" applyFill="1" applyBorder="1"/>
    <xf numFmtId="169" fontId="4" fillId="5" borderId="17" xfId="0" applyNumberFormat="1" applyFont="1" applyFill="1" applyBorder="1"/>
    <xf numFmtId="0" fontId="9" fillId="0" borderId="0" xfId="0" applyFont="1"/>
    <xf numFmtId="10" fontId="0" fillId="3" borderId="7" xfId="1" applyNumberFormat="1" applyFont="1" applyFill="1" applyBorder="1"/>
    <xf numFmtId="0" fontId="0" fillId="3" borderId="3" xfId="0" applyFill="1" applyBorder="1"/>
    <xf numFmtId="164" fontId="0" fillId="0" borderId="7" xfId="0" applyNumberFormat="1" applyBorder="1" applyAlignment="1">
      <alignment horizontal="left" indent="1"/>
    </xf>
    <xf numFmtId="164" fontId="10" fillId="0" borderId="5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 indent="2"/>
    </xf>
    <xf numFmtId="164" fontId="0" fillId="0" borderId="3" xfId="0" applyNumberFormat="1" applyBorder="1" applyAlignment="1">
      <alignment horizontal="left" indent="3"/>
    </xf>
    <xf numFmtId="164" fontId="2" fillId="0" borderId="6" xfId="0" applyNumberFormat="1" applyFont="1" applyBorder="1" applyAlignment="1">
      <alignment horizontal="left"/>
    </xf>
    <xf numFmtId="10" fontId="0" fillId="3" borderId="3" xfId="0" applyNumberFormat="1" applyFill="1" applyBorder="1"/>
    <xf numFmtId="2" fontId="0" fillId="3" borderId="3" xfId="0" applyNumberFormat="1" applyFill="1" applyBorder="1"/>
    <xf numFmtId="167" fontId="0" fillId="3" borderId="3" xfId="0" applyNumberFormat="1" applyFill="1" applyBorder="1"/>
    <xf numFmtId="167" fontId="0" fillId="3" borderId="7" xfId="0" applyNumberFormat="1" applyFill="1" applyBorder="1"/>
    <xf numFmtId="164" fontId="0" fillId="0" borderId="7" xfId="0" applyNumberFormat="1" applyBorder="1" applyAlignment="1">
      <alignment horizontal="left" indent="3"/>
    </xf>
    <xf numFmtId="10" fontId="0" fillId="3" borderId="7" xfId="0" applyNumberFormat="1" applyFill="1" applyBorder="1"/>
    <xf numFmtId="164" fontId="0" fillId="0" borderId="4" xfId="0" applyNumberFormat="1" applyBorder="1" applyAlignment="1">
      <alignment horizontal="left" indent="1"/>
    </xf>
    <xf numFmtId="0" fontId="0" fillId="0" borderId="13" xfId="0" applyBorder="1" applyAlignment="1">
      <alignment horizontal="left" indent="1"/>
    </xf>
    <xf numFmtId="10" fontId="3" fillId="0" borderId="9" xfId="1" applyNumberFormat="1" applyFont="1" applyBorder="1"/>
    <xf numFmtId="167" fontId="0" fillId="0" borderId="0" xfId="0" applyNumberFormat="1"/>
    <xf numFmtId="164" fontId="0" fillId="0" borderId="4" xfId="0" applyNumberFormat="1" applyBorder="1" applyAlignment="1">
      <alignment horizontal="left" indent="2"/>
    </xf>
    <xf numFmtId="2" fontId="0" fillId="0" borderId="3" xfId="0" applyNumberFormat="1" applyBorder="1"/>
    <xf numFmtId="1" fontId="0" fillId="0" borderId="3" xfId="0" applyNumberFormat="1" applyBorder="1"/>
    <xf numFmtId="0" fontId="0" fillId="0" borderId="0" xfId="0" applyAlignment="1">
      <alignment horizontal="right"/>
    </xf>
    <xf numFmtId="0" fontId="2" fillId="0" borderId="5" xfId="0" applyFont="1" applyBorder="1" applyAlignment="1">
      <alignment horizontal="center"/>
    </xf>
    <xf numFmtId="173" fontId="0" fillId="0" borderId="7" xfId="0" applyNumberFormat="1" applyBorder="1"/>
    <xf numFmtId="0" fontId="0" fillId="6" borderId="3" xfId="0" applyFill="1" applyBorder="1"/>
    <xf numFmtId="164" fontId="2" fillId="0" borderId="4" xfId="0" applyNumberFormat="1" applyFont="1" applyBorder="1" applyAlignment="1">
      <alignment horizontal="left" indent="1"/>
    </xf>
    <xf numFmtId="165" fontId="2" fillId="0" borderId="3" xfId="0" applyNumberFormat="1" applyFont="1" applyBorder="1"/>
    <xf numFmtId="167" fontId="2" fillId="0" borderId="3" xfId="0" applyNumberFormat="1" applyFont="1" applyBorder="1"/>
    <xf numFmtId="167" fontId="2" fillId="0" borderId="7" xfId="0" applyNumberFormat="1" applyFont="1" applyBorder="1"/>
    <xf numFmtId="169" fontId="3" fillId="0" borderId="19" xfId="0" applyNumberFormat="1" applyFont="1" applyBorder="1" applyAlignment="1">
      <alignment horizontal="right"/>
    </xf>
    <xf numFmtId="0" fontId="11" fillId="0" borderId="10" xfId="0" applyFont="1" applyBorder="1" applyAlignment="1">
      <alignment horizontal="left" vertical="center" indent="1"/>
    </xf>
    <xf numFmtId="0" fontId="11" fillId="0" borderId="10" xfId="0" quotePrefix="1" applyFont="1" applyBorder="1" applyAlignment="1">
      <alignment horizontal="left" vertical="center" indent="1"/>
    </xf>
    <xf numFmtId="0" fontId="11" fillId="0" borderId="10" xfId="0" applyFont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17" xfId="0" applyFont="1" applyFill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quotePrefix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8" fillId="5" borderId="3" xfId="0" quotePrefix="1" applyFont="1" applyFill="1" applyBorder="1" applyAlignment="1">
      <alignment vertical="center"/>
    </xf>
    <xf numFmtId="0" fontId="8" fillId="0" borderId="18" xfId="0" applyFont="1" applyBorder="1"/>
    <xf numFmtId="0" fontId="11" fillId="0" borderId="9" xfId="0" applyFont="1" applyBorder="1" applyAlignment="1">
      <alignment horizontal="left" vertical="center" indent="1"/>
    </xf>
    <xf numFmtId="0" fontId="8" fillId="0" borderId="11" xfId="0" applyFont="1" applyBorder="1" applyAlignment="1">
      <alignment vertical="center"/>
    </xf>
    <xf numFmtId="0" fontId="11" fillId="0" borderId="17" xfId="0" applyFont="1" applyBorder="1" applyAlignment="1">
      <alignment horizontal="left" vertical="center" indent="1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0" fontId="11" fillId="0" borderId="6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0" fontId="6" fillId="0" borderId="9" xfId="0" applyNumberFormat="1" applyFont="1" applyBorder="1"/>
    <xf numFmtId="0" fontId="11" fillId="0" borderId="4" xfId="0" applyFont="1" applyBorder="1" applyAlignment="1">
      <alignment horizontal="left" vertical="center" indent="1"/>
    </xf>
    <xf numFmtId="0" fontId="11" fillId="0" borderId="13" xfId="0" applyFont="1" applyBorder="1"/>
    <xf numFmtId="169" fontId="3" fillId="0" borderId="5" xfId="0" applyNumberFormat="1" applyFont="1" applyBorder="1"/>
    <xf numFmtId="10" fontId="6" fillId="0" borderId="3" xfId="0" applyNumberFormat="1" applyFont="1" applyBorder="1"/>
    <xf numFmtId="10" fontId="3" fillId="0" borderId="7" xfId="0" applyNumberFormat="1" applyFont="1" applyBorder="1"/>
    <xf numFmtId="172" fontId="5" fillId="0" borderId="3" xfId="0" applyNumberFormat="1" applyFont="1" applyBorder="1"/>
    <xf numFmtId="170" fontId="3" fillId="0" borderId="20" xfId="0" applyNumberFormat="1" applyFont="1" applyBorder="1"/>
    <xf numFmtId="0" fontId="11" fillId="0" borderId="20" xfId="0" applyFont="1" applyBorder="1" applyAlignment="1">
      <alignment horizontal="left" vertical="center" indent="1"/>
    </xf>
    <xf numFmtId="166" fontId="11" fillId="0" borderId="8" xfId="1" applyNumberFormat="1" applyFont="1" applyFill="1" applyBorder="1" applyAlignment="1" applyProtection="1">
      <alignment vertical="center"/>
    </xf>
    <xf numFmtId="172" fontId="5" fillId="0" borderId="21" xfId="0" applyNumberFormat="1" applyFont="1" applyBorder="1"/>
    <xf numFmtId="166" fontId="11" fillId="0" borderId="9" xfId="1" applyNumberFormat="1" applyFont="1" applyFill="1" applyBorder="1" applyAlignment="1" applyProtection="1">
      <alignment vertical="center"/>
    </xf>
    <xf numFmtId="0" fontId="11" fillId="0" borderId="0" xfId="0" applyFont="1" applyAlignment="1">
      <alignment horizontal="left" vertical="center" indent="1"/>
    </xf>
    <xf numFmtId="167" fontId="3" fillId="0" borderId="9" xfId="0" applyNumberFormat="1" applyFont="1" applyBorder="1" applyAlignment="1">
      <alignment horizontal="right"/>
    </xf>
    <xf numFmtId="170" fontId="6" fillId="0" borderId="3" xfId="0" applyNumberFormat="1" applyFont="1" applyBorder="1"/>
    <xf numFmtId="170" fontId="6" fillId="0" borderId="7" xfId="0" applyNumberFormat="1" applyFont="1" applyBorder="1"/>
    <xf numFmtId="0" fontId="11" fillId="0" borderId="0" xfId="0" applyFont="1" applyAlignment="1">
      <alignment vertical="center"/>
    </xf>
    <xf numFmtId="167" fontId="3" fillId="0" borderId="3" xfId="0" applyNumberFormat="1" applyFont="1" applyBorder="1"/>
    <xf numFmtId="168" fontId="4" fillId="2" borderId="3" xfId="0" applyNumberFormat="1" applyFont="1" applyFill="1" applyBorder="1"/>
    <xf numFmtId="168" fontId="4" fillId="2" borderId="7" xfId="0" applyNumberFormat="1" applyFont="1" applyFill="1" applyBorder="1"/>
    <xf numFmtId="164" fontId="10" fillId="0" borderId="6" xfId="0" applyNumberFormat="1" applyFont="1" applyBorder="1" applyAlignment="1">
      <alignment horizontal="left"/>
    </xf>
    <xf numFmtId="9" fontId="0" fillId="3" borderId="3" xfId="1" applyFont="1" applyFill="1" applyBorder="1"/>
    <xf numFmtId="9" fontId="0" fillId="0" borderId="3" xfId="1" applyFont="1" applyBorder="1"/>
    <xf numFmtId="0" fontId="2" fillId="0" borderId="4" xfId="0" applyFont="1" applyBorder="1" applyAlignment="1">
      <alignment horizontal="left" indent="1"/>
    </xf>
    <xf numFmtId="10" fontId="0" fillId="6" borderId="3" xfId="0" applyNumberFormat="1" applyFill="1" applyBorder="1"/>
    <xf numFmtId="10" fontId="0" fillId="0" borderId="3" xfId="0" applyNumberFormat="1" applyBorder="1"/>
    <xf numFmtId="0" fontId="0" fillId="0" borderId="1" xfId="0" applyBorder="1" applyAlignment="1">
      <alignment horizontal="center"/>
    </xf>
    <xf numFmtId="9" fontId="0" fillId="6" borderId="3" xfId="0" applyNumberFormat="1" applyFill="1" applyBorder="1"/>
    <xf numFmtId="10" fontId="6" fillId="0" borderId="9" xfId="0" applyNumberFormat="1" applyFont="1" applyBorder="1" applyAlignment="1">
      <alignment horizontal="right"/>
    </xf>
    <xf numFmtId="10" fontId="0" fillId="4" borderId="3" xfId="0" applyNumberFormat="1" applyFill="1" applyBorder="1"/>
    <xf numFmtId="0" fontId="0" fillId="4" borderId="3" xfId="0" applyFill="1" applyBorder="1"/>
    <xf numFmtId="167" fontId="0" fillId="7" borderId="3" xfId="0" applyNumberFormat="1" applyFill="1" applyBorder="1"/>
    <xf numFmtId="167" fontId="0" fillId="7" borderId="7" xfId="0" applyNumberFormat="1" applyFill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4" fillId="7" borderId="9" xfId="0" applyNumberFormat="1" applyFont="1" applyFill="1" applyBorder="1"/>
    <xf numFmtId="169" fontId="4" fillId="7" borderId="17" xfId="0" applyNumberFormat="1" applyFont="1" applyFill="1" applyBorder="1"/>
    <xf numFmtId="169" fontId="7" fillId="7" borderId="3" xfId="0" applyNumberFormat="1" applyFont="1" applyFill="1" applyBorder="1" applyProtection="1">
      <protection locked="0"/>
    </xf>
    <xf numFmtId="169" fontId="4" fillId="0" borderId="9" xfId="0" applyNumberFormat="1" applyFont="1" applyBorder="1"/>
    <xf numFmtId="169" fontId="4" fillId="0" borderId="17" xfId="0" applyNumberFormat="1" applyFont="1" applyBorder="1"/>
    <xf numFmtId="164" fontId="0" fillId="8" borderId="4" xfId="0" applyNumberFormat="1" applyFill="1" applyBorder="1" applyAlignment="1">
      <alignment horizontal="left" indent="2"/>
    </xf>
    <xf numFmtId="10" fontId="0" fillId="4" borderId="7" xfId="1" applyNumberFormat="1" applyFont="1" applyFill="1" applyBorder="1"/>
    <xf numFmtId="167" fontId="0" fillId="8" borderId="3" xfId="0" applyNumberFormat="1" applyFill="1" applyBorder="1"/>
    <xf numFmtId="174" fontId="0" fillId="0" borderId="3" xfId="0" applyNumberFormat="1" applyBorder="1"/>
    <xf numFmtId="175" fontId="0" fillId="0" borderId="3" xfId="3" applyNumberFormat="1" applyFont="1" applyBorder="1"/>
  </cellXfs>
  <cellStyles count="4">
    <cellStyle name="Millares" xfId="3" builtinId="3"/>
    <cellStyle name="Millares 2" xfId="2" xr:uid="{0DF497A4-B1A4-4A8E-B2C1-3A725AAFDCC2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5F7-7476-41E2-B25E-833B29F6911A}">
  <dimension ref="A1:E101"/>
  <sheetViews>
    <sheetView zoomScaleNormal="100" workbookViewId="0">
      <selection activeCell="A39" activeCellId="1" sqref="B46 A39"/>
    </sheetView>
  </sheetViews>
  <sheetFormatPr baseColWidth="10" defaultRowHeight="15" x14ac:dyDescent="0.25"/>
  <cols>
    <col min="1" max="1" width="44.140625" customWidth="1"/>
    <col min="3" max="3" width="12.140625" customWidth="1"/>
  </cols>
  <sheetData>
    <row r="1" spans="1:3" ht="18.75" x14ac:dyDescent="0.3">
      <c r="A1" s="27" t="s">
        <v>46</v>
      </c>
      <c r="B1" s="101" t="s">
        <v>81</v>
      </c>
    </row>
    <row r="2" spans="1:3" ht="15.75" x14ac:dyDescent="0.25">
      <c r="A2" s="31" t="s">
        <v>42</v>
      </c>
      <c r="B2" s="2"/>
    </row>
    <row r="3" spans="1:3" x14ac:dyDescent="0.25">
      <c r="A3" s="3" t="s">
        <v>43</v>
      </c>
      <c r="B3" s="5">
        <v>0.55000000000000004</v>
      </c>
    </row>
    <row r="4" spans="1:3" x14ac:dyDescent="0.25">
      <c r="A4" s="30" t="s">
        <v>44</v>
      </c>
      <c r="B4" s="28">
        <v>0.28000000000000003</v>
      </c>
    </row>
    <row r="5" spans="1:3" ht="15.75" x14ac:dyDescent="0.25">
      <c r="A5" s="95" t="s">
        <v>62</v>
      </c>
      <c r="B5" s="49"/>
    </row>
    <row r="6" spans="1:3" x14ac:dyDescent="0.25">
      <c r="A6" s="41" t="s">
        <v>76</v>
      </c>
      <c r="B6" s="51">
        <v>0.36199999999999999</v>
      </c>
    </row>
    <row r="7" spans="1:3" x14ac:dyDescent="0.25">
      <c r="A7" s="41" t="s">
        <v>77</v>
      </c>
      <c r="B7" s="51">
        <v>2.1000000000000001E-2</v>
      </c>
    </row>
    <row r="8" spans="1:3" x14ac:dyDescent="0.25">
      <c r="A8" s="52" t="s">
        <v>63</v>
      </c>
      <c r="B8" s="53">
        <f>SUM(B6:B7)</f>
        <v>0.38300000000000001</v>
      </c>
    </row>
    <row r="9" spans="1:3" x14ac:dyDescent="0.25">
      <c r="A9" s="41" t="s">
        <v>70</v>
      </c>
      <c r="B9" s="96">
        <v>0.5</v>
      </c>
    </row>
    <row r="10" spans="1:3" x14ac:dyDescent="0.25">
      <c r="A10" s="41" t="s">
        <v>71</v>
      </c>
      <c r="B10" s="97">
        <f>1-B9</f>
        <v>0.5</v>
      </c>
    </row>
    <row r="11" spans="1:3" x14ac:dyDescent="0.25">
      <c r="A11" s="52" t="s">
        <v>78</v>
      </c>
      <c r="B11" s="54">
        <f>B30*B18/1000</f>
        <v>0.1915</v>
      </c>
    </row>
    <row r="12" spans="1:3" x14ac:dyDescent="0.25">
      <c r="A12" s="52" t="s">
        <v>79</v>
      </c>
      <c r="B12" s="55">
        <f>B31*B19/1000</f>
        <v>0.19150000000000003</v>
      </c>
    </row>
    <row r="13" spans="1:3" ht="15.75" x14ac:dyDescent="0.25">
      <c r="A13" s="95" t="s">
        <v>47</v>
      </c>
      <c r="B13" s="2"/>
    </row>
    <row r="14" spans="1:3" x14ac:dyDescent="0.25">
      <c r="A14" s="52" t="s">
        <v>9</v>
      </c>
      <c r="B14" s="1"/>
    </row>
    <row r="15" spans="1:3" x14ac:dyDescent="0.25">
      <c r="A15" s="45" t="s">
        <v>65</v>
      </c>
      <c r="B15" s="99">
        <v>3.7600000000000001E-2</v>
      </c>
      <c r="C15" s="48"/>
    </row>
    <row r="16" spans="1:3" x14ac:dyDescent="0.25">
      <c r="A16" s="45" t="s">
        <v>66</v>
      </c>
      <c r="B16" s="99">
        <v>3.2599999999999997E-2</v>
      </c>
      <c r="C16" s="48"/>
    </row>
    <row r="17" spans="1:3" x14ac:dyDescent="0.25">
      <c r="A17" s="45" t="s">
        <v>69</v>
      </c>
      <c r="B17" s="46">
        <f>B15/B16</f>
        <v>1.1533742331288346</v>
      </c>
    </row>
    <row r="18" spans="1:3" x14ac:dyDescent="0.25">
      <c r="A18" s="45" t="s">
        <v>67</v>
      </c>
      <c r="B18" s="46">
        <f>B15*B24</f>
        <v>38.887208658483203</v>
      </c>
    </row>
    <row r="19" spans="1:3" x14ac:dyDescent="0.25">
      <c r="A19" s="45" t="s">
        <v>68</v>
      </c>
      <c r="B19" s="46">
        <f>B16*B24</f>
        <v>33.716037294323193</v>
      </c>
    </row>
    <row r="20" spans="1:3" x14ac:dyDescent="0.25">
      <c r="A20" s="45" t="s">
        <v>59</v>
      </c>
      <c r="B20" s="36">
        <v>48</v>
      </c>
    </row>
    <row r="21" spans="1:3" x14ac:dyDescent="0.25">
      <c r="A21" s="45" t="s">
        <v>60</v>
      </c>
      <c r="B21" s="36">
        <v>9</v>
      </c>
    </row>
    <row r="22" spans="1:3" x14ac:dyDescent="0.25">
      <c r="A22" s="45" t="s">
        <v>58</v>
      </c>
      <c r="B22" s="46">
        <f>B24-SUM(B18:B21)</f>
        <v>904.63102687919354</v>
      </c>
    </row>
    <row r="23" spans="1:3" x14ac:dyDescent="0.25">
      <c r="A23" s="45" t="s">
        <v>72</v>
      </c>
      <c r="B23" s="1">
        <v>20</v>
      </c>
    </row>
    <row r="24" spans="1:3" x14ac:dyDescent="0.25">
      <c r="A24" s="45" t="s">
        <v>61</v>
      </c>
      <c r="B24" s="47">
        <f>-0.2307*10^(-2)*B23^2-0.2655*B23+1040.51-B15*(-0.478*10^(-4)*B23^2+0.969*10^(-2)*B23+0.967)</f>
        <v>1034.234272832</v>
      </c>
    </row>
    <row r="25" spans="1:3" x14ac:dyDescent="0.25">
      <c r="A25" s="52" t="s">
        <v>54</v>
      </c>
      <c r="B25" s="1"/>
    </row>
    <row r="26" spans="1:3" x14ac:dyDescent="0.25">
      <c r="A26" s="45" t="s">
        <v>65</v>
      </c>
      <c r="B26" s="102">
        <v>0.43</v>
      </c>
    </row>
    <row r="27" spans="1:3" x14ac:dyDescent="0.25">
      <c r="A27" s="45" t="s">
        <v>1</v>
      </c>
      <c r="B27" s="46">
        <f>B26*B40*1000</f>
        <v>423.62953279999999</v>
      </c>
    </row>
    <row r="28" spans="1:3" x14ac:dyDescent="0.25">
      <c r="A28" s="45" t="s">
        <v>2</v>
      </c>
      <c r="B28" s="29">
        <v>5.91</v>
      </c>
    </row>
    <row r="29" spans="1:3" x14ac:dyDescent="0.25">
      <c r="A29" s="98" t="s">
        <v>6</v>
      </c>
      <c r="B29" s="1"/>
    </row>
    <row r="30" spans="1:3" x14ac:dyDescent="0.25">
      <c r="A30" s="45" t="s">
        <v>1</v>
      </c>
      <c r="B30" s="37">
        <f>B8/B18*B9*1000</f>
        <v>4.924498481796391</v>
      </c>
    </row>
    <row r="31" spans="1:3" x14ac:dyDescent="0.25">
      <c r="A31" s="45" t="s">
        <v>2</v>
      </c>
      <c r="B31" s="38">
        <f>B8/B19*B10*1000</f>
        <v>5.6797896599860236</v>
      </c>
    </row>
    <row r="32" spans="1:3" ht="15.75" x14ac:dyDescent="0.25">
      <c r="A32" s="31" t="s">
        <v>64</v>
      </c>
      <c r="B32" s="2"/>
      <c r="C32" s="4"/>
    </row>
    <row r="33" spans="1:5" x14ac:dyDescent="0.25">
      <c r="A33" s="32" t="s">
        <v>53</v>
      </c>
      <c r="B33" s="1"/>
    </row>
    <row r="34" spans="1:5" x14ac:dyDescent="0.25">
      <c r="A34" s="33" t="s">
        <v>50</v>
      </c>
      <c r="B34" s="35">
        <v>1</v>
      </c>
    </row>
    <row r="35" spans="1:5" x14ac:dyDescent="0.25">
      <c r="A35" s="33" t="s">
        <v>51</v>
      </c>
      <c r="B35" s="100">
        <f>1-B34</f>
        <v>0</v>
      </c>
    </row>
    <row r="36" spans="1:5" x14ac:dyDescent="0.25">
      <c r="A36" s="32" t="s">
        <v>52</v>
      </c>
      <c r="B36" s="1"/>
      <c r="D36" s="4"/>
      <c r="E36" s="44"/>
    </row>
    <row r="37" spans="1:5" x14ac:dyDescent="0.25">
      <c r="A37" s="33" t="s">
        <v>48</v>
      </c>
      <c r="B37" s="100"/>
      <c r="D37" s="4"/>
      <c r="E37" s="44"/>
    </row>
    <row r="38" spans="1:5" x14ac:dyDescent="0.25">
      <c r="A38" s="39" t="s">
        <v>49</v>
      </c>
      <c r="B38" s="40">
        <v>0.94650000000000001</v>
      </c>
      <c r="E38" s="44"/>
    </row>
    <row r="39" spans="1:5" x14ac:dyDescent="0.25">
      <c r="A39" s="34" t="s">
        <v>55</v>
      </c>
      <c r="B39" s="2"/>
    </row>
    <row r="40" spans="1:5" x14ac:dyDescent="0.25">
      <c r="A40" s="42" t="s">
        <v>56</v>
      </c>
      <c r="B40" s="50">
        <f>(-0.2307*10^(-2)*B23^2-0.2655*B23+1040.51-B26*100*(-0.478*10^(-4)*B23^2+0.969*10^(-2)*B23+0.967))/1000</f>
        <v>0.98518496</v>
      </c>
      <c r="D40" s="4"/>
      <c r="E40" s="44"/>
    </row>
    <row r="42" spans="1:5" ht="18.75" x14ac:dyDescent="0.3">
      <c r="A42" s="27" t="s">
        <v>80</v>
      </c>
    </row>
    <row r="43" spans="1:5" x14ac:dyDescent="0.25">
      <c r="A43" s="34" t="s">
        <v>19</v>
      </c>
      <c r="B43" s="56"/>
    </row>
    <row r="44" spans="1:5" x14ac:dyDescent="0.25">
      <c r="A44" s="57" t="s">
        <v>18</v>
      </c>
      <c r="B44" s="103">
        <f>'Datos de partida'!B3</f>
        <v>0.55000000000000004</v>
      </c>
    </row>
    <row r="45" spans="1:5" x14ac:dyDescent="0.25">
      <c r="A45" s="57" t="s">
        <v>1</v>
      </c>
      <c r="B45" s="103">
        <f>'Datos de partida'!B4</f>
        <v>0.28000000000000003</v>
      </c>
    </row>
    <row r="46" spans="1:5" x14ac:dyDescent="0.25">
      <c r="A46" s="58" t="s">
        <v>16</v>
      </c>
      <c r="B46" s="13">
        <f>B45/B44</f>
        <v>0.50909090909090915</v>
      </c>
    </row>
    <row r="47" spans="1:5" x14ac:dyDescent="0.25">
      <c r="A47" s="57" t="s">
        <v>17</v>
      </c>
      <c r="B47" s="13">
        <f>(1-B44)/(1-B44*B46)</f>
        <v>0.625</v>
      </c>
    </row>
    <row r="48" spans="1:5" x14ac:dyDescent="0.25">
      <c r="A48" s="57" t="s">
        <v>0</v>
      </c>
      <c r="B48" s="21">
        <f>B44-B45</f>
        <v>0.27</v>
      </c>
    </row>
    <row r="49" spans="1:2" x14ac:dyDescent="0.25">
      <c r="A49" s="59"/>
      <c r="B49" s="15"/>
    </row>
    <row r="50" spans="1:2" x14ac:dyDescent="0.25">
      <c r="A50" s="59" t="s">
        <v>20</v>
      </c>
      <c r="B50" s="11">
        <f>B88</f>
        <v>33.716037294323193</v>
      </c>
    </row>
    <row r="51" spans="1:2" x14ac:dyDescent="0.25">
      <c r="A51" s="59" t="s">
        <v>37</v>
      </c>
      <c r="B51" s="75">
        <f>'Datos de partida'!B38</f>
        <v>0.94650000000000001</v>
      </c>
    </row>
    <row r="52" spans="1:2" x14ac:dyDescent="0.25">
      <c r="A52" s="59" t="s">
        <v>45</v>
      </c>
      <c r="B52" s="43">
        <f>B55/B58</f>
        <v>0.85102955082742282</v>
      </c>
    </row>
    <row r="53" spans="1:2" x14ac:dyDescent="0.25">
      <c r="A53" s="59" t="s">
        <v>57</v>
      </c>
      <c r="B53" s="12">
        <f>B51*B50</f>
        <v>31.912229299076902</v>
      </c>
    </row>
    <row r="54" spans="1:2" x14ac:dyDescent="0.25">
      <c r="A54" s="59" t="s">
        <v>38</v>
      </c>
      <c r="B54" s="14">
        <f>B48*1000/B53</f>
        <v>8.4607063163653713</v>
      </c>
    </row>
    <row r="55" spans="1:2" x14ac:dyDescent="0.25">
      <c r="A55" s="59" t="s">
        <v>39</v>
      </c>
      <c r="B55" s="12">
        <f>B45*1000/B54</f>
        <v>33.09416371756123</v>
      </c>
    </row>
    <row r="56" spans="1:2" x14ac:dyDescent="0.25">
      <c r="A56" s="59" t="s">
        <v>28</v>
      </c>
      <c r="B56" s="22">
        <f>B58-B55</f>
        <v>5.7930449409219733</v>
      </c>
    </row>
    <row r="57" spans="1:2" x14ac:dyDescent="0.25">
      <c r="A57" s="59" t="s">
        <v>36</v>
      </c>
      <c r="B57" s="13">
        <f>B56/B58</f>
        <v>0.14897044917257712</v>
      </c>
    </row>
    <row r="58" spans="1:2" x14ac:dyDescent="0.25">
      <c r="A58" s="59" t="s">
        <v>29</v>
      </c>
      <c r="B58" s="12">
        <f>B85</f>
        <v>38.887208658483203</v>
      </c>
    </row>
    <row r="59" spans="1:2" x14ac:dyDescent="0.25">
      <c r="A59" s="60" t="s">
        <v>35</v>
      </c>
      <c r="B59" s="25">
        <f>B58*B54</f>
        <v>329.01325192264699</v>
      </c>
    </row>
    <row r="60" spans="1:2" x14ac:dyDescent="0.25">
      <c r="A60" s="61" t="s">
        <v>34</v>
      </c>
      <c r="B60" s="26">
        <f>B50*B54</f>
        <v>285.26148969889067</v>
      </c>
    </row>
    <row r="61" spans="1:2" x14ac:dyDescent="0.25">
      <c r="A61" s="62" t="s">
        <v>32</v>
      </c>
      <c r="B61" s="10">
        <f>+B94/B54</f>
        <v>0</v>
      </c>
    </row>
    <row r="62" spans="1:2" x14ac:dyDescent="0.25">
      <c r="A62" s="63" t="s">
        <v>31</v>
      </c>
      <c r="B62" s="16">
        <f>B56-B61</f>
        <v>5.7930449409219733</v>
      </c>
    </row>
    <row r="63" spans="1:2" x14ac:dyDescent="0.25">
      <c r="A63" s="63" t="s">
        <v>30</v>
      </c>
      <c r="B63" s="17">
        <f>+B62/B58</f>
        <v>0.14897044917257712</v>
      </c>
    </row>
    <row r="64" spans="1:2" x14ac:dyDescent="0.25">
      <c r="A64" s="64" t="s">
        <v>33</v>
      </c>
      <c r="B64" s="18">
        <f>+B58-B61</f>
        <v>38.887208658483203</v>
      </c>
    </row>
    <row r="65" spans="1:2" x14ac:dyDescent="0.25">
      <c r="A65" s="65" t="s">
        <v>40</v>
      </c>
      <c r="B65" s="23">
        <f>B$64*B$54</f>
        <v>329.01325192264699</v>
      </c>
    </row>
    <row r="66" spans="1:2" x14ac:dyDescent="0.25">
      <c r="A66" s="65" t="s">
        <v>41</v>
      </c>
      <c r="B66" s="24">
        <f>B$50*B$54</f>
        <v>285.26148969889067</v>
      </c>
    </row>
    <row r="67" spans="1:2" x14ac:dyDescent="0.25">
      <c r="A67" s="66" t="s">
        <v>10</v>
      </c>
      <c r="B67" s="78"/>
    </row>
    <row r="68" spans="1:2" x14ac:dyDescent="0.25">
      <c r="A68" s="76" t="s">
        <v>73</v>
      </c>
      <c r="B68" s="79">
        <f>'Datos de partida'!B34</f>
        <v>1</v>
      </c>
    </row>
    <row r="69" spans="1:2" x14ac:dyDescent="0.25">
      <c r="A69" s="76" t="s">
        <v>74</v>
      </c>
      <c r="B69" s="79">
        <f>'Datos de partida'!B35</f>
        <v>0</v>
      </c>
    </row>
    <row r="70" spans="1:2" x14ac:dyDescent="0.25">
      <c r="A70" s="77"/>
      <c r="B70" s="80">
        <f>SUM(B68:B69)</f>
        <v>1</v>
      </c>
    </row>
    <row r="71" spans="1:2" x14ac:dyDescent="0.25">
      <c r="A71" s="66" t="s">
        <v>9</v>
      </c>
      <c r="B71" s="9"/>
    </row>
    <row r="72" spans="1:2" x14ac:dyDescent="0.25">
      <c r="A72" s="76" t="s">
        <v>22</v>
      </c>
      <c r="B72" s="81">
        <f>'Datos de partida'!B18</f>
        <v>38.887208658483203</v>
      </c>
    </row>
    <row r="73" spans="1:2" x14ac:dyDescent="0.25">
      <c r="A73" s="76" t="s">
        <v>11</v>
      </c>
      <c r="B73" s="81">
        <f>'Datos de partida'!B27</f>
        <v>423.62953279999999</v>
      </c>
    </row>
    <row r="74" spans="1:2" x14ac:dyDescent="0.25">
      <c r="A74" s="76"/>
      <c r="B74" s="81"/>
    </row>
    <row r="75" spans="1:2" x14ac:dyDescent="0.25">
      <c r="A75" s="76" t="s">
        <v>23</v>
      </c>
      <c r="B75" s="81">
        <f>'Datos de partida'!B19</f>
        <v>33.716037294323193</v>
      </c>
    </row>
    <row r="76" spans="1:2" x14ac:dyDescent="0.25">
      <c r="A76" s="76" t="s">
        <v>14</v>
      </c>
      <c r="B76" s="81">
        <f>'Datos de partida'!B28</f>
        <v>5.91</v>
      </c>
    </row>
    <row r="77" spans="1:2" x14ac:dyDescent="0.25">
      <c r="A77" s="87"/>
      <c r="B77" s="81"/>
    </row>
    <row r="78" spans="1:2" x14ac:dyDescent="0.25">
      <c r="A78" s="73" t="s">
        <v>15</v>
      </c>
      <c r="B78" s="92">
        <f>+B85/B88</f>
        <v>1.1533742331288346</v>
      </c>
    </row>
    <row r="79" spans="1:2" x14ac:dyDescent="0.25">
      <c r="A79" s="91"/>
      <c r="B79" s="92"/>
    </row>
    <row r="80" spans="1:2" x14ac:dyDescent="0.25">
      <c r="A80" s="57" t="s">
        <v>21</v>
      </c>
      <c r="B80" s="89">
        <f>'Datos de partida'!B24/1000</f>
        <v>1.034234272832</v>
      </c>
    </row>
    <row r="81" spans="1:2" x14ac:dyDescent="0.25">
      <c r="A81" s="57" t="s">
        <v>8</v>
      </c>
      <c r="B81" s="90">
        <f>'Datos de partida'!B40</f>
        <v>0.98518496</v>
      </c>
    </row>
    <row r="82" spans="1:2" x14ac:dyDescent="0.25">
      <c r="A82" s="68" t="s">
        <v>12</v>
      </c>
      <c r="B82" s="88"/>
    </row>
    <row r="83" spans="1:2" x14ac:dyDescent="0.25">
      <c r="A83" s="67" t="s">
        <v>22</v>
      </c>
      <c r="B83" s="20">
        <f>(B72*B68)</f>
        <v>38.887208658483203</v>
      </c>
    </row>
    <row r="84" spans="1:2" x14ac:dyDescent="0.25">
      <c r="A84" s="67" t="s">
        <v>13</v>
      </c>
      <c r="B84" s="20">
        <f>(B73*B69)</f>
        <v>0</v>
      </c>
    </row>
    <row r="85" spans="1:2" x14ac:dyDescent="0.25">
      <c r="A85" s="67"/>
      <c r="B85" s="20">
        <f>SUM(B83:B84)</f>
        <v>38.887208658483203</v>
      </c>
    </row>
    <row r="86" spans="1:2" x14ac:dyDescent="0.25">
      <c r="A86" s="67" t="s">
        <v>23</v>
      </c>
      <c r="B86" s="20">
        <f>B75*B68</f>
        <v>33.716037294323193</v>
      </c>
    </row>
    <row r="87" spans="1:2" x14ac:dyDescent="0.25">
      <c r="A87" s="67" t="s">
        <v>14</v>
      </c>
      <c r="B87" s="20">
        <f>B76*B69</f>
        <v>0</v>
      </c>
    </row>
    <row r="88" spans="1:2" x14ac:dyDescent="0.25">
      <c r="A88" s="86"/>
      <c r="B88" s="20">
        <f>SUM(B86:B87)</f>
        <v>33.716037294323193</v>
      </c>
    </row>
    <row r="89" spans="1:2" x14ac:dyDescent="0.25">
      <c r="A89" s="83" t="s">
        <v>75</v>
      </c>
      <c r="B89" s="82">
        <f>SUMPRODUCT(B80:B81,B68:B69)</f>
        <v>1.034234272832</v>
      </c>
    </row>
    <row r="90" spans="1:2" x14ac:dyDescent="0.25">
      <c r="A90" s="84"/>
      <c r="B90" s="85"/>
    </row>
    <row r="91" spans="1:2" x14ac:dyDescent="0.25">
      <c r="A91" s="68" t="s">
        <v>7</v>
      </c>
      <c r="B91" s="9"/>
    </row>
    <row r="92" spans="1:2" x14ac:dyDescent="0.25">
      <c r="A92" s="67" t="s">
        <v>24</v>
      </c>
      <c r="B92" s="18">
        <f>+B59*(B83)/B85</f>
        <v>329.01325192264699</v>
      </c>
    </row>
    <row r="93" spans="1:2" x14ac:dyDescent="0.25">
      <c r="A93" s="67" t="s">
        <v>25</v>
      </c>
      <c r="B93" s="18">
        <f>+B60*(B86)/B88</f>
        <v>285.26148969889067</v>
      </c>
    </row>
    <row r="94" spans="1:2" x14ac:dyDescent="0.25">
      <c r="A94" s="67" t="s">
        <v>26</v>
      </c>
      <c r="B94" s="18">
        <f>+B$59*(B84)/B$85</f>
        <v>0</v>
      </c>
    </row>
    <row r="95" spans="1:2" x14ac:dyDescent="0.25">
      <c r="A95" s="69" t="s">
        <v>27</v>
      </c>
      <c r="B95" s="19">
        <f>+B$60*(B87)/B$88</f>
        <v>0</v>
      </c>
    </row>
    <row r="96" spans="1:2" x14ac:dyDescent="0.25">
      <c r="A96" s="70" t="s">
        <v>6</v>
      </c>
      <c r="B96" s="78"/>
    </row>
    <row r="97" spans="1:2" x14ac:dyDescent="0.25">
      <c r="A97" s="71" t="s">
        <v>1</v>
      </c>
      <c r="B97" s="93">
        <f>'Datos de partida'!B30</f>
        <v>4.924498481796391</v>
      </c>
    </row>
    <row r="98" spans="1:2" x14ac:dyDescent="0.25">
      <c r="A98" s="71" t="s">
        <v>2</v>
      </c>
      <c r="B98" s="94">
        <f>'Datos de partida'!B31</f>
        <v>5.6797896599860236</v>
      </c>
    </row>
    <row r="99" spans="1:2" x14ac:dyDescent="0.25">
      <c r="A99" s="72" t="s">
        <v>5</v>
      </c>
      <c r="B99" s="8">
        <f>B92*B97/1000</f>
        <v>1.6202252595839686</v>
      </c>
    </row>
    <row r="100" spans="1:2" x14ac:dyDescent="0.25">
      <c r="A100" s="73" t="s">
        <v>4</v>
      </c>
      <c r="B100" s="7">
        <f>B93*B98/1000</f>
        <v>1.6202252595839688</v>
      </c>
    </row>
    <row r="101" spans="1:2" x14ac:dyDescent="0.25">
      <c r="A101" s="74" t="s">
        <v>3</v>
      </c>
      <c r="B101" s="6">
        <f>SUM(B99:B100)</f>
        <v>3.2404505191679371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7FB3-5656-4314-8871-C2A4A2741A36}">
  <dimension ref="A1:I102"/>
  <sheetViews>
    <sheetView topLeftCell="A12" zoomScaleNormal="100" workbookViewId="0">
      <selection activeCell="B59" sqref="B59"/>
    </sheetView>
  </sheetViews>
  <sheetFormatPr baseColWidth="10" defaultRowHeight="15" x14ac:dyDescent="0.25"/>
  <cols>
    <col min="1" max="1" width="44.140625" customWidth="1"/>
    <col min="2" max="2" width="15.28515625" customWidth="1"/>
    <col min="3" max="3" width="4.28515625" customWidth="1"/>
    <col min="4" max="6" width="15.28515625" customWidth="1"/>
    <col min="7" max="7" width="3.7109375" customWidth="1"/>
    <col min="8" max="9" width="15.28515625" customWidth="1"/>
  </cols>
  <sheetData>
    <row r="1" spans="1:9" ht="57" customHeight="1" x14ac:dyDescent="0.3">
      <c r="A1" s="27" t="s">
        <v>46</v>
      </c>
      <c r="B1" s="108" t="s">
        <v>81</v>
      </c>
      <c r="C1" s="109"/>
      <c r="D1" s="108" t="s">
        <v>82</v>
      </c>
      <c r="E1" s="108" t="s">
        <v>85</v>
      </c>
      <c r="F1" s="108" t="s">
        <v>84</v>
      </c>
      <c r="H1" s="108" t="s">
        <v>83</v>
      </c>
      <c r="I1" s="108" t="s">
        <v>86</v>
      </c>
    </row>
    <row r="2" spans="1:9" ht="15.75" x14ac:dyDescent="0.25">
      <c r="A2" s="31" t="s">
        <v>42</v>
      </c>
      <c r="B2" s="2"/>
      <c r="D2" s="2"/>
      <c r="E2" s="2"/>
      <c r="F2" s="2"/>
      <c r="H2" s="2"/>
      <c r="I2" s="2"/>
    </row>
    <row r="3" spans="1:9" x14ac:dyDescent="0.25">
      <c r="A3" s="3" t="s">
        <v>43</v>
      </c>
      <c r="B3" s="5">
        <v>0.55000000000000004</v>
      </c>
      <c r="D3" s="5">
        <v>0.55000000000000004</v>
      </c>
      <c r="E3" s="5">
        <v>0.55000000000000004</v>
      </c>
      <c r="F3" s="5">
        <v>0.55000000000000004</v>
      </c>
      <c r="H3" s="5">
        <v>0.55000000000000004</v>
      </c>
      <c r="I3" s="5">
        <v>0.55000000000000004</v>
      </c>
    </row>
    <row r="4" spans="1:9" x14ac:dyDescent="0.25">
      <c r="A4" s="30" t="s">
        <v>44</v>
      </c>
      <c r="B4" s="28">
        <v>0.28000000000000003</v>
      </c>
      <c r="D4" s="28">
        <v>0.28000000000000003</v>
      </c>
      <c r="E4" s="116">
        <v>0.26800000000000002</v>
      </c>
      <c r="F4" s="28">
        <v>0.26800000000000002</v>
      </c>
      <c r="H4" s="116">
        <v>0.28000000000000003</v>
      </c>
      <c r="I4" s="116">
        <v>0.28000000000000003</v>
      </c>
    </row>
    <row r="5" spans="1:9" ht="15.75" x14ac:dyDescent="0.25">
      <c r="A5" s="95" t="s">
        <v>62</v>
      </c>
      <c r="B5" s="49"/>
      <c r="D5" s="49"/>
      <c r="E5" s="49"/>
      <c r="F5" s="49"/>
      <c r="H5" s="49"/>
      <c r="I5" s="49"/>
    </row>
    <row r="6" spans="1:9" x14ac:dyDescent="0.25">
      <c r="A6" s="41" t="s">
        <v>76</v>
      </c>
      <c r="B6" s="51">
        <v>0.36199999999999999</v>
      </c>
      <c r="D6" s="51">
        <v>0.36199999999999999</v>
      </c>
      <c r="E6" s="51">
        <v>0.36199999999999999</v>
      </c>
      <c r="F6" s="105">
        <v>0.32900000000000001</v>
      </c>
      <c r="H6" s="51">
        <v>0.36199999999999999</v>
      </c>
      <c r="I6" s="105">
        <v>0.34499999999999997</v>
      </c>
    </row>
    <row r="7" spans="1:9" x14ac:dyDescent="0.25">
      <c r="A7" s="41" t="s">
        <v>77</v>
      </c>
      <c r="B7" s="51">
        <v>2.1000000000000001E-2</v>
      </c>
      <c r="D7" s="51">
        <v>2.1000000000000001E-2</v>
      </c>
      <c r="E7" s="51">
        <v>2.1000000000000001E-2</v>
      </c>
      <c r="F7" s="51">
        <v>2.1000000000000001E-2</v>
      </c>
      <c r="H7" s="51">
        <v>2.1000000000000001E-2</v>
      </c>
      <c r="I7" s="51">
        <v>2.1000000000000001E-2</v>
      </c>
    </row>
    <row r="8" spans="1:9" x14ac:dyDescent="0.25">
      <c r="A8" s="52" t="s">
        <v>63</v>
      </c>
      <c r="B8" s="53">
        <f>SUM(B6:B7)</f>
        <v>0.38300000000000001</v>
      </c>
      <c r="D8" s="53">
        <f>SUM(D6:D7)</f>
        <v>0.38300000000000001</v>
      </c>
      <c r="E8" s="53">
        <f>SUM(E6:E7)</f>
        <v>0.38300000000000001</v>
      </c>
      <c r="F8" s="53">
        <f>SUM(F6:F7)</f>
        <v>0.35000000000000003</v>
      </c>
      <c r="H8" s="53">
        <f>SUM(H6:H7)</f>
        <v>0.38300000000000001</v>
      </c>
      <c r="I8" s="53">
        <f>SUM(I6:I7)</f>
        <v>0.36599999999999999</v>
      </c>
    </row>
    <row r="9" spans="1:9" x14ac:dyDescent="0.25">
      <c r="A9" s="52"/>
      <c r="B9" s="53"/>
      <c r="D9" s="53"/>
      <c r="E9" s="53"/>
      <c r="F9" s="53"/>
      <c r="H9" s="53"/>
      <c r="I9" s="53"/>
    </row>
    <row r="10" spans="1:9" x14ac:dyDescent="0.25">
      <c r="A10" s="41" t="s">
        <v>70</v>
      </c>
      <c r="B10" s="96">
        <v>0.5</v>
      </c>
      <c r="D10" s="96">
        <v>0.5</v>
      </c>
      <c r="E10" s="96">
        <v>0.5</v>
      </c>
      <c r="F10" s="96">
        <v>0.5</v>
      </c>
      <c r="H10" s="96">
        <v>0.5</v>
      </c>
      <c r="I10" s="96">
        <v>0.5</v>
      </c>
    </row>
    <row r="11" spans="1:9" x14ac:dyDescent="0.25">
      <c r="A11" s="41" t="s">
        <v>71</v>
      </c>
      <c r="B11" s="97">
        <f>1-B10</f>
        <v>0.5</v>
      </c>
      <c r="D11" s="97">
        <f>1-D10</f>
        <v>0.5</v>
      </c>
      <c r="E11" s="97">
        <f>1-E10</f>
        <v>0.5</v>
      </c>
      <c r="F11" s="97">
        <f>1-F10</f>
        <v>0.5</v>
      </c>
      <c r="H11" s="97">
        <f>1-H10</f>
        <v>0.5</v>
      </c>
      <c r="I11" s="97">
        <f>1-I10</f>
        <v>0.5</v>
      </c>
    </row>
    <row r="12" spans="1:9" x14ac:dyDescent="0.25">
      <c r="A12" s="52" t="s">
        <v>78</v>
      </c>
      <c r="B12" s="54">
        <f>B31*B19/1000</f>
        <v>0.1915</v>
      </c>
      <c r="D12" s="54">
        <f t="shared" ref="D12:F13" si="0">D31*D19/1000</f>
        <v>0.1915</v>
      </c>
      <c r="E12" s="54">
        <f t="shared" si="0"/>
        <v>0.1915</v>
      </c>
      <c r="F12" s="54">
        <f t="shared" si="0"/>
        <v>0.17500000000000002</v>
      </c>
      <c r="H12" s="54">
        <f>H31*H19/1000</f>
        <v>0.19150000000000003</v>
      </c>
      <c r="I12" s="54">
        <f>I31*I19/1000</f>
        <v>0.18299999999999997</v>
      </c>
    </row>
    <row r="13" spans="1:9" x14ac:dyDescent="0.25">
      <c r="A13" s="52" t="s">
        <v>79</v>
      </c>
      <c r="B13" s="55">
        <f>B32*B20/1000</f>
        <v>0.19150000000000003</v>
      </c>
      <c r="D13" s="55">
        <f t="shared" si="0"/>
        <v>0.1915</v>
      </c>
      <c r="E13" s="55">
        <f t="shared" si="0"/>
        <v>0.1915</v>
      </c>
      <c r="F13" s="55">
        <f t="shared" si="0"/>
        <v>0.17500000000000002</v>
      </c>
      <c r="H13" s="55">
        <f>H32*H20/1000</f>
        <v>0.1915</v>
      </c>
      <c r="I13" s="55">
        <f>I32*I20/1000</f>
        <v>0.18299999999999997</v>
      </c>
    </row>
    <row r="14" spans="1:9" ht="15.75" x14ac:dyDescent="0.25">
      <c r="A14" s="95" t="s">
        <v>47</v>
      </c>
      <c r="B14" s="2"/>
      <c r="D14" s="2"/>
      <c r="E14" s="2"/>
      <c r="F14" s="2"/>
      <c r="H14" s="2"/>
      <c r="I14" s="2"/>
    </row>
    <row r="15" spans="1:9" x14ac:dyDescent="0.25">
      <c r="A15" s="52" t="s">
        <v>9</v>
      </c>
      <c r="B15" s="1"/>
      <c r="D15" s="1"/>
      <c r="E15" s="1"/>
      <c r="F15" s="1"/>
      <c r="H15" s="1"/>
      <c r="I15" s="1"/>
    </row>
    <row r="16" spans="1:9" x14ac:dyDescent="0.25">
      <c r="A16" s="45" t="s">
        <v>65</v>
      </c>
      <c r="B16" s="99">
        <v>3.7600000000000001E-2</v>
      </c>
      <c r="D16" s="104">
        <v>3.3599999999999998E-2</v>
      </c>
      <c r="E16" s="99">
        <v>3.3599999999999998E-2</v>
      </c>
      <c r="F16" s="99">
        <v>3.3599999999999998E-2</v>
      </c>
      <c r="H16" s="104">
        <v>3.5900000000000001E-2</v>
      </c>
      <c r="I16" s="104">
        <v>3.5900000000000001E-2</v>
      </c>
    </row>
    <row r="17" spans="1:9" x14ac:dyDescent="0.25">
      <c r="A17" s="45" t="s">
        <v>66</v>
      </c>
      <c r="B17" s="99">
        <v>3.2599999999999997E-2</v>
      </c>
      <c r="D17" s="104">
        <v>3.1099999999999999E-2</v>
      </c>
      <c r="E17" s="99">
        <v>3.1099999999999999E-2</v>
      </c>
      <c r="F17" s="99">
        <v>3.1099999999999999E-2</v>
      </c>
      <c r="H17" s="99">
        <v>3.1099999999999999E-2</v>
      </c>
      <c r="I17" s="99">
        <v>3.1099999999999999E-2</v>
      </c>
    </row>
    <row r="18" spans="1:9" x14ac:dyDescent="0.25">
      <c r="A18" s="115" t="s">
        <v>69</v>
      </c>
      <c r="B18" s="117">
        <f>B16/B17</f>
        <v>1.1533742331288346</v>
      </c>
      <c r="D18" s="117">
        <f>D16/D17</f>
        <v>1.080385852090032</v>
      </c>
      <c r="E18" s="117">
        <f>E16/E17</f>
        <v>1.080385852090032</v>
      </c>
      <c r="F18" s="117">
        <f>F16/F17</f>
        <v>1.080385852090032</v>
      </c>
      <c r="H18" s="117">
        <f>H16/H17</f>
        <v>1.1543408360128617</v>
      </c>
      <c r="I18" s="117">
        <f>I16/I17</f>
        <v>1.1543408360128617</v>
      </c>
    </row>
    <row r="19" spans="1:9" x14ac:dyDescent="0.25">
      <c r="A19" s="45" t="s">
        <v>67</v>
      </c>
      <c r="B19" s="46">
        <f>B16*B25</f>
        <v>38.887208658483203</v>
      </c>
      <c r="D19" s="46">
        <f>D16*D25</f>
        <v>34.750425008947197</v>
      </c>
      <c r="E19" s="46">
        <f>E16*E25</f>
        <v>34.750425008947197</v>
      </c>
      <c r="F19" s="46">
        <f>F16*F25</f>
        <v>34.750425008947197</v>
      </c>
      <c r="H19" s="46">
        <f>H16*H25</f>
        <v>37.129080071399201</v>
      </c>
      <c r="I19" s="46">
        <f>I16*I25</f>
        <v>37.129080071399201</v>
      </c>
    </row>
    <row r="20" spans="1:9" x14ac:dyDescent="0.25">
      <c r="A20" s="45" t="s">
        <v>68</v>
      </c>
      <c r="B20" s="46">
        <f>B17*B25</f>
        <v>33.716037294323193</v>
      </c>
      <c r="D20" s="46">
        <f>D17*D25</f>
        <v>32.164827910067196</v>
      </c>
      <c r="E20" s="46">
        <f>E17*E25</f>
        <v>32.164827910067196</v>
      </c>
      <c r="F20" s="46">
        <f>F17*F25</f>
        <v>32.164827910067196</v>
      </c>
      <c r="H20" s="46">
        <f>H17*H25</f>
        <v>32.164746245696797</v>
      </c>
      <c r="I20" s="46">
        <f>I17*I25</f>
        <v>32.164746245696797</v>
      </c>
    </row>
    <row r="21" spans="1:9" x14ac:dyDescent="0.25">
      <c r="A21" s="45" t="s">
        <v>59</v>
      </c>
      <c r="B21" s="36">
        <v>48</v>
      </c>
      <c r="D21" s="36">
        <v>48</v>
      </c>
      <c r="E21" s="36">
        <v>48</v>
      </c>
      <c r="F21" s="36">
        <v>48</v>
      </c>
      <c r="H21" s="36">
        <v>48</v>
      </c>
      <c r="I21" s="36">
        <v>48</v>
      </c>
    </row>
    <row r="22" spans="1:9" x14ac:dyDescent="0.25">
      <c r="A22" s="45" t="s">
        <v>60</v>
      </c>
      <c r="B22" s="36">
        <v>9</v>
      </c>
      <c r="D22" s="36">
        <v>9</v>
      </c>
      <c r="E22" s="36">
        <v>9</v>
      </c>
      <c r="F22" s="36">
        <v>9</v>
      </c>
      <c r="H22" s="36">
        <v>9</v>
      </c>
      <c r="I22" s="36">
        <v>9</v>
      </c>
    </row>
    <row r="23" spans="1:9" x14ac:dyDescent="0.25">
      <c r="A23" s="45" t="s">
        <v>58</v>
      </c>
      <c r="B23" s="46">
        <f>B25-SUM(B19:B22)</f>
        <v>904.63102687919354</v>
      </c>
      <c r="D23" s="46">
        <f>D25-SUM(D19:D22)</f>
        <v>910.32358663298555</v>
      </c>
      <c r="E23" s="46">
        <f>E25-SUM(E19:E22)</f>
        <v>910.32358663298555</v>
      </c>
      <c r="F23" s="46">
        <f>F25-SUM(F19:F22)</f>
        <v>910.32358663298555</v>
      </c>
      <c r="H23" s="46">
        <f>H25-SUM(H19:H22)</f>
        <v>907.94238737090393</v>
      </c>
      <c r="I23" s="46">
        <f>I25-SUM(I19:I22)</f>
        <v>907.94238737090393</v>
      </c>
    </row>
    <row r="24" spans="1:9" x14ac:dyDescent="0.25">
      <c r="A24" s="45" t="s">
        <v>72</v>
      </c>
      <c r="B24" s="1">
        <v>20</v>
      </c>
      <c r="D24" s="1">
        <v>20</v>
      </c>
      <c r="E24" s="1">
        <v>20</v>
      </c>
      <c r="F24" s="1">
        <v>20</v>
      </c>
      <c r="H24" s="1">
        <v>20</v>
      </c>
      <c r="I24" s="1">
        <v>20</v>
      </c>
    </row>
    <row r="25" spans="1:9" x14ac:dyDescent="0.25">
      <c r="A25" s="45" t="s">
        <v>61</v>
      </c>
      <c r="B25" s="47">
        <f>-0.2307*10^(-2)*B24^2-0.2655*B24+1040.51-B16*(-0.478*10^(-4)*B24^2+0.969*10^(-2)*B24+0.967)</f>
        <v>1034.234272832</v>
      </c>
      <c r="D25" s="47">
        <f>-0.2307*10^(-2)*D24^2-0.2655*D24+1040.51-D16*(-0.478*10^(-4)*D24^2+0.969*10^(-2)*D24+0.967)</f>
        <v>1034.2388395519999</v>
      </c>
      <c r="E25" s="47">
        <f>-0.2307*10^(-2)*E24^2-0.2655*E24+1040.51-E16*(-0.478*10^(-4)*E24^2+0.969*10^(-2)*E24+0.967)</f>
        <v>1034.2388395519999</v>
      </c>
      <c r="F25" s="47">
        <f>-0.2307*10^(-2)*F24^2-0.2655*F24+1040.51-F16*(-0.478*10^(-4)*F24^2+0.969*10^(-2)*F24+0.967)</f>
        <v>1034.2388395519999</v>
      </c>
      <c r="H25" s="47">
        <f>-0.2307*10^(-2)*H24^2-0.2655*H24+1040.51-H16*(-0.478*10^(-4)*H24^2+0.969*10^(-2)*H24+0.967)</f>
        <v>1034.2362136879999</v>
      </c>
      <c r="I25" s="47">
        <f>-0.2307*10^(-2)*I24^2-0.2655*I24+1040.51-I16*(-0.478*10^(-4)*I24^2+0.969*10^(-2)*I24+0.967)</f>
        <v>1034.2362136879999</v>
      </c>
    </row>
    <row r="26" spans="1:9" x14ac:dyDescent="0.25">
      <c r="A26" s="52" t="s">
        <v>54</v>
      </c>
      <c r="B26" s="1"/>
      <c r="D26" s="1"/>
      <c r="E26" s="1"/>
      <c r="F26" s="1"/>
      <c r="H26" s="1"/>
      <c r="I26" s="1"/>
    </row>
    <row r="27" spans="1:9" x14ac:dyDescent="0.25">
      <c r="A27" s="45" t="s">
        <v>65</v>
      </c>
      <c r="B27" s="102">
        <v>0.43</v>
      </c>
      <c r="D27" s="102">
        <v>0.43</v>
      </c>
      <c r="E27" s="99">
        <v>0.41020000000000001</v>
      </c>
      <c r="F27" s="99">
        <v>0.41020000000000001</v>
      </c>
      <c r="H27" s="99">
        <v>0.41020000000000001</v>
      </c>
      <c r="I27" s="99">
        <v>0.41020000000000001</v>
      </c>
    </row>
    <row r="28" spans="1:9" x14ac:dyDescent="0.25">
      <c r="A28" s="45" t="s">
        <v>1</v>
      </c>
      <c r="B28" s="46">
        <f>B27*B41*1000</f>
        <v>423.62953279999999</v>
      </c>
      <c r="D28" s="46">
        <f>D27*D41*1000</f>
        <v>423.62953279999999</v>
      </c>
      <c r="E28" s="46">
        <f>E27*E41*1000</f>
        <v>405.05013852127996</v>
      </c>
      <c r="F28" s="46">
        <f>F27*F41*1000</f>
        <v>405.05013852127996</v>
      </c>
      <c r="H28" s="46">
        <f>H27*H41*1000</f>
        <v>405.05013852127996</v>
      </c>
      <c r="I28" s="46">
        <f>I27*I41*1000</f>
        <v>405.05013852127996</v>
      </c>
    </row>
    <row r="29" spans="1:9" x14ac:dyDescent="0.25">
      <c r="A29" s="45" t="s">
        <v>2</v>
      </c>
      <c r="B29" s="29">
        <v>5.91</v>
      </c>
      <c r="D29" s="29">
        <v>5.91</v>
      </c>
      <c r="E29" s="51">
        <v>1.67</v>
      </c>
      <c r="F29" s="51">
        <v>1.67</v>
      </c>
      <c r="H29" s="51">
        <v>1.67</v>
      </c>
      <c r="I29" s="51">
        <v>1.67</v>
      </c>
    </row>
    <row r="30" spans="1:9" x14ac:dyDescent="0.25">
      <c r="A30" s="98" t="s">
        <v>6</v>
      </c>
      <c r="B30" s="1"/>
      <c r="D30" s="1"/>
      <c r="E30" s="1"/>
      <c r="F30" s="1"/>
      <c r="H30" s="1"/>
      <c r="I30" s="1"/>
    </row>
    <row r="31" spans="1:9" x14ac:dyDescent="0.25">
      <c r="A31" s="45" t="s">
        <v>1</v>
      </c>
      <c r="B31" s="37">
        <f>B8/B19*B10*1000</f>
        <v>4.924498481796391</v>
      </c>
      <c r="D31" s="106">
        <f>D8/D19*D10*1000</f>
        <v>5.5107239681441156</v>
      </c>
      <c r="E31" s="106">
        <f>E8/E19*E10*1000</f>
        <v>5.5107239681441156</v>
      </c>
      <c r="F31" s="106">
        <f>F8/F19*F10*1000</f>
        <v>5.0359096314632916</v>
      </c>
      <c r="H31" s="106">
        <f>H8/H19*H10*1000</f>
        <v>5.1576823242521934</v>
      </c>
      <c r="I31" s="106">
        <f>I8/I19*I10*1000</f>
        <v>4.9287512550295096</v>
      </c>
    </row>
    <row r="32" spans="1:9" x14ac:dyDescent="0.25">
      <c r="A32" s="45" t="s">
        <v>2</v>
      </c>
      <c r="B32" s="38">
        <f>B8/B20*B11*1000</f>
        <v>5.6797896599860236</v>
      </c>
      <c r="D32" s="107">
        <f>D8/D20*D11*1000</f>
        <v>5.9537082099563436</v>
      </c>
      <c r="E32" s="107">
        <f>E8/E20*E11*1000</f>
        <v>5.9537082099563436</v>
      </c>
      <c r="F32" s="107">
        <f>F8/F20*F11*1000</f>
        <v>5.4407255182368681</v>
      </c>
      <c r="H32" s="107">
        <f>H8/H20*H11*1000</f>
        <v>5.9537233260660365</v>
      </c>
      <c r="I32" s="107">
        <f>I8/I20*I11*1000</f>
        <v>5.6894588442302068</v>
      </c>
    </row>
    <row r="33" spans="1:9" ht="15.75" x14ac:dyDescent="0.25">
      <c r="A33" s="31" t="s">
        <v>64</v>
      </c>
      <c r="B33" s="2"/>
      <c r="D33" s="2"/>
      <c r="E33" s="2"/>
      <c r="F33" s="2"/>
      <c r="H33" s="2"/>
      <c r="I33" s="2"/>
    </row>
    <row r="34" spans="1:9" x14ac:dyDescent="0.25">
      <c r="A34" s="32" t="s">
        <v>53</v>
      </c>
      <c r="B34" s="1"/>
      <c r="D34" s="1"/>
      <c r="E34" s="1"/>
      <c r="F34" s="1"/>
      <c r="H34" s="1"/>
      <c r="I34" s="1"/>
    </row>
    <row r="35" spans="1:9" x14ac:dyDescent="0.25">
      <c r="A35" s="33" t="s">
        <v>50</v>
      </c>
      <c r="B35" s="35">
        <v>1</v>
      </c>
      <c r="D35" s="35">
        <v>1</v>
      </c>
      <c r="E35" s="35">
        <v>1</v>
      </c>
      <c r="F35" s="35">
        <v>1</v>
      </c>
      <c r="H35" s="35">
        <v>1</v>
      </c>
      <c r="I35" s="35">
        <v>1</v>
      </c>
    </row>
    <row r="36" spans="1:9" x14ac:dyDescent="0.25">
      <c r="A36" s="33" t="s">
        <v>51</v>
      </c>
      <c r="B36" s="100">
        <f>1-B35</f>
        <v>0</v>
      </c>
      <c r="D36" s="100">
        <f>1-D35</f>
        <v>0</v>
      </c>
      <c r="E36" s="100">
        <f>1-E35</f>
        <v>0</v>
      </c>
      <c r="F36" s="100">
        <f>1-F35</f>
        <v>0</v>
      </c>
      <c r="H36" s="100">
        <f>1-H35</f>
        <v>0</v>
      </c>
      <c r="I36" s="100">
        <f>1-I35</f>
        <v>0</v>
      </c>
    </row>
    <row r="37" spans="1:9" x14ac:dyDescent="0.25">
      <c r="A37" s="32" t="s">
        <v>52</v>
      </c>
      <c r="B37" s="1"/>
      <c r="D37" s="1"/>
      <c r="E37" s="1"/>
      <c r="F37" s="1"/>
      <c r="H37" s="1"/>
      <c r="I37" s="1"/>
    </row>
    <row r="38" spans="1:9" x14ac:dyDescent="0.25">
      <c r="A38" s="33" t="s">
        <v>48</v>
      </c>
      <c r="B38" s="100"/>
      <c r="D38" s="100"/>
      <c r="E38" s="100"/>
      <c r="F38" s="100"/>
      <c r="H38" s="100"/>
      <c r="I38" s="100"/>
    </row>
    <row r="39" spans="1:9" x14ac:dyDescent="0.25">
      <c r="A39" s="39" t="s">
        <v>49</v>
      </c>
      <c r="B39" s="40">
        <v>0.94650000000000001</v>
      </c>
      <c r="D39" s="40">
        <v>0.94650000000000001</v>
      </c>
      <c r="E39" s="40">
        <v>0.94650000000000001</v>
      </c>
      <c r="F39" s="40">
        <v>0.94650000000000001</v>
      </c>
      <c r="H39" s="40">
        <v>0.94650000000000001</v>
      </c>
      <c r="I39" s="40">
        <v>0.94650000000000001</v>
      </c>
    </row>
    <row r="40" spans="1:9" x14ac:dyDescent="0.25">
      <c r="A40" s="34" t="s">
        <v>55</v>
      </c>
      <c r="B40" s="2"/>
      <c r="D40" s="2"/>
      <c r="E40" s="2"/>
      <c r="F40" s="2"/>
      <c r="H40" s="2"/>
      <c r="I40" s="2"/>
    </row>
    <row r="41" spans="1:9" x14ac:dyDescent="0.25">
      <c r="A41" s="42" t="s">
        <v>56</v>
      </c>
      <c r="B41" s="50">
        <f>(-0.2307*10^(-2)*B24^2-0.2655*B24+1040.51-B27*100*(-0.478*10^(-4)*B24^2+0.969*10^(-2)*B24+0.967))/1000</f>
        <v>0.98518496</v>
      </c>
      <c r="D41" s="50">
        <f>(-0.2307*10^(-2)*D24^2-0.2655*D24+1040.51-D27*100*(-0.478*10^(-4)*D24^2+0.969*10^(-2)*D24+0.967))/1000</f>
        <v>0.98518496</v>
      </c>
      <c r="E41" s="50">
        <f>(-0.2307*10^(-2)*E24^2-0.2655*E24+1040.51-E27*100*(-0.478*10^(-4)*E24^2+0.969*10^(-2)*E24+0.967))/1000</f>
        <v>0.98744548639999996</v>
      </c>
      <c r="F41" s="50">
        <f>(-0.2307*10^(-2)*F24^2-0.2655*F24+1040.51-F27*100*(-0.478*10^(-4)*F24^2+0.969*10^(-2)*F24+0.967))/1000</f>
        <v>0.98744548639999996</v>
      </c>
      <c r="H41" s="50">
        <f>(-0.2307*10^(-2)*H24^2-0.2655*H24+1040.51-H27*100*(-0.478*10^(-4)*H24^2+0.969*10^(-2)*H24+0.967))/1000</f>
        <v>0.98744548639999996</v>
      </c>
      <c r="I41" s="50">
        <f>(-0.2307*10^(-2)*I24^2-0.2655*I24+1040.51-I27*100*(-0.478*10^(-4)*I24^2+0.969*10^(-2)*I24+0.967))/1000</f>
        <v>0.98744548639999996</v>
      </c>
    </row>
    <row r="43" spans="1:9" ht="18.75" x14ac:dyDescent="0.3">
      <c r="A43" s="27" t="s">
        <v>80</v>
      </c>
    </row>
    <row r="44" spans="1:9" x14ac:dyDescent="0.25">
      <c r="A44" s="34" t="s">
        <v>19</v>
      </c>
      <c r="B44" s="56"/>
      <c r="D44" s="56"/>
      <c r="E44" s="56"/>
      <c r="F44" s="56"/>
      <c r="H44" s="56"/>
      <c r="I44" s="56"/>
    </row>
    <row r="45" spans="1:9" x14ac:dyDescent="0.25">
      <c r="A45" s="57" t="s">
        <v>18</v>
      </c>
      <c r="B45" s="103">
        <f>Ejemplo!B3</f>
        <v>0.55000000000000004</v>
      </c>
      <c r="D45" s="103">
        <f>Ejemplo!D3</f>
        <v>0.55000000000000004</v>
      </c>
      <c r="E45" s="103">
        <f>Ejemplo!E3</f>
        <v>0.55000000000000004</v>
      </c>
      <c r="F45" s="103">
        <f>Ejemplo!F3</f>
        <v>0.55000000000000004</v>
      </c>
      <c r="H45" s="103">
        <f>Ejemplo!H3</f>
        <v>0.55000000000000004</v>
      </c>
      <c r="I45" s="103">
        <f>Ejemplo!I3</f>
        <v>0.55000000000000004</v>
      </c>
    </row>
    <row r="46" spans="1:9" x14ac:dyDescent="0.25">
      <c r="A46" s="57" t="s">
        <v>1</v>
      </c>
      <c r="B46" s="103">
        <f>Ejemplo!B4</f>
        <v>0.28000000000000003</v>
      </c>
      <c r="D46" s="103">
        <f>Ejemplo!D4</f>
        <v>0.28000000000000003</v>
      </c>
      <c r="E46" s="103">
        <f>Ejemplo!E4</f>
        <v>0.26800000000000002</v>
      </c>
      <c r="F46" s="103">
        <f>Ejemplo!F4</f>
        <v>0.26800000000000002</v>
      </c>
      <c r="H46" s="103">
        <f>Ejemplo!H4</f>
        <v>0.28000000000000003</v>
      </c>
      <c r="I46" s="103">
        <f>Ejemplo!I4</f>
        <v>0.28000000000000003</v>
      </c>
    </row>
    <row r="47" spans="1:9" x14ac:dyDescent="0.25">
      <c r="A47" s="58" t="s">
        <v>16</v>
      </c>
      <c r="B47" s="13">
        <f>B46/B45</f>
        <v>0.50909090909090915</v>
      </c>
      <c r="D47" s="13">
        <f>D46/D45</f>
        <v>0.50909090909090915</v>
      </c>
      <c r="E47" s="13">
        <f>E46/E45</f>
        <v>0.48727272727272725</v>
      </c>
      <c r="F47" s="13">
        <f>F46/F45</f>
        <v>0.48727272727272725</v>
      </c>
      <c r="H47" s="13">
        <f>H46/H45</f>
        <v>0.50909090909090915</v>
      </c>
      <c r="I47" s="13">
        <f>I46/I45</f>
        <v>0.50909090909090915</v>
      </c>
    </row>
    <row r="48" spans="1:9" x14ac:dyDescent="0.25">
      <c r="A48" s="57" t="s">
        <v>17</v>
      </c>
      <c r="B48" s="13">
        <f>(1-B45)/(1-B45*B47)</f>
        <v>0.625</v>
      </c>
      <c r="D48" s="13">
        <f>(1-D45)/(1-D45*D47)</f>
        <v>0.625</v>
      </c>
      <c r="E48" s="13">
        <f>(1-E45)/(1-E45*E47)</f>
        <v>0.61475409836065564</v>
      </c>
      <c r="F48" s="13">
        <f>(1-F45)/(1-F45*F47)</f>
        <v>0.61475409836065564</v>
      </c>
      <c r="H48" s="13">
        <f>(1-H45)/(1-H45*H47)</f>
        <v>0.625</v>
      </c>
      <c r="I48" s="13">
        <f>(1-I45)/(1-I45*I47)</f>
        <v>0.625</v>
      </c>
    </row>
    <row r="49" spans="1:9" x14ac:dyDescent="0.25">
      <c r="A49" s="57" t="s">
        <v>0</v>
      </c>
      <c r="B49" s="21">
        <f>B45-B46</f>
        <v>0.27</v>
      </c>
      <c r="D49" s="21">
        <f>D45-D46</f>
        <v>0.27</v>
      </c>
      <c r="E49" s="21">
        <f>E45-E46</f>
        <v>0.28200000000000003</v>
      </c>
      <c r="F49" s="21">
        <f>F45-F46</f>
        <v>0.28200000000000003</v>
      </c>
      <c r="H49" s="21">
        <f>H45-H46</f>
        <v>0.27</v>
      </c>
      <c r="I49" s="21">
        <f>I45-I46</f>
        <v>0.27</v>
      </c>
    </row>
    <row r="50" spans="1:9" x14ac:dyDescent="0.25">
      <c r="A50" s="59"/>
      <c r="B50" s="15"/>
      <c r="D50" s="15"/>
      <c r="E50" s="15"/>
      <c r="F50" s="15"/>
      <c r="H50" s="15"/>
      <c r="I50" s="15"/>
    </row>
    <row r="51" spans="1:9" x14ac:dyDescent="0.25">
      <c r="A51" s="59" t="s">
        <v>20</v>
      </c>
      <c r="B51" s="11">
        <f>B89</f>
        <v>33.716037294323193</v>
      </c>
      <c r="D51" s="11">
        <f>D89</f>
        <v>32.164827910067196</v>
      </c>
      <c r="E51" s="11">
        <f>E89</f>
        <v>32.164827910067196</v>
      </c>
      <c r="F51" s="11">
        <f>F89</f>
        <v>32.164827910067196</v>
      </c>
      <c r="H51" s="11">
        <f>H89</f>
        <v>32.164746245696797</v>
      </c>
      <c r="I51" s="11">
        <f>I89</f>
        <v>32.164746245696797</v>
      </c>
    </row>
    <row r="52" spans="1:9" x14ac:dyDescent="0.25">
      <c r="A52" s="59" t="s">
        <v>37</v>
      </c>
      <c r="B52" s="75">
        <f>Ejemplo!B39</f>
        <v>0.94650000000000001</v>
      </c>
      <c r="D52" s="75">
        <f>Ejemplo!D39</f>
        <v>0.94650000000000001</v>
      </c>
      <c r="E52" s="75">
        <f>Ejemplo!E39</f>
        <v>0.94650000000000001</v>
      </c>
      <c r="F52" s="75">
        <f>Ejemplo!F39</f>
        <v>0.94650000000000001</v>
      </c>
      <c r="H52" s="75">
        <f>Ejemplo!H39</f>
        <v>0.94650000000000001</v>
      </c>
      <c r="I52" s="75">
        <f>Ejemplo!I39</f>
        <v>0.94650000000000001</v>
      </c>
    </row>
    <row r="53" spans="1:9" x14ac:dyDescent="0.25">
      <c r="A53" s="59" t="s">
        <v>45</v>
      </c>
      <c r="B53" s="43">
        <f>B56/B59</f>
        <v>0.85102955082742282</v>
      </c>
      <c r="D53" s="43">
        <f>D56/D59</f>
        <v>0.90852314814814805</v>
      </c>
      <c r="E53" s="43">
        <f>E56/E59</f>
        <v>0.83258276342451876</v>
      </c>
      <c r="F53" s="43">
        <f>F56/F59</f>
        <v>0.83258276342451876</v>
      </c>
      <c r="H53" s="43">
        <f>H56/H59</f>
        <v>0.85031692974311357</v>
      </c>
      <c r="I53" s="43">
        <f>I56/I59</f>
        <v>0.85031692974311357</v>
      </c>
    </row>
    <row r="54" spans="1:9" x14ac:dyDescent="0.25">
      <c r="A54" s="59" t="s">
        <v>57</v>
      </c>
      <c r="B54" s="12">
        <f>B52*B51</f>
        <v>31.912229299076902</v>
      </c>
      <c r="D54" s="12">
        <f>D52*D51</f>
        <v>30.444009616878599</v>
      </c>
      <c r="E54" s="12">
        <f>E52*E51</f>
        <v>30.444009616878599</v>
      </c>
      <c r="F54" s="12">
        <f>F52*F51</f>
        <v>30.444009616878599</v>
      </c>
      <c r="H54" s="12">
        <f>H52*H51</f>
        <v>30.443932321552019</v>
      </c>
      <c r="I54" s="12">
        <f>I52*I51</f>
        <v>30.443932321552019</v>
      </c>
    </row>
    <row r="55" spans="1:9" x14ac:dyDescent="0.25">
      <c r="A55" s="59" t="s">
        <v>38</v>
      </c>
      <c r="B55" s="14">
        <f>B49*1000/B54</f>
        <v>8.4607063163653713</v>
      </c>
      <c r="D55" s="14">
        <f>D49*1000/D54</f>
        <v>8.8687398078572439</v>
      </c>
      <c r="E55" s="14">
        <f>E49*1000/E54</f>
        <v>9.2629060215397878</v>
      </c>
      <c r="F55" s="14">
        <f>F49*1000/F54</f>
        <v>9.2629060215397878</v>
      </c>
      <c r="H55" s="14">
        <f>H49*1000/H54</f>
        <v>8.8687623250581282</v>
      </c>
      <c r="I55" s="14">
        <f>I49*1000/I54</f>
        <v>8.8687623250581282</v>
      </c>
    </row>
    <row r="56" spans="1:9" x14ac:dyDescent="0.25">
      <c r="A56" s="59" t="s">
        <v>39</v>
      </c>
      <c r="B56" s="12">
        <f>B46*1000/B55</f>
        <v>33.09416371756123</v>
      </c>
      <c r="D56" s="12">
        <f>D46*1000/D55</f>
        <v>31.571565528614844</v>
      </c>
      <c r="E56" s="12">
        <f>E46*1000/E55</f>
        <v>28.932604884125762</v>
      </c>
      <c r="F56" s="12">
        <f>F46*1000/F55</f>
        <v>28.932604884125762</v>
      </c>
      <c r="H56" s="12">
        <f>H46*1000/H55</f>
        <v>31.571485370498394</v>
      </c>
      <c r="I56" s="12">
        <f>I46*1000/I55</f>
        <v>31.571485370498394</v>
      </c>
    </row>
    <row r="57" spans="1:9" x14ac:dyDescent="0.25">
      <c r="A57" s="59" t="s">
        <v>28</v>
      </c>
      <c r="B57" s="22">
        <f>B59-B56</f>
        <v>5.7930449409219733</v>
      </c>
      <c r="D57" s="22">
        <f>D59-D56</f>
        <v>3.1788594803323527</v>
      </c>
      <c r="E57" s="22">
        <f>E59-E56</f>
        <v>5.8178201248214343</v>
      </c>
      <c r="F57" s="22">
        <f>F59-F56</f>
        <v>5.8178201248214343</v>
      </c>
      <c r="H57" s="22">
        <f>H59-H56</f>
        <v>5.5575947009008075</v>
      </c>
      <c r="I57" s="22">
        <f>I59-I56</f>
        <v>5.5575947009008075</v>
      </c>
    </row>
    <row r="58" spans="1:9" x14ac:dyDescent="0.25">
      <c r="A58" s="59" t="s">
        <v>36</v>
      </c>
      <c r="B58" s="13">
        <f>B57/B59</f>
        <v>0.14897044917257712</v>
      </c>
      <c r="D58" s="13">
        <f>D57/D59</f>
        <v>9.147685185185192E-2</v>
      </c>
      <c r="E58" s="13">
        <f>E57/E59</f>
        <v>0.1674172365754813</v>
      </c>
      <c r="F58" s="13">
        <f>F57/F59</f>
        <v>0.1674172365754813</v>
      </c>
      <c r="H58" s="13">
        <f>H57/H59</f>
        <v>0.1496830702568864</v>
      </c>
      <c r="I58" s="13">
        <f>I57/I59</f>
        <v>0.1496830702568864</v>
      </c>
    </row>
    <row r="59" spans="1:9" x14ac:dyDescent="0.25">
      <c r="A59" s="59" t="s">
        <v>29</v>
      </c>
      <c r="B59" s="12">
        <f>B86</f>
        <v>38.887208658483203</v>
      </c>
      <c r="D59" s="12">
        <f>D86</f>
        <v>34.750425008947197</v>
      </c>
      <c r="E59" s="12">
        <f>E86</f>
        <v>34.750425008947197</v>
      </c>
      <c r="F59" s="12">
        <f>F86</f>
        <v>34.750425008947197</v>
      </c>
      <c r="H59" s="12">
        <f>H86</f>
        <v>37.129080071399201</v>
      </c>
      <c r="I59" s="12">
        <f>I86</f>
        <v>37.129080071399201</v>
      </c>
    </row>
    <row r="60" spans="1:9" x14ac:dyDescent="0.25">
      <c r="A60" s="60" t="s">
        <v>35</v>
      </c>
      <c r="B60" s="25">
        <f>B59*B55</f>
        <v>329.01325192264699</v>
      </c>
      <c r="D60" s="113">
        <f>D59*D55</f>
        <v>308.19247761680793</v>
      </c>
      <c r="E60" s="110">
        <f>E59*E55</f>
        <v>321.88992106644383</v>
      </c>
      <c r="F60" s="110">
        <f>F59*F55</f>
        <v>321.88992106644383</v>
      </c>
      <c r="H60" s="110">
        <f>H59*H55</f>
        <v>329.28898650129179</v>
      </c>
      <c r="I60" s="110">
        <f>I59*I55</f>
        <v>329.28898650129179</v>
      </c>
    </row>
    <row r="61" spans="1:9" x14ac:dyDescent="0.25">
      <c r="A61" s="61" t="s">
        <v>34</v>
      </c>
      <c r="B61" s="26">
        <f>B51*B55</f>
        <v>285.26148969889067</v>
      </c>
      <c r="D61" s="114">
        <f>D51*D55</f>
        <v>285.26148969889067</v>
      </c>
      <c r="E61" s="111">
        <f>E51*E55</f>
        <v>297.93977812995246</v>
      </c>
      <c r="F61" s="111">
        <f>F51*F55</f>
        <v>297.93977812995246</v>
      </c>
      <c r="H61" s="111">
        <f>H51*H55</f>
        <v>285.26148969889061</v>
      </c>
      <c r="I61" s="111">
        <f>I51*I55</f>
        <v>285.26148969889061</v>
      </c>
    </row>
    <row r="62" spans="1:9" x14ac:dyDescent="0.25">
      <c r="A62" s="62" t="s">
        <v>32</v>
      </c>
      <c r="B62" s="10">
        <f>+B95/B55</f>
        <v>0</v>
      </c>
      <c r="D62" s="10">
        <f>+D95/D55</f>
        <v>0</v>
      </c>
      <c r="E62" s="10">
        <f>+E95/E55</f>
        <v>0</v>
      </c>
      <c r="F62" s="10">
        <f>+F95/F55</f>
        <v>0</v>
      </c>
      <c r="H62" s="10">
        <f>+H95/H55</f>
        <v>0</v>
      </c>
      <c r="I62" s="10">
        <f>+I95/I55</f>
        <v>0</v>
      </c>
    </row>
    <row r="63" spans="1:9" x14ac:dyDescent="0.25">
      <c r="A63" s="63" t="s">
        <v>31</v>
      </c>
      <c r="B63" s="16">
        <f>B57-B62</f>
        <v>5.7930449409219733</v>
      </c>
      <c r="D63" s="112">
        <f>D57-D62</f>
        <v>3.1788594803323527</v>
      </c>
      <c r="E63" s="112">
        <f>E57-E62</f>
        <v>5.8178201248214343</v>
      </c>
      <c r="F63" s="112">
        <f>F57-F62</f>
        <v>5.8178201248214343</v>
      </c>
      <c r="H63" s="112">
        <f>H57-H62</f>
        <v>5.5575947009008075</v>
      </c>
      <c r="I63" s="112">
        <f>I57-I62</f>
        <v>5.5575947009008075</v>
      </c>
    </row>
    <row r="64" spans="1:9" x14ac:dyDescent="0.25">
      <c r="A64" s="63" t="s">
        <v>30</v>
      </c>
      <c r="B64" s="17">
        <f>+B63/B59</f>
        <v>0.14897044917257712</v>
      </c>
      <c r="D64" s="17">
        <f>+D63/D59</f>
        <v>9.147685185185192E-2</v>
      </c>
      <c r="E64" s="17">
        <f>+E63/E59</f>
        <v>0.1674172365754813</v>
      </c>
      <c r="F64" s="17">
        <f>+F63/F59</f>
        <v>0.1674172365754813</v>
      </c>
      <c r="H64" s="17">
        <f>+H63/H59</f>
        <v>0.1496830702568864</v>
      </c>
      <c r="I64" s="17">
        <f>+I63/I59</f>
        <v>0.1496830702568864</v>
      </c>
    </row>
    <row r="65" spans="1:9" x14ac:dyDescent="0.25">
      <c r="A65" s="64" t="s">
        <v>33</v>
      </c>
      <c r="B65" s="18">
        <f>+B59-B62</f>
        <v>38.887208658483203</v>
      </c>
      <c r="D65" s="18">
        <f>+D59-D62</f>
        <v>34.750425008947197</v>
      </c>
      <c r="E65" s="18">
        <f>+E59-E62</f>
        <v>34.750425008947197</v>
      </c>
      <c r="F65" s="18">
        <f>+F59-F62</f>
        <v>34.750425008947197</v>
      </c>
      <c r="H65" s="18">
        <f>+H59-H62</f>
        <v>37.129080071399201</v>
      </c>
      <c r="I65" s="18">
        <f>+I59-I62</f>
        <v>37.129080071399201</v>
      </c>
    </row>
    <row r="66" spans="1:9" x14ac:dyDescent="0.25">
      <c r="A66" s="65" t="s">
        <v>40</v>
      </c>
      <c r="B66" s="23">
        <f>B$65*B$55</f>
        <v>329.01325192264699</v>
      </c>
      <c r="D66" s="23">
        <f>D$65*D$55</f>
        <v>308.19247761680793</v>
      </c>
      <c r="E66" s="23">
        <f>E$65*E$55</f>
        <v>321.88992106644383</v>
      </c>
      <c r="F66" s="23">
        <f>F$65*F$55</f>
        <v>321.88992106644383</v>
      </c>
      <c r="H66" s="23">
        <f>H$65*H$55</f>
        <v>329.28898650129179</v>
      </c>
      <c r="I66" s="23">
        <f>I$65*I$55</f>
        <v>329.28898650129179</v>
      </c>
    </row>
    <row r="67" spans="1:9" x14ac:dyDescent="0.25">
      <c r="A67" s="65" t="s">
        <v>41</v>
      </c>
      <c r="B67" s="24">
        <f>B$51*B$55</f>
        <v>285.26148969889067</v>
      </c>
      <c r="D67" s="24">
        <f>D$51*D$55</f>
        <v>285.26148969889067</v>
      </c>
      <c r="E67" s="24">
        <f>E$51*E$55</f>
        <v>297.93977812995246</v>
      </c>
      <c r="F67" s="24">
        <f>F$51*F$55</f>
        <v>297.93977812995246</v>
      </c>
      <c r="H67" s="24">
        <f>H$51*H$55</f>
        <v>285.26148969889061</v>
      </c>
      <c r="I67" s="24">
        <f>I$51*I$55</f>
        <v>285.26148969889061</v>
      </c>
    </row>
    <row r="68" spans="1:9" x14ac:dyDescent="0.25">
      <c r="A68" s="66" t="s">
        <v>10</v>
      </c>
      <c r="B68" s="78"/>
      <c r="D68" s="78"/>
      <c r="E68" s="78"/>
      <c r="F68" s="78"/>
      <c r="H68" s="78"/>
      <c r="I68" s="78"/>
    </row>
    <row r="69" spans="1:9" x14ac:dyDescent="0.25">
      <c r="A69" s="76" t="s">
        <v>73</v>
      </c>
      <c r="B69" s="79">
        <f>Ejemplo!B35</f>
        <v>1</v>
      </c>
      <c r="D69" s="79">
        <f>Ejemplo!D35</f>
        <v>1</v>
      </c>
      <c r="E69" s="79">
        <f>Ejemplo!E35</f>
        <v>1</v>
      </c>
      <c r="F69" s="79">
        <f>Ejemplo!F35</f>
        <v>1</v>
      </c>
      <c r="H69" s="79">
        <f>Ejemplo!H35</f>
        <v>1</v>
      </c>
      <c r="I69" s="79">
        <f>Ejemplo!I35</f>
        <v>1</v>
      </c>
    </row>
    <row r="70" spans="1:9" x14ac:dyDescent="0.25">
      <c r="A70" s="76" t="s">
        <v>74</v>
      </c>
      <c r="B70" s="79">
        <f>Ejemplo!B36</f>
        <v>0</v>
      </c>
      <c r="D70" s="79">
        <f>Ejemplo!D36</f>
        <v>0</v>
      </c>
      <c r="E70" s="79">
        <f>Ejemplo!E36</f>
        <v>0</v>
      </c>
      <c r="F70" s="79">
        <f>Ejemplo!F36</f>
        <v>0</v>
      </c>
      <c r="H70" s="79">
        <f>Ejemplo!H36</f>
        <v>0</v>
      </c>
      <c r="I70" s="79">
        <f>Ejemplo!I36</f>
        <v>0</v>
      </c>
    </row>
    <row r="71" spans="1:9" x14ac:dyDescent="0.25">
      <c r="A71" s="77"/>
      <c r="B71" s="80">
        <f>SUM(B69:B70)</f>
        <v>1</v>
      </c>
      <c r="D71" s="80">
        <f>SUM(D69:D70)</f>
        <v>1</v>
      </c>
      <c r="E71" s="80">
        <f>SUM(E69:E70)</f>
        <v>1</v>
      </c>
      <c r="F71" s="80">
        <f>SUM(F69:F70)</f>
        <v>1</v>
      </c>
      <c r="H71" s="80">
        <f>SUM(H69:H70)</f>
        <v>1</v>
      </c>
      <c r="I71" s="80">
        <f>SUM(I69:I70)</f>
        <v>1</v>
      </c>
    </row>
    <row r="72" spans="1:9" x14ac:dyDescent="0.25">
      <c r="A72" s="66" t="s">
        <v>9</v>
      </c>
      <c r="B72" s="9"/>
      <c r="D72" s="9"/>
      <c r="E72" s="9"/>
      <c r="F72" s="9"/>
      <c r="H72" s="9"/>
      <c r="I72" s="9"/>
    </row>
    <row r="73" spans="1:9" x14ac:dyDescent="0.25">
      <c r="A73" s="76" t="s">
        <v>22</v>
      </c>
      <c r="B73" s="81">
        <f>Ejemplo!B19</f>
        <v>38.887208658483203</v>
      </c>
      <c r="D73" s="81">
        <f>Ejemplo!D19</f>
        <v>34.750425008947197</v>
      </c>
      <c r="E73" s="81">
        <f>Ejemplo!E19</f>
        <v>34.750425008947197</v>
      </c>
      <c r="F73" s="81">
        <f>Ejemplo!F19</f>
        <v>34.750425008947197</v>
      </c>
      <c r="H73" s="81">
        <f>Ejemplo!H19</f>
        <v>37.129080071399201</v>
      </c>
      <c r="I73" s="81">
        <f>Ejemplo!I19</f>
        <v>37.129080071399201</v>
      </c>
    </row>
    <row r="74" spans="1:9" x14ac:dyDescent="0.25">
      <c r="A74" s="76" t="s">
        <v>11</v>
      </c>
      <c r="B74" s="81">
        <f>Ejemplo!B28</f>
        <v>423.62953279999999</v>
      </c>
      <c r="D74" s="81">
        <f>Ejemplo!D28</f>
        <v>423.62953279999999</v>
      </c>
      <c r="E74" s="81">
        <f>Ejemplo!E28</f>
        <v>405.05013852127996</v>
      </c>
      <c r="F74" s="81">
        <f>Ejemplo!F28</f>
        <v>405.05013852127996</v>
      </c>
      <c r="H74" s="81">
        <f>Ejemplo!H28</f>
        <v>405.05013852127996</v>
      </c>
      <c r="I74" s="81">
        <f>Ejemplo!I28</f>
        <v>405.05013852127996</v>
      </c>
    </row>
    <row r="75" spans="1:9" x14ac:dyDescent="0.25">
      <c r="A75" s="76"/>
      <c r="B75" s="81"/>
      <c r="D75" s="81"/>
      <c r="E75" s="81"/>
      <c r="F75" s="81"/>
      <c r="H75" s="81"/>
      <c r="I75" s="81"/>
    </row>
    <row r="76" spans="1:9" x14ac:dyDescent="0.25">
      <c r="A76" s="76" t="s">
        <v>23</v>
      </c>
      <c r="B76" s="81">
        <f>Ejemplo!B20</f>
        <v>33.716037294323193</v>
      </c>
      <c r="D76" s="81">
        <f>Ejemplo!D20</f>
        <v>32.164827910067196</v>
      </c>
      <c r="E76" s="81">
        <f>Ejemplo!E20</f>
        <v>32.164827910067196</v>
      </c>
      <c r="F76" s="81">
        <f>Ejemplo!F20</f>
        <v>32.164827910067196</v>
      </c>
      <c r="H76" s="81">
        <f>Ejemplo!H20</f>
        <v>32.164746245696797</v>
      </c>
      <c r="I76" s="81">
        <f>Ejemplo!I20</f>
        <v>32.164746245696797</v>
      </c>
    </row>
    <row r="77" spans="1:9" x14ac:dyDescent="0.25">
      <c r="A77" s="76" t="s">
        <v>14</v>
      </c>
      <c r="B77" s="81">
        <f>Ejemplo!B29</f>
        <v>5.91</v>
      </c>
      <c r="D77" s="81">
        <f>Ejemplo!D29</f>
        <v>5.91</v>
      </c>
      <c r="E77" s="81">
        <f>Ejemplo!E29</f>
        <v>1.67</v>
      </c>
      <c r="F77" s="81">
        <f>Ejemplo!F29</f>
        <v>1.67</v>
      </c>
      <c r="H77" s="81">
        <f>Ejemplo!H29</f>
        <v>1.67</v>
      </c>
      <c r="I77" s="81">
        <f>Ejemplo!I29</f>
        <v>1.67</v>
      </c>
    </row>
    <row r="78" spans="1:9" x14ac:dyDescent="0.25">
      <c r="A78" s="87"/>
      <c r="B78" s="81"/>
      <c r="D78" s="81"/>
      <c r="E78" s="81"/>
      <c r="F78" s="81"/>
      <c r="H78" s="81"/>
      <c r="I78" s="81"/>
    </row>
    <row r="79" spans="1:9" x14ac:dyDescent="0.25">
      <c r="A79" s="73" t="s">
        <v>15</v>
      </c>
      <c r="B79" s="92">
        <f>+B86/B89</f>
        <v>1.1533742331288346</v>
      </c>
      <c r="D79" s="92">
        <f>+D86/D89</f>
        <v>1.0803858520900322</v>
      </c>
      <c r="E79" s="92">
        <f>+E86/E89</f>
        <v>1.0803858520900322</v>
      </c>
      <c r="F79" s="92">
        <f>+F86/F89</f>
        <v>1.0803858520900322</v>
      </c>
      <c r="H79" s="92">
        <f>+H86/H89</f>
        <v>1.154340836012862</v>
      </c>
      <c r="I79" s="92">
        <f>+I86/I89</f>
        <v>1.154340836012862</v>
      </c>
    </row>
    <row r="80" spans="1:9" x14ac:dyDescent="0.25">
      <c r="A80" s="91"/>
      <c r="B80" s="92"/>
      <c r="D80" s="92"/>
      <c r="E80" s="92"/>
      <c r="F80" s="92"/>
      <c r="H80" s="92"/>
      <c r="I80" s="92"/>
    </row>
    <row r="81" spans="1:9" x14ac:dyDescent="0.25">
      <c r="A81" s="57" t="s">
        <v>21</v>
      </c>
      <c r="B81" s="89">
        <f>Ejemplo!B25/1000</f>
        <v>1.034234272832</v>
      </c>
      <c r="D81" s="89">
        <f>Ejemplo!D25/1000</f>
        <v>1.0342388395519999</v>
      </c>
      <c r="E81" s="89">
        <f>Ejemplo!E25/1000</f>
        <v>1.0342388395519999</v>
      </c>
      <c r="F81" s="89">
        <f>Ejemplo!F25/1000</f>
        <v>1.0342388395519999</v>
      </c>
      <c r="H81" s="89">
        <f>Ejemplo!H25/1000</f>
        <v>1.0342362136879999</v>
      </c>
      <c r="I81" s="89">
        <f>Ejemplo!I25/1000</f>
        <v>1.0342362136879999</v>
      </c>
    </row>
    <row r="82" spans="1:9" x14ac:dyDescent="0.25">
      <c r="A82" s="57" t="s">
        <v>8</v>
      </c>
      <c r="B82" s="90">
        <f>Ejemplo!B41</f>
        <v>0.98518496</v>
      </c>
      <c r="D82" s="90">
        <f>Ejemplo!D41</f>
        <v>0.98518496</v>
      </c>
      <c r="E82" s="90">
        <f>Ejemplo!E41</f>
        <v>0.98744548639999996</v>
      </c>
      <c r="F82" s="90">
        <f>Ejemplo!F41</f>
        <v>0.98744548639999996</v>
      </c>
      <c r="H82" s="90">
        <f>Ejemplo!H41</f>
        <v>0.98744548639999996</v>
      </c>
      <c r="I82" s="90">
        <f>Ejemplo!I41</f>
        <v>0.98744548639999996</v>
      </c>
    </row>
    <row r="83" spans="1:9" x14ac:dyDescent="0.25">
      <c r="A83" s="68" t="s">
        <v>12</v>
      </c>
      <c r="B83" s="88"/>
      <c r="D83" s="88"/>
      <c r="E83" s="88"/>
      <c r="F83" s="88"/>
      <c r="H83" s="88"/>
      <c r="I83" s="88"/>
    </row>
    <row r="84" spans="1:9" x14ac:dyDescent="0.25">
      <c r="A84" s="67" t="s">
        <v>22</v>
      </c>
      <c r="B84" s="20">
        <f>(B73*B69)</f>
        <v>38.887208658483203</v>
      </c>
      <c r="D84" s="20">
        <f t="shared" ref="D84:F85" si="1">(D73*D69)</f>
        <v>34.750425008947197</v>
      </c>
      <c r="E84" s="20">
        <f t="shared" si="1"/>
        <v>34.750425008947197</v>
      </c>
      <c r="F84" s="20">
        <f t="shared" si="1"/>
        <v>34.750425008947197</v>
      </c>
      <c r="H84" s="20">
        <f>(H73*H69)</f>
        <v>37.129080071399201</v>
      </c>
      <c r="I84" s="20">
        <f>(I73*I69)</f>
        <v>37.129080071399201</v>
      </c>
    </row>
    <row r="85" spans="1:9" x14ac:dyDescent="0.25">
      <c r="A85" s="67" t="s">
        <v>13</v>
      </c>
      <c r="B85" s="20">
        <f>(B74*B70)</f>
        <v>0</v>
      </c>
      <c r="D85" s="20">
        <f t="shared" si="1"/>
        <v>0</v>
      </c>
      <c r="E85" s="20">
        <f t="shared" si="1"/>
        <v>0</v>
      </c>
      <c r="F85" s="20">
        <f t="shared" si="1"/>
        <v>0</v>
      </c>
      <c r="H85" s="20">
        <f>(H74*H70)</f>
        <v>0</v>
      </c>
      <c r="I85" s="20">
        <f>(I74*I70)</f>
        <v>0</v>
      </c>
    </row>
    <row r="86" spans="1:9" x14ac:dyDescent="0.25">
      <c r="A86" s="67"/>
      <c r="B86" s="20">
        <f>SUM(B84:B85)</f>
        <v>38.887208658483203</v>
      </c>
      <c r="D86" s="20">
        <f>SUM(D84:D85)</f>
        <v>34.750425008947197</v>
      </c>
      <c r="E86" s="20">
        <f>SUM(E84:E85)</f>
        <v>34.750425008947197</v>
      </c>
      <c r="F86" s="20">
        <f>SUM(F84:F85)</f>
        <v>34.750425008947197</v>
      </c>
      <c r="H86" s="20">
        <f>SUM(H84:H85)</f>
        <v>37.129080071399201</v>
      </c>
      <c r="I86" s="20">
        <f>SUM(I84:I85)</f>
        <v>37.129080071399201</v>
      </c>
    </row>
    <row r="87" spans="1:9" x14ac:dyDescent="0.25">
      <c r="A87" s="67" t="s">
        <v>23</v>
      </c>
      <c r="B87" s="20">
        <f>B76*B69</f>
        <v>33.716037294323193</v>
      </c>
      <c r="D87" s="20">
        <f t="shared" ref="D87:F88" si="2">D76*D69</f>
        <v>32.164827910067196</v>
      </c>
      <c r="E87" s="20">
        <f t="shared" si="2"/>
        <v>32.164827910067196</v>
      </c>
      <c r="F87" s="20">
        <f t="shared" si="2"/>
        <v>32.164827910067196</v>
      </c>
      <c r="H87" s="20">
        <f>H76*H69</f>
        <v>32.164746245696797</v>
      </c>
      <c r="I87" s="20">
        <f>I76*I69</f>
        <v>32.164746245696797</v>
      </c>
    </row>
    <row r="88" spans="1:9" x14ac:dyDescent="0.25">
      <c r="A88" s="67" t="s">
        <v>14</v>
      </c>
      <c r="B88" s="20">
        <f>B77*B70</f>
        <v>0</v>
      </c>
      <c r="D88" s="20">
        <f t="shared" si="2"/>
        <v>0</v>
      </c>
      <c r="E88" s="20">
        <f t="shared" si="2"/>
        <v>0</v>
      </c>
      <c r="F88" s="20">
        <f t="shared" si="2"/>
        <v>0</v>
      </c>
      <c r="H88" s="20">
        <f>H77*H70</f>
        <v>0</v>
      </c>
      <c r="I88" s="20">
        <f>I77*I70</f>
        <v>0</v>
      </c>
    </row>
    <row r="89" spans="1:9" x14ac:dyDescent="0.25">
      <c r="A89" s="86"/>
      <c r="B89" s="20">
        <f>SUM(B87:B88)</f>
        <v>33.716037294323193</v>
      </c>
      <c r="D89" s="20">
        <f>SUM(D87:D88)</f>
        <v>32.164827910067196</v>
      </c>
      <c r="E89" s="20">
        <f>SUM(E87:E88)</f>
        <v>32.164827910067196</v>
      </c>
      <c r="F89" s="20">
        <f>SUM(F87:F88)</f>
        <v>32.164827910067196</v>
      </c>
      <c r="H89" s="20">
        <f>SUM(H87:H88)</f>
        <v>32.164746245696797</v>
      </c>
      <c r="I89" s="20">
        <f>SUM(I87:I88)</f>
        <v>32.164746245696797</v>
      </c>
    </row>
    <row r="90" spans="1:9" x14ac:dyDescent="0.25">
      <c r="A90" s="83" t="s">
        <v>75</v>
      </c>
      <c r="B90" s="82">
        <f>SUMPRODUCT(B81:B82,B69:B70)</f>
        <v>1.034234272832</v>
      </c>
      <c r="D90" s="82">
        <f>SUMPRODUCT(D81:D82,D69:D70)</f>
        <v>1.0342388395519999</v>
      </c>
      <c r="E90" s="82">
        <f>SUMPRODUCT(E81:E82,E69:E70)</f>
        <v>1.0342388395519999</v>
      </c>
      <c r="F90" s="82">
        <f>SUMPRODUCT(F81:F82,F69:F70)</f>
        <v>1.0342388395519999</v>
      </c>
      <c r="H90" s="82">
        <f>SUMPRODUCT(H81:H82,H69:H70)</f>
        <v>1.0342362136879999</v>
      </c>
      <c r="I90" s="82">
        <f>SUMPRODUCT(I81:I82,I69:I70)</f>
        <v>1.0342362136879999</v>
      </c>
    </row>
    <row r="91" spans="1:9" x14ac:dyDescent="0.25">
      <c r="A91" s="84"/>
      <c r="B91" s="85"/>
      <c r="D91" s="85"/>
      <c r="E91" s="85"/>
      <c r="F91" s="85"/>
      <c r="H91" s="85"/>
      <c r="I91" s="85"/>
    </row>
    <row r="92" spans="1:9" x14ac:dyDescent="0.25">
      <c r="A92" s="68" t="s">
        <v>7</v>
      </c>
      <c r="B92" s="9"/>
      <c r="D92" s="9"/>
      <c r="E92" s="9"/>
      <c r="F92" s="9"/>
      <c r="H92" s="9"/>
      <c r="I92" s="9"/>
    </row>
    <row r="93" spans="1:9" x14ac:dyDescent="0.25">
      <c r="A93" s="67" t="s">
        <v>24</v>
      </c>
      <c r="B93" s="18">
        <f>+B60*(B84)/B86</f>
        <v>329.01325192264699</v>
      </c>
      <c r="D93" s="18">
        <f>+D60*(D84)/D86</f>
        <v>308.19247761680793</v>
      </c>
      <c r="E93" s="18">
        <f>+E60*(E84)/E86</f>
        <v>321.88992106644383</v>
      </c>
      <c r="F93" s="18">
        <f>+F60*(F84)/F86</f>
        <v>321.88992106644383</v>
      </c>
      <c r="H93" s="18">
        <f>+H60*(H84)/H86</f>
        <v>329.28898650129179</v>
      </c>
      <c r="I93" s="18">
        <f>+I60*(I84)/I86</f>
        <v>329.28898650129179</v>
      </c>
    </row>
    <row r="94" spans="1:9" x14ac:dyDescent="0.25">
      <c r="A94" s="67" t="s">
        <v>25</v>
      </c>
      <c r="B94" s="18">
        <f>+B61*(B87)/B89</f>
        <v>285.26148969889067</v>
      </c>
      <c r="D94" s="18">
        <f>+D61*(D87)/D89</f>
        <v>285.26148969889067</v>
      </c>
      <c r="E94" s="18">
        <f>+E61*(E87)/E89</f>
        <v>297.93977812995246</v>
      </c>
      <c r="F94" s="18">
        <f>+F61*(F87)/F89</f>
        <v>297.93977812995246</v>
      </c>
      <c r="H94" s="18">
        <f>+H61*(H87)/H89</f>
        <v>285.26148969889061</v>
      </c>
      <c r="I94" s="18">
        <f>+I61*(I87)/I89</f>
        <v>285.26148969889061</v>
      </c>
    </row>
    <row r="95" spans="1:9" x14ac:dyDescent="0.25">
      <c r="A95" s="67" t="s">
        <v>26</v>
      </c>
      <c r="B95" s="18">
        <f>+B$60*(B85)/B$86</f>
        <v>0</v>
      </c>
      <c r="D95" s="18">
        <f>+D$60*(D85)/D$86</f>
        <v>0</v>
      </c>
      <c r="E95" s="18">
        <f>+E$60*(E85)/E$86</f>
        <v>0</v>
      </c>
      <c r="F95" s="18">
        <f>+F$60*(F85)/F$86</f>
        <v>0</v>
      </c>
      <c r="H95" s="18">
        <f>+H$60*(H85)/H$86</f>
        <v>0</v>
      </c>
      <c r="I95" s="18">
        <f>+I$60*(I85)/I$86</f>
        <v>0</v>
      </c>
    </row>
    <row r="96" spans="1:9" x14ac:dyDescent="0.25">
      <c r="A96" s="69" t="s">
        <v>27</v>
      </c>
      <c r="B96" s="19">
        <f>+B$61*(B88)/B$89</f>
        <v>0</v>
      </c>
      <c r="D96" s="19">
        <f>+D$61*(D88)/D$89</f>
        <v>0</v>
      </c>
      <c r="E96" s="19">
        <f>+E$61*(E88)/E$89</f>
        <v>0</v>
      </c>
      <c r="F96" s="19">
        <f>+F$61*(F88)/F$89</f>
        <v>0</v>
      </c>
      <c r="H96" s="19">
        <f>+H$61*(H88)/H$89</f>
        <v>0</v>
      </c>
      <c r="I96" s="19">
        <f>+I$61*(I88)/I$89</f>
        <v>0</v>
      </c>
    </row>
    <row r="97" spans="1:9" x14ac:dyDescent="0.25">
      <c r="A97" s="70" t="s">
        <v>6</v>
      </c>
      <c r="B97" s="78"/>
      <c r="D97" s="78"/>
      <c r="E97" s="78"/>
      <c r="F97" s="78"/>
      <c r="H97" s="78"/>
      <c r="I97" s="78"/>
    </row>
    <row r="98" spans="1:9" x14ac:dyDescent="0.25">
      <c r="A98" s="71" t="s">
        <v>1</v>
      </c>
      <c r="B98" s="93">
        <f>Ejemplo!B31</f>
        <v>4.924498481796391</v>
      </c>
      <c r="D98" s="93">
        <f>Ejemplo!D31</f>
        <v>5.5107239681441156</v>
      </c>
      <c r="E98" s="93">
        <f>Ejemplo!E31</f>
        <v>5.5107239681441156</v>
      </c>
      <c r="F98" s="93">
        <f>Ejemplo!F31</f>
        <v>5.0359096314632916</v>
      </c>
      <c r="H98" s="93">
        <f>Ejemplo!H31</f>
        <v>5.1576823242521934</v>
      </c>
      <c r="I98" s="93">
        <f>Ejemplo!I31</f>
        <v>4.9287512550295096</v>
      </c>
    </row>
    <row r="99" spans="1:9" x14ac:dyDescent="0.25">
      <c r="A99" s="71" t="s">
        <v>2</v>
      </c>
      <c r="B99" s="94">
        <f>Ejemplo!B32</f>
        <v>5.6797896599860236</v>
      </c>
      <c r="D99" s="94">
        <f>Ejemplo!D32</f>
        <v>5.9537082099563436</v>
      </c>
      <c r="E99" s="94">
        <f>Ejemplo!E32</f>
        <v>5.9537082099563436</v>
      </c>
      <c r="F99" s="94">
        <f>Ejemplo!F32</f>
        <v>5.4407255182368681</v>
      </c>
      <c r="H99" s="94">
        <f>Ejemplo!H32</f>
        <v>5.9537233260660365</v>
      </c>
      <c r="I99" s="94">
        <f>Ejemplo!I32</f>
        <v>5.6894588442302068</v>
      </c>
    </row>
    <row r="100" spans="1:9" x14ac:dyDescent="0.25">
      <c r="A100" s="72" t="s">
        <v>5</v>
      </c>
      <c r="B100" s="8">
        <f>B93*B98/1000</f>
        <v>1.6202252595839686</v>
      </c>
      <c r="D100" s="8">
        <f t="shared" ref="D100:F101" si="3">D93*D98/1000</f>
        <v>1.6983636732046623</v>
      </c>
      <c r="E100" s="8">
        <f t="shared" si="3"/>
        <v>1.7738465031248696</v>
      </c>
      <c r="F100" s="8">
        <f t="shared" si="3"/>
        <v>1.6210085537694632</v>
      </c>
      <c r="H100" s="8">
        <f>H93*H98/1000</f>
        <v>1.6983679852486318</v>
      </c>
      <c r="I100" s="8">
        <f>I93*I98/1000</f>
        <v>1.6229835054856372</v>
      </c>
    </row>
    <row r="101" spans="1:9" x14ac:dyDescent="0.25">
      <c r="A101" s="73" t="s">
        <v>4</v>
      </c>
      <c r="B101" s="7">
        <f>B94*B99/1000</f>
        <v>1.6202252595839688</v>
      </c>
      <c r="D101" s="7">
        <f t="shared" si="3"/>
        <v>1.6983636732046623</v>
      </c>
      <c r="E101" s="7">
        <f t="shared" si="3"/>
        <v>1.7738465031248696</v>
      </c>
      <c r="F101" s="7">
        <f t="shared" si="3"/>
        <v>1.6210085537694632</v>
      </c>
      <c r="H101" s="7">
        <f>H94*H99/1000</f>
        <v>1.6983679852486313</v>
      </c>
      <c r="I101" s="7">
        <f>I94*I99/1000</f>
        <v>1.6229835054856372</v>
      </c>
    </row>
    <row r="102" spans="1:9" x14ac:dyDescent="0.25">
      <c r="A102" s="74" t="s">
        <v>3</v>
      </c>
      <c r="B102" s="6">
        <f>SUM(B100:B101)</f>
        <v>3.2404505191679371</v>
      </c>
      <c r="D102" s="6">
        <f>SUM(D100:D101)</f>
        <v>3.3967273464093246</v>
      </c>
      <c r="E102" s="6">
        <f>SUM(E100:E101)</f>
        <v>3.5476930062497392</v>
      </c>
      <c r="F102" s="6">
        <f>SUM(F100:F101)</f>
        <v>3.2420171075389264</v>
      </c>
      <c r="H102" s="6">
        <f>SUM(H100:H101)</f>
        <v>3.3967359704972631</v>
      </c>
      <c r="I102" s="6">
        <f>SUM(I100:I101)</f>
        <v>3.2459670109712744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CE93-D5CC-4EC1-8836-396C87E5120D}">
  <dimension ref="A1:E109"/>
  <sheetViews>
    <sheetView tabSelected="1" zoomScaleNormal="100" workbookViewId="0">
      <selection activeCell="E5" sqref="E5"/>
    </sheetView>
  </sheetViews>
  <sheetFormatPr baseColWidth="10" defaultRowHeight="15" x14ac:dyDescent="0.25"/>
  <cols>
    <col min="1" max="1" width="44.140625" customWidth="1"/>
    <col min="2" max="5" width="15.28515625" customWidth="1"/>
  </cols>
  <sheetData>
    <row r="1" spans="1:5" ht="57" customHeight="1" x14ac:dyDescent="0.3">
      <c r="A1" s="27" t="s">
        <v>46</v>
      </c>
      <c r="B1" s="108" t="s">
        <v>89</v>
      </c>
      <c r="C1" s="108" t="s">
        <v>90</v>
      </c>
      <c r="D1" s="108" t="s">
        <v>91</v>
      </c>
      <c r="E1" s="108" t="s">
        <v>92</v>
      </c>
    </row>
    <row r="2" spans="1:5" ht="15.75" x14ac:dyDescent="0.25">
      <c r="A2" s="31" t="s">
        <v>42</v>
      </c>
      <c r="B2" s="2"/>
      <c r="C2" s="2"/>
      <c r="D2" s="2"/>
      <c r="E2" s="2"/>
    </row>
    <row r="3" spans="1:5" x14ac:dyDescent="0.25">
      <c r="A3" s="3" t="s">
        <v>43</v>
      </c>
      <c r="B3" s="5">
        <v>0.54949999999999999</v>
      </c>
      <c r="C3" s="5">
        <v>0.55630000000000002</v>
      </c>
      <c r="D3" s="5">
        <v>0.5635</v>
      </c>
      <c r="E3" s="5">
        <v>0.50470000000000004</v>
      </c>
    </row>
    <row r="4" spans="1:5" x14ac:dyDescent="0.25">
      <c r="A4" s="30" t="s">
        <v>44</v>
      </c>
      <c r="B4" s="28">
        <v>0.30280000000000001</v>
      </c>
      <c r="C4" s="28">
        <v>0.30049999999999999</v>
      </c>
      <c r="D4" s="28">
        <v>0.30930000000000002</v>
      </c>
      <c r="E4" s="28">
        <v>0.20219999999999999</v>
      </c>
    </row>
    <row r="5" spans="1:5" ht="15.75" x14ac:dyDescent="0.25">
      <c r="A5" s="95" t="s">
        <v>62</v>
      </c>
      <c r="B5" s="49"/>
      <c r="C5" s="49"/>
      <c r="D5" s="49"/>
      <c r="E5" s="49"/>
    </row>
    <row r="6" spans="1:5" x14ac:dyDescent="0.25">
      <c r="A6" s="41" t="s">
        <v>76</v>
      </c>
      <c r="B6" s="51">
        <v>0.36199999999999999</v>
      </c>
      <c r="C6" s="51">
        <v>0.36199999999999999</v>
      </c>
      <c r="D6" s="51">
        <v>0.36199999999999999</v>
      </c>
      <c r="E6" s="51">
        <v>0.36199999999999999</v>
      </c>
    </row>
    <row r="7" spans="1:5" x14ac:dyDescent="0.25">
      <c r="A7" s="41" t="s">
        <v>77</v>
      </c>
      <c r="B7" s="51">
        <v>2.1000000000000001E-2</v>
      </c>
      <c r="C7" s="51">
        <v>2.1000000000000001E-2</v>
      </c>
      <c r="D7" s="51">
        <v>2.1000000000000001E-2</v>
      </c>
      <c r="E7" s="51">
        <v>2.1000000000000001E-2</v>
      </c>
    </row>
    <row r="8" spans="1:5" x14ac:dyDescent="0.25">
      <c r="A8" s="52" t="s">
        <v>63</v>
      </c>
      <c r="B8" s="53">
        <f>SUM(B6:B7)</f>
        <v>0.38300000000000001</v>
      </c>
      <c r="C8" s="53">
        <f>SUM(C6:C7)</f>
        <v>0.38300000000000001</v>
      </c>
      <c r="D8" s="53">
        <f>SUM(D6:D7)</f>
        <v>0.38300000000000001</v>
      </c>
      <c r="E8" s="53">
        <f>SUM(E6:E7)</f>
        <v>0.38300000000000001</v>
      </c>
    </row>
    <row r="9" spans="1:5" x14ac:dyDescent="0.25">
      <c r="A9" s="52"/>
      <c r="B9" s="53"/>
      <c r="C9" s="53"/>
      <c r="D9" s="53"/>
      <c r="E9" s="53"/>
    </row>
    <row r="10" spans="1:5" x14ac:dyDescent="0.25">
      <c r="A10" s="41" t="s">
        <v>70</v>
      </c>
      <c r="B10" s="96">
        <v>0.5</v>
      </c>
      <c r="C10" s="96">
        <v>0.5</v>
      </c>
      <c r="D10" s="96">
        <v>0.5</v>
      </c>
      <c r="E10" s="96">
        <v>0.5</v>
      </c>
    </row>
    <row r="11" spans="1:5" x14ac:dyDescent="0.25">
      <c r="A11" s="41" t="s">
        <v>71</v>
      </c>
      <c r="B11" s="97">
        <f>1-B10</f>
        <v>0.5</v>
      </c>
      <c r="C11" s="97">
        <f>1-C10</f>
        <v>0.5</v>
      </c>
      <c r="D11" s="97">
        <f>1-D10</f>
        <v>0.5</v>
      </c>
      <c r="E11" s="97">
        <f>1-E10</f>
        <v>0.5</v>
      </c>
    </row>
    <row r="12" spans="1:5" x14ac:dyDescent="0.25">
      <c r="A12" s="52" t="s">
        <v>78</v>
      </c>
      <c r="B12" s="54">
        <f>B38*B19/1000</f>
        <v>0.1915</v>
      </c>
      <c r="C12" s="54">
        <f>C38*C19/1000</f>
        <v>0.1915</v>
      </c>
      <c r="D12" s="54">
        <f>D38*D19/1000</f>
        <v>0.1915</v>
      </c>
      <c r="E12" s="54">
        <f>E38*E19/1000</f>
        <v>0.1915</v>
      </c>
    </row>
    <row r="13" spans="1:5" x14ac:dyDescent="0.25">
      <c r="A13" s="52" t="s">
        <v>79</v>
      </c>
      <c r="B13" s="55">
        <f>B39*B20/1000</f>
        <v>0.19150000000000003</v>
      </c>
      <c r="C13" s="55">
        <f>C39*C20/1000</f>
        <v>0.19150000000000003</v>
      </c>
      <c r="D13" s="55">
        <f>D39*D20/1000</f>
        <v>0.19150000000000003</v>
      </c>
      <c r="E13" s="55">
        <f>E39*E20/1000</f>
        <v>0.19150000000000003</v>
      </c>
    </row>
    <row r="14" spans="1:5" ht="15.75" x14ac:dyDescent="0.25">
      <c r="A14" s="95" t="s">
        <v>47</v>
      </c>
      <c r="B14" s="2"/>
      <c r="C14" s="2"/>
      <c r="D14" s="2"/>
      <c r="E14" s="2"/>
    </row>
    <row r="15" spans="1:5" x14ac:dyDescent="0.25">
      <c r="A15" s="52" t="s">
        <v>9</v>
      </c>
      <c r="B15" s="1"/>
      <c r="C15" s="1"/>
      <c r="D15" s="1"/>
      <c r="E15" s="1"/>
    </row>
    <row r="16" spans="1:5" x14ac:dyDescent="0.25">
      <c r="A16" s="45" t="s">
        <v>65</v>
      </c>
      <c r="B16" s="99">
        <v>3.7600000000000001E-2</v>
      </c>
      <c r="C16" s="99">
        <v>3.7600000000000001E-2</v>
      </c>
      <c r="D16" s="99">
        <v>3.7600000000000001E-2</v>
      </c>
      <c r="E16" s="99">
        <v>3.7600000000000001E-2</v>
      </c>
    </row>
    <row r="17" spans="1:5" x14ac:dyDescent="0.25">
      <c r="A17" s="45" t="s">
        <v>66</v>
      </c>
      <c r="B17" s="99">
        <v>3.2599999999999997E-2</v>
      </c>
      <c r="C17" s="99">
        <v>3.2599999999999997E-2</v>
      </c>
      <c r="D17" s="99">
        <v>3.2599999999999997E-2</v>
      </c>
      <c r="E17" s="99">
        <v>3.2599999999999997E-2</v>
      </c>
    </row>
    <row r="18" spans="1:5" x14ac:dyDescent="0.25">
      <c r="A18" s="115" t="s">
        <v>69</v>
      </c>
      <c r="B18" s="117">
        <f>B16/B17</f>
        <v>1.1533742331288346</v>
      </c>
      <c r="C18" s="117">
        <f>C16/C17</f>
        <v>1.1533742331288346</v>
      </c>
      <c r="D18" s="117">
        <f>D16/D17</f>
        <v>1.1533742331288346</v>
      </c>
      <c r="E18" s="117">
        <f>E16/E17</f>
        <v>1.1533742331288346</v>
      </c>
    </row>
    <row r="19" spans="1:5" x14ac:dyDescent="0.25">
      <c r="A19" s="45" t="s">
        <v>67</v>
      </c>
      <c r="B19" s="46">
        <f>B16*B25</f>
        <v>38.887208658483203</v>
      </c>
      <c r="C19" s="46">
        <f>C16*C25</f>
        <v>38.887208658483203</v>
      </c>
      <c r="D19" s="46">
        <f>D16*D25</f>
        <v>38.887208658483203</v>
      </c>
      <c r="E19" s="46">
        <f>E16*E25</f>
        <v>38.887208658483203</v>
      </c>
    </row>
    <row r="20" spans="1:5" x14ac:dyDescent="0.25">
      <c r="A20" s="45" t="s">
        <v>68</v>
      </c>
      <c r="B20" s="46">
        <f>B17*B25</f>
        <v>33.716037294323193</v>
      </c>
      <c r="C20" s="46">
        <f>C17*C25</f>
        <v>33.716037294323193</v>
      </c>
      <c r="D20" s="46">
        <f>D17*D25</f>
        <v>33.716037294323193</v>
      </c>
      <c r="E20" s="46">
        <f>E17*E25</f>
        <v>33.716037294323193</v>
      </c>
    </row>
    <row r="21" spans="1:5" x14ac:dyDescent="0.25">
      <c r="A21" s="45" t="s">
        <v>59</v>
      </c>
      <c r="B21" s="36">
        <v>48</v>
      </c>
      <c r="C21" s="36">
        <v>48</v>
      </c>
      <c r="D21" s="36">
        <v>48</v>
      </c>
      <c r="E21" s="36">
        <v>48</v>
      </c>
    </row>
    <row r="22" spans="1:5" x14ac:dyDescent="0.25">
      <c r="A22" s="45" t="s">
        <v>60</v>
      </c>
      <c r="B22" s="36">
        <v>9</v>
      </c>
      <c r="C22" s="36">
        <v>9</v>
      </c>
      <c r="D22" s="36">
        <v>9</v>
      </c>
      <c r="E22" s="36">
        <v>9</v>
      </c>
    </row>
    <row r="23" spans="1:5" x14ac:dyDescent="0.25">
      <c r="A23" s="45" t="s">
        <v>58</v>
      </c>
      <c r="B23" s="46">
        <f>B25-SUM(B19:B22)</f>
        <v>904.63102687919354</v>
      </c>
      <c r="C23" s="46">
        <f>C25-SUM(C19:C22)</f>
        <v>904.63102687919354</v>
      </c>
      <c r="D23" s="46">
        <f>D25-SUM(D19:D22)</f>
        <v>904.63102687919354</v>
      </c>
      <c r="E23" s="46">
        <f>E25-SUM(E19:E22)</f>
        <v>904.63102687919354</v>
      </c>
    </row>
    <row r="24" spans="1:5" x14ac:dyDescent="0.25">
      <c r="A24" s="45" t="s">
        <v>72</v>
      </c>
      <c r="B24" s="1">
        <v>20</v>
      </c>
      <c r="C24" s="1">
        <v>20</v>
      </c>
      <c r="D24" s="1">
        <v>20</v>
      </c>
      <c r="E24" s="1">
        <v>20</v>
      </c>
    </row>
    <row r="25" spans="1:5" x14ac:dyDescent="0.25">
      <c r="A25" s="45" t="s">
        <v>61</v>
      </c>
      <c r="B25" s="47">
        <f>-0.2307*10^(-2)*B24^2-0.2655*B24+1040.51-B16*(-0.478*10^(-4)*B24^2+0.969*10^(-2)*B24+0.967)</f>
        <v>1034.234272832</v>
      </c>
      <c r="C25" s="47">
        <f>-0.2307*10^(-2)*C24^2-0.2655*C24+1040.51-C16*(-0.478*10^(-4)*C24^2+0.969*10^(-2)*C24+0.967)</f>
        <v>1034.234272832</v>
      </c>
      <c r="D25" s="47">
        <f>-0.2307*10^(-2)*D24^2-0.2655*D24+1040.51-D16*(-0.478*10^(-4)*D24^2+0.969*10^(-2)*D24+0.967)</f>
        <v>1034.234272832</v>
      </c>
      <c r="E25" s="47">
        <f>-0.2307*10^(-2)*E24^2-0.2655*E24+1040.51-E16*(-0.478*10^(-4)*E24^2+0.969*10^(-2)*E24+0.967)</f>
        <v>1034.234272832</v>
      </c>
    </row>
    <row r="26" spans="1:5" x14ac:dyDescent="0.25">
      <c r="A26" s="52" t="s">
        <v>87</v>
      </c>
      <c r="B26" s="47"/>
      <c r="C26" s="47"/>
      <c r="D26" s="47"/>
      <c r="E26" s="47"/>
    </row>
    <row r="27" spans="1:5" x14ac:dyDescent="0.25">
      <c r="A27" s="45" t="s">
        <v>88</v>
      </c>
      <c r="B27" s="118">
        <v>6.5</v>
      </c>
      <c r="C27" s="118">
        <v>6.5</v>
      </c>
      <c r="D27" s="118">
        <v>6.5</v>
      </c>
      <c r="E27" s="118">
        <v>6.5</v>
      </c>
    </row>
    <row r="28" spans="1:5" x14ac:dyDescent="0.25">
      <c r="A28" s="45" t="s">
        <v>1</v>
      </c>
      <c r="B28" s="118">
        <v>4</v>
      </c>
      <c r="C28" s="118">
        <v>4</v>
      </c>
      <c r="D28" s="118">
        <v>4</v>
      </c>
      <c r="E28" s="118">
        <v>4</v>
      </c>
    </row>
    <row r="29" spans="1:5" x14ac:dyDescent="0.25">
      <c r="A29" s="45" t="s">
        <v>2</v>
      </c>
      <c r="B29" s="118">
        <v>8</v>
      </c>
      <c r="C29" s="118">
        <v>8</v>
      </c>
      <c r="D29" s="118">
        <v>8</v>
      </c>
      <c r="E29" s="118">
        <v>8</v>
      </c>
    </row>
    <row r="30" spans="1:5" x14ac:dyDescent="0.25">
      <c r="A30" s="45" t="s">
        <v>59</v>
      </c>
      <c r="B30" s="118">
        <v>48</v>
      </c>
      <c r="C30" s="118">
        <v>48</v>
      </c>
      <c r="D30" s="118">
        <v>48</v>
      </c>
      <c r="E30" s="118">
        <v>48</v>
      </c>
    </row>
    <row r="31" spans="1:5" x14ac:dyDescent="0.25">
      <c r="A31" s="45" t="s">
        <v>60</v>
      </c>
      <c r="B31" s="118"/>
      <c r="C31" s="118"/>
      <c r="D31" s="118"/>
      <c r="E31" s="118"/>
    </row>
    <row r="32" spans="1:5" x14ac:dyDescent="0.25">
      <c r="A32" s="45" t="s">
        <v>61</v>
      </c>
      <c r="B32" s="119">
        <v>1.03</v>
      </c>
      <c r="C32" s="119">
        <v>1.03</v>
      </c>
      <c r="D32" s="119">
        <v>1.03</v>
      </c>
      <c r="E32" s="119">
        <v>1.03</v>
      </c>
    </row>
    <row r="33" spans="1:5" x14ac:dyDescent="0.25">
      <c r="A33" s="52" t="s">
        <v>54</v>
      </c>
      <c r="B33" s="1"/>
      <c r="C33" s="1"/>
      <c r="D33" s="1"/>
      <c r="E33" s="1"/>
    </row>
    <row r="34" spans="1:5" x14ac:dyDescent="0.25">
      <c r="A34" s="45" t="s">
        <v>65</v>
      </c>
      <c r="B34" s="102">
        <v>0.43</v>
      </c>
      <c r="C34" s="102">
        <v>0.43</v>
      </c>
      <c r="D34" s="102">
        <v>0.43</v>
      </c>
      <c r="E34" s="102">
        <v>0.43</v>
      </c>
    </row>
    <row r="35" spans="1:5" x14ac:dyDescent="0.25">
      <c r="A35" s="45" t="s">
        <v>1</v>
      </c>
      <c r="B35" s="46">
        <f>B34*B48*1000</f>
        <v>423.62953279999999</v>
      </c>
      <c r="C35" s="46">
        <f>C34*C48*1000</f>
        <v>423.62953279999999</v>
      </c>
      <c r="D35" s="46">
        <f>D34*D48*1000</f>
        <v>423.62953279999999</v>
      </c>
      <c r="E35" s="46">
        <f>E34*E48*1000</f>
        <v>423.62953279999999</v>
      </c>
    </row>
    <row r="36" spans="1:5" x14ac:dyDescent="0.25">
      <c r="A36" s="45" t="s">
        <v>2</v>
      </c>
      <c r="B36" s="29">
        <v>5.91</v>
      </c>
      <c r="C36" s="29">
        <v>5.91</v>
      </c>
      <c r="D36" s="29">
        <v>5.91</v>
      </c>
      <c r="E36" s="29">
        <v>5.91</v>
      </c>
    </row>
    <row r="37" spans="1:5" x14ac:dyDescent="0.25">
      <c r="A37" s="98" t="s">
        <v>6</v>
      </c>
      <c r="B37" s="1"/>
      <c r="C37" s="1"/>
      <c r="D37" s="1"/>
      <c r="E37" s="1"/>
    </row>
    <row r="38" spans="1:5" x14ac:dyDescent="0.25">
      <c r="A38" s="45" t="s">
        <v>1</v>
      </c>
      <c r="B38" s="37">
        <f>B8/B19*B10*1000</f>
        <v>4.924498481796391</v>
      </c>
      <c r="C38" s="37">
        <f>C8/C19*C10*1000</f>
        <v>4.924498481796391</v>
      </c>
      <c r="D38" s="37">
        <f>D8/D19*D10*1000</f>
        <v>4.924498481796391</v>
      </c>
      <c r="E38" s="37">
        <f>E8/E19*E10*1000</f>
        <v>4.924498481796391</v>
      </c>
    </row>
    <row r="39" spans="1:5" x14ac:dyDescent="0.25">
      <c r="A39" s="45" t="s">
        <v>2</v>
      </c>
      <c r="B39" s="38">
        <f>B8/B20*B11*1000</f>
        <v>5.6797896599860236</v>
      </c>
      <c r="C39" s="38">
        <f>C8/C20*C11*1000</f>
        <v>5.6797896599860236</v>
      </c>
      <c r="D39" s="38">
        <f>D8/D20*D11*1000</f>
        <v>5.6797896599860236</v>
      </c>
      <c r="E39" s="38">
        <f>E8/E20*E11*1000</f>
        <v>5.6797896599860236</v>
      </c>
    </row>
    <row r="40" spans="1:5" ht="15.75" x14ac:dyDescent="0.25">
      <c r="A40" s="31" t="s">
        <v>64</v>
      </c>
      <c r="B40" s="2"/>
      <c r="C40" s="2"/>
      <c r="D40" s="2"/>
      <c r="E40" s="2"/>
    </row>
    <row r="41" spans="1:5" x14ac:dyDescent="0.25">
      <c r="A41" s="32" t="s">
        <v>53</v>
      </c>
      <c r="B41" s="1"/>
      <c r="C41" s="1"/>
      <c r="D41" s="1"/>
      <c r="E41" s="1"/>
    </row>
    <row r="42" spans="1:5" x14ac:dyDescent="0.25">
      <c r="A42" s="33" t="s">
        <v>50</v>
      </c>
      <c r="B42" s="35">
        <v>1</v>
      </c>
      <c r="C42" s="35">
        <v>1</v>
      </c>
      <c r="D42" s="35">
        <v>1</v>
      </c>
      <c r="E42" s="35">
        <v>1</v>
      </c>
    </row>
    <row r="43" spans="1:5" x14ac:dyDescent="0.25">
      <c r="A43" s="33" t="s">
        <v>51</v>
      </c>
      <c r="B43" s="100">
        <f>1-B42</f>
        <v>0</v>
      </c>
      <c r="C43" s="100">
        <f>1-C42</f>
        <v>0</v>
      </c>
      <c r="D43" s="100">
        <f>1-D42</f>
        <v>0</v>
      </c>
      <c r="E43" s="100">
        <f>1-E42</f>
        <v>0</v>
      </c>
    </row>
    <row r="44" spans="1:5" x14ac:dyDescent="0.25">
      <c r="A44" s="32" t="s">
        <v>52</v>
      </c>
      <c r="B44" s="1"/>
      <c r="C44" s="1"/>
      <c r="D44" s="1"/>
      <c r="E44" s="1"/>
    </row>
    <row r="45" spans="1:5" x14ac:dyDescent="0.25">
      <c r="A45" s="33" t="s">
        <v>48</v>
      </c>
      <c r="B45" s="100"/>
      <c r="C45" s="100"/>
      <c r="D45" s="100"/>
      <c r="E45" s="100"/>
    </row>
    <row r="46" spans="1:5" x14ac:dyDescent="0.25">
      <c r="A46" s="39" t="s">
        <v>49</v>
      </c>
      <c r="B46" s="40">
        <v>0.94650000000000001</v>
      </c>
      <c r="C46" s="40">
        <v>0.94650000000000001</v>
      </c>
      <c r="D46" s="40">
        <v>0.94650000000000001</v>
      </c>
      <c r="E46" s="40">
        <v>0.94650000000000001</v>
      </c>
    </row>
    <row r="47" spans="1:5" x14ac:dyDescent="0.25">
      <c r="A47" s="34" t="s">
        <v>55</v>
      </c>
      <c r="B47" s="2"/>
      <c r="C47" s="2"/>
      <c r="D47" s="2"/>
      <c r="E47" s="2"/>
    </row>
    <row r="48" spans="1:5" x14ac:dyDescent="0.25">
      <c r="A48" s="42" t="s">
        <v>56</v>
      </c>
      <c r="B48" s="50">
        <f>(-0.2307*10^(-2)*B24^2-0.2655*B24+1040.51-B34*100*(-0.478*10^(-4)*B24^2+0.969*10^(-2)*B24+0.967))/1000</f>
        <v>0.98518496</v>
      </c>
      <c r="C48" s="50">
        <f>(-0.2307*10^(-2)*C24^2-0.2655*C24+1040.51-C34*100*(-0.478*10^(-4)*C24^2+0.969*10^(-2)*C24+0.967))/1000</f>
        <v>0.98518496</v>
      </c>
      <c r="D48" s="50">
        <f>(-0.2307*10^(-2)*D24^2-0.2655*D24+1040.51-D34*100*(-0.478*10^(-4)*D24^2+0.969*10^(-2)*D24+0.967))/1000</f>
        <v>0.98518496</v>
      </c>
      <c r="E48" s="50">
        <f>(-0.2307*10^(-2)*E24^2-0.2655*E24+1040.51-E34*100*(-0.478*10^(-4)*E24^2+0.969*10^(-2)*E24+0.967))/1000</f>
        <v>0.98518496</v>
      </c>
    </row>
    <row r="50" spans="1:5" ht="18.75" x14ac:dyDescent="0.3">
      <c r="A50" s="27" t="s">
        <v>80</v>
      </c>
    </row>
    <row r="51" spans="1:5" x14ac:dyDescent="0.25">
      <c r="A51" s="34" t="s">
        <v>19</v>
      </c>
      <c r="B51" s="56"/>
      <c r="C51" s="56"/>
      <c r="D51" s="56"/>
      <c r="E51" s="56"/>
    </row>
    <row r="52" spans="1:5" x14ac:dyDescent="0.25">
      <c r="A52" s="57" t="s">
        <v>18</v>
      </c>
      <c r="B52" s="103">
        <f>'Ejemplo coef G como ESM y no MP'!B3</f>
        <v>0.54949999999999999</v>
      </c>
      <c r="C52" s="103">
        <f>'Ejemplo coef G como ESM y no MP'!C3</f>
        <v>0.55630000000000002</v>
      </c>
      <c r="D52" s="103">
        <f>'Ejemplo coef G como ESM y no MP'!D3</f>
        <v>0.5635</v>
      </c>
      <c r="E52" s="103">
        <f>'Ejemplo coef G como ESM y no MP'!E3</f>
        <v>0.50470000000000004</v>
      </c>
    </row>
    <row r="53" spans="1:5" x14ac:dyDescent="0.25">
      <c r="A53" s="57" t="s">
        <v>1</v>
      </c>
      <c r="B53" s="103">
        <f>'Ejemplo coef G como ESM y no MP'!B4</f>
        <v>0.30280000000000001</v>
      </c>
      <c r="C53" s="103">
        <f>'Ejemplo coef G como ESM y no MP'!C4</f>
        <v>0.30049999999999999</v>
      </c>
      <c r="D53" s="103">
        <f>'Ejemplo coef G como ESM y no MP'!D4</f>
        <v>0.30930000000000002</v>
      </c>
      <c r="E53" s="103">
        <f>'Ejemplo coef G como ESM y no MP'!E4</f>
        <v>0.20219999999999999</v>
      </c>
    </row>
    <row r="54" spans="1:5" x14ac:dyDescent="0.25">
      <c r="A54" s="58" t="s">
        <v>16</v>
      </c>
      <c r="B54" s="13">
        <f>B53/B52</f>
        <v>0.55104640582347597</v>
      </c>
      <c r="C54" s="13">
        <f>C53/C52</f>
        <v>0.54017616394031998</v>
      </c>
      <c r="D54" s="13">
        <f>D53/D52</f>
        <v>0.54889086069210291</v>
      </c>
      <c r="E54" s="13">
        <f>E53/E52</f>
        <v>0.40063404002377645</v>
      </c>
    </row>
    <row r="55" spans="1:5" x14ac:dyDescent="0.25">
      <c r="A55" s="57" t="s">
        <v>17</v>
      </c>
      <c r="B55" s="13">
        <f>(1-B52)/(1-B52*B54)</f>
        <v>0.64615605278255883</v>
      </c>
      <c r="C55" s="13">
        <f>(1-C52)/(1-C52*C54)</f>
        <v>0.63431022158684769</v>
      </c>
      <c r="D55" s="13">
        <f>(1-D52)/(1-D52*D54)</f>
        <v>0.63196756913276375</v>
      </c>
      <c r="E55" s="13">
        <f>(1-E52)/(1-E52*E54)</f>
        <v>0.62083228879418395</v>
      </c>
    </row>
    <row r="56" spans="1:5" x14ac:dyDescent="0.25">
      <c r="A56" s="57" t="s">
        <v>0</v>
      </c>
      <c r="B56" s="21">
        <f>B52-B53</f>
        <v>0.24669999999999997</v>
      </c>
      <c r="C56" s="21">
        <f>C52-C53</f>
        <v>0.25580000000000003</v>
      </c>
      <c r="D56" s="21">
        <f>D52-D53</f>
        <v>0.25419999999999998</v>
      </c>
      <c r="E56" s="21">
        <f>E52-E53</f>
        <v>0.30250000000000005</v>
      </c>
    </row>
    <row r="57" spans="1:5" x14ac:dyDescent="0.25">
      <c r="A57" s="59"/>
      <c r="B57" s="15"/>
      <c r="C57" s="15"/>
      <c r="D57" s="15"/>
      <c r="E57" s="15"/>
    </row>
    <row r="58" spans="1:5" x14ac:dyDescent="0.25">
      <c r="A58" s="59" t="s">
        <v>20</v>
      </c>
      <c r="B58" s="11">
        <f>B96</f>
        <v>33.716037294323193</v>
      </c>
      <c r="C58" s="11">
        <f>C96</f>
        <v>33.716037294323193</v>
      </c>
      <c r="D58" s="11">
        <f>D96</f>
        <v>33.716037294323193</v>
      </c>
      <c r="E58" s="11">
        <f>E96</f>
        <v>33.716037294323193</v>
      </c>
    </row>
    <row r="59" spans="1:5" x14ac:dyDescent="0.25">
      <c r="A59" s="59" t="s">
        <v>37</v>
      </c>
      <c r="B59" s="75">
        <f>'Ejemplo coef G como ESM y no MP'!B46</f>
        <v>0.94650000000000001</v>
      </c>
      <c r="C59" s="75">
        <f>'Ejemplo coef G como ESM y no MP'!C46</f>
        <v>0.94650000000000001</v>
      </c>
      <c r="D59" s="75">
        <f>'Ejemplo coef G como ESM y no MP'!D46</f>
        <v>0.94650000000000001</v>
      </c>
      <c r="E59" s="75">
        <f>'Ejemplo coef G como ESM y no MP'!E46</f>
        <v>0.94650000000000001</v>
      </c>
    </row>
    <row r="60" spans="1:5" x14ac:dyDescent="0.25">
      <c r="A60" s="59" t="s">
        <v>45</v>
      </c>
      <c r="B60" s="43">
        <f>B63/B66</f>
        <v>1.0072495795565288</v>
      </c>
      <c r="C60" s="43">
        <f>C63/C66</f>
        <v>0.96403834757040874</v>
      </c>
      <c r="D60" s="43">
        <f>D63/D66</f>
        <v>0.99851535375897671</v>
      </c>
      <c r="E60" s="43">
        <f>E63/E66</f>
        <v>0.54853727624406512</v>
      </c>
    </row>
    <row r="61" spans="1:5" x14ac:dyDescent="0.25">
      <c r="A61" s="59" t="s">
        <v>57</v>
      </c>
      <c r="B61" s="12">
        <f>B59*B58</f>
        <v>31.912229299076902</v>
      </c>
      <c r="C61" s="12">
        <f>C59*C58</f>
        <v>31.912229299076902</v>
      </c>
      <c r="D61" s="12">
        <f>D59*D58</f>
        <v>31.912229299076902</v>
      </c>
      <c r="E61" s="12">
        <f>E59*E58</f>
        <v>31.912229299076902</v>
      </c>
    </row>
    <row r="62" spans="1:5" x14ac:dyDescent="0.25">
      <c r="A62" s="59" t="s">
        <v>38</v>
      </c>
      <c r="B62" s="14">
        <f>B56*1000/B61</f>
        <v>7.7305786972123594</v>
      </c>
      <c r="C62" s="14">
        <f>C56*1000/C61</f>
        <v>8.0157358360231932</v>
      </c>
      <c r="D62" s="14">
        <f>D56*1000/D61</f>
        <v>7.9655983171113967</v>
      </c>
      <c r="E62" s="14">
        <f>E56*1000/E61</f>
        <v>9.4791246692612052</v>
      </c>
    </row>
    <row r="63" spans="1:5" x14ac:dyDescent="0.25">
      <c r="A63" s="59" t="s">
        <v>39</v>
      </c>
      <c r="B63" s="12">
        <f>B53*1000/B62</f>
        <v>39.169124571384216</v>
      </c>
      <c r="C63" s="12">
        <f>C53*1000/C62</f>
        <v>37.488760376749838</v>
      </c>
      <c r="D63" s="12">
        <f>D53*1000/D62</f>
        <v>38.8294749103245</v>
      </c>
      <c r="E63" s="12">
        <f>E53*1000/E62</f>
        <v>21.331083518259</v>
      </c>
    </row>
    <row r="64" spans="1:5" x14ac:dyDescent="0.25">
      <c r="A64" s="59" t="s">
        <v>28</v>
      </c>
      <c r="B64" s="22">
        <f>B66-B63</f>
        <v>-0.28191591290101314</v>
      </c>
      <c r="C64" s="22">
        <f>C66-C63</f>
        <v>1.3984482817333657</v>
      </c>
      <c r="D64" s="22">
        <f>D66-D63</f>
        <v>5.773374815870369E-2</v>
      </c>
      <c r="E64" s="22">
        <f>E66-E63</f>
        <v>17.556125140224204</v>
      </c>
    </row>
    <row r="65" spans="1:5" x14ac:dyDescent="0.25">
      <c r="A65" s="59" t="s">
        <v>36</v>
      </c>
      <c r="B65" s="13">
        <f>B64/B66</f>
        <v>-7.2495795565288915E-3</v>
      </c>
      <c r="C65" s="13">
        <f>C64/C66</f>
        <v>3.5961652429591283E-2</v>
      </c>
      <c r="D65" s="13">
        <f>D64/D66</f>
        <v>1.4846462410232455E-3</v>
      </c>
      <c r="E65" s="13">
        <f>E64/E66</f>
        <v>0.45146272375593494</v>
      </c>
    </row>
    <row r="66" spans="1:5" x14ac:dyDescent="0.25">
      <c r="A66" s="59" t="s">
        <v>29</v>
      </c>
      <c r="B66" s="12">
        <f>B93</f>
        <v>38.887208658483203</v>
      </c>
      <c r="C66" s="12">
        <f>C93</f>
        <v>38.887208658483203</v>
      </c>
      <c r="D66" s="12">
        <f>D93</f>
        <v>38.887208658483203</v>
      </c>
      <c r="E66" s="12">
        <f>E93</f>
        <v>38.887208658483203</v>
      </c>
    </row>
    <row r="67" spans="1:5" x14ac:dyDescent="0.25">
      <c r="A67" s="60" t="s">
        <v>35</v>
      </c>
      <c r="B67" s="25">
        <f>B66*B62</f>
        <v>300.62062684932226</v>
      </c>
      <c r="C67" s="25">
        <f>C66*C62</f>
        <v>311.70959200671524</v>
      </c>
      <c r="D67" s="25">
        <f>D66*D62</f>
        <v>309.75988384717351</v>
      </c>
      <c r="E67" s="25">
        <f>E66*E62</f>
        <v>368.61669891333605</v>
      </c>
    </row>
    <row r="68" spans="1:5" x14ac:dyDescent="0.25">
      <c r="A68" s="61" t="s">
        <v>34</v>
      </c>
      <c r="B68" s="26">
        <f>B58*B62</f>
        <v>260.64447966191233</v>
      </c>
      <c r="C68" s="26">
        <f>C58*C62</f>
        <v>270.25884838880086</v>
      </c>
      <c r="D68" s="26">
        <f>D58*D62</f>
        <v>268.5684099313259</v>
      </c>
      <c r="E68" s="26">
        <f>E58*E62</f>
        <v>319.59852086634982</v>
      </c>
    </row>
    <row r="69" spans="1:5" x14ac:dyDescent="0.25">
      <c r="A69" s="62" t="s">
        <v>32</v>
      </c>
      <c r="B69" s="10">
        <f>+B102/B62</f>
        <v>0</v>
      </c>
      <c r="C69" s="10">
        <f>+C102/C62</f>
        <v>0</v>
      </c>
      <c r="D69" s="10">
        <f>+D102/D62</f>
        <v>0</v>
      </c>
      <c r="E69" s="10">
        <f>+E102/E62</f>
        <v>0</v>
      </c>
    </row>
    <row r="70" spans="1:5" x14ac:dyDescent="0.25">
      <c r="A70" s="63" t="s">
        <v>31</v>
      </c>
      <c r="B70" s="16">
        <f>B64-B69</f>
        <v>-0.28191591290101314</v>
      </c>
      <c r="C70" s="16">
        <f>C64-C69</f>
        <v>1.3984482817333657</v>
      </c>
      <c r="D70" s="16">
        <f>D64-D69</f>
        <v>5.773374815870369E-2</v>
      </c>
      <c r="E70" s="16">
        <f>E64-E69</f>
        <v>17.556125140224204</v>
      </c>
    </row>
    <row r="71" spans="1:5" x14ac:dyDescent="0.25">
      <c r="A71" s="63" t="s">
        <v>30</v>
      </c>
      <c r="B71" s="17">
        <f>+B70/B66</f>
        <v>-7.2495795565288915E-3</v>
      </c>
      <c r="C71" s="17">
        <f>+C70/C66</f>
        <v>3.5961652429591283E-2</v>
      </c>
      <c r="D71" s="17">
        <f>+D70/D66</f>
        <v>1.4846462410232455E-3</v>
      </c>
      <c r="E71" s="17">
        <f>+E70/E66</f>
        <v>0.45146272375593494</v>
      </c>
    </row>
    <row r="72" spans="1:5" x14ac:dyDescent="0.25">
      <c r="A72" s="64" t="s">
        <v>33</v>
      </c>
      <c r="B72" s="18">
        <f>+B66-B69</f>
        <v>38.887208658483203</v>
      </c>
      <c r="C72" s="18">
        <f>+C66-C69</f>
        <v>38.887208658483203</v>
      </c>
      <c r="D72" s="18">
        <f>+D66-D69</f>
        <v>38.887208658483203</v>
      </c>
      <c r="E72" s="18">
        <f>+E66-E69</f>
        <v>38.887208658483203</v>
      </c>
    </row>
    <row r="73" spans="1:5" x14ac:dyDescent="0.25">
      <c r="A73" s="65" t="s">
        <v>40</v>
      </c>
      <c r="B73" s="23">
        <f>B$72*B$62</f>
        <v>300.62062684932226</v>
      </c>
      <c r="C73" s="23">
        <f>C$72*C$62</f>
        <v>311.70959200671524</v>
      </c>
      <c r="D73" s="23">
        <f>D$72*D$62</f>
        <v>309.75988384717351</v>
      </c>
      <c r="E73" s="23">
        <f>E$72*E$62</f>
        <v>368.61669891333605</v>
      </c>
    </row>
    <row r="74" spans="1:5" x14ac:dyDescent="0.25">
      <c r="A74" s="65" t="s">
        <v>41</v>
      </c>
      <c r="B74" s="24">
        <f>B$58*B$62</f>
        <v>260.64447966191233</v>
      </c>
      <c r="C74" s="24">
        <f>C$58*C$62</f>
        <v>270.25884838880086</v>
      </c>
      <c r="D74" s="24">
        <f>D$58*D$62</f>
        <v>268.5684099313259</v>
      </c>
      <c r="E74" s="24">
        <f>E$58*E$62</f>
        <v>319.59852086634982</v>
      </c>
    </row>
    <row r="75" spans="1:5" x14ac:dyDescent="0.25">
      <c r="A75" s="66" t="s">
        <v>10</v>
      </c>
      <c r="B75" s="78"/>
      <c r="C75" s="78"/>
      <c r="D75" s="78"/>
      <c r="E75" s="78"/>
    </row>
    <row r="76" spans="1:5" x14ac:dyDescent="0.25">
      <c r="A76" s="76" t="s">
        <v>73</v>
      </c>
      <c r="B76" s="79">
        <f>'Ejemplo coef G como ESM y no MP'!B42</f>
        <v>1</v>
      </c>
      <c r="C76" s="79">
        <f>'Ejemplo coef G como ESM y no MP'!C42</f>
        <v>1</v>
      </c>
      <c r="D76" s="79">
        <f>'Ejemplo coef G como ESM y no MP'!D42</f>
        <v>1</v>
      </c>
      <c r="E76" s="79">
        <f>'Ejemplo coef G como ESM y no MP'!E42</f>
        <v>1</v>
      </c>
    </row>
    <row r="77" spans="1:5" x14ac:dyDescent="0.25">
      <c r="A77" s="76" t="s">
        <v>74</v>
      </c>
      <c r="B77" s="79">
        <f>'Ejemplo coef G como ESM y no MP'!B43</f>
        <v>0</v>
      </c>
      <c r="C77" s="79">
        <f>'Ejemplo coef G como ESM y no MP'!C43</f>
        <v>0</v>
      </c>
      <c r="D77" s="79">
        <f>'Ejemplo coef G como ESM y no MP'!D43</f>
        <v>0</v>
      </c>
      <c r="E77" s="79">
        <f>'Ejemplo coef G como ESM y no MP'!E43</f>
        <v>0</v>
      </c>
    </row>
    <row r="78" spans="1:5" x14ac:dyDescent="0.25">
      <c r="A78" s="77"/>
      <c r="B78" s="80">
        <f>SUM(B76:B77)</f>
        <v>1</v>
      </c>
      <c r="C78" s="80">
        <f>SUM(C76:C77)</f>
        <v>1</v>
      </c>
      <c r="D78" s="80">
        <f>SUM(D76:D77)</f>
        <v>1</v>
      </c>
      <c r="E78" s="80">
        <f>SUM(E76:E77)</f>
        <v>1</v>
      </c>
    </row>
    <row r="79" spans="1:5" x14ac:dyDescent="0.25">
      <c r="A79" s="66" t="s">
        <v>9</v>
      </c>
      <c r="B79" s="9"/>
      <c r="C79" s="9"/>
      <c r="D79" s="9"/>
      <c r="E79" s="9"/>
    </row>
    <row r="80" spans="1:5" x14ac:dyDescent="0.25">
      <c r="A80" s="76" t="s">
        <v>22</v>
      </c>
      <c r="B80" s="81">
        <f>'Ejemplo coef G como ESM y no MP'!B19</f>
        <v>38.887208658483203</v>
      </c>
      <c r="C80" s="81">
        <f>'Ejemplo coef G como ESM y no MP'!C19</f>
        <v>38.887208658483203</v>
      </c>
      <c r="D80" s="81">
        <f>'Ejemplo coef G como ESM y no MP'!D19</f>
        <v>38.887208658483203</v>
      </c>
      <c r="E80" s="81">
        <f>'Ejemplo coef G como ESM y no MP'!E19</f>
        <v>38.887208658483203</v>
      </c>
    </row>
    <row r="81" spans="1:5" x14ac:dyDescent="0.25">
      <c r="A81" s="76" t="s">
        <v>11</v>
      </c>
      <c r="B81" s="81">
        <f>'Ejemplo coef G como ESM y no MP'!B35</f>
        <v>423.62953279999999</v>
      </c>
      <c r="C81" s="81">
        <f>'Ejemplo coef G como ESM y no MP'!C35</f>
        <v>423.62953279999999</v>
      </c>
      <c r="D81" s="81">
        <f>'Ejemplo coef G como ESM y no MP'!D35</f>
        <v>423.62953279999999</v>
      </c>
      <c r="E81" s="81">
        <f>'Ejemplo coef G como ESM y no MP'!E35</f>
        <v>423.62953279999999</v>
      </c>
    </row>
    <row r="82" spans="1:5" x14ac:dyDescent="0.25">
      <c r="A82" s="76"/>
      <c r="B82" s="81"/>
      <c r="C82" s="81"/>
      <c r="D82" s="81"/>
      <c r="E82" s="81"/>
    </row>
    <row r="83" spans="1:5" x14ac:dyDescent="0.25">
      <c r="A83" s="76" t="s">
        <v>23</v>
      </c>
      <c r="B83" s="81">
        <f>'Ejemplo coef G como ESM y no MP'!B20</f>
        <v>33.716037294323193</v>
      </c>
      <c r="C83" s="81">
        <f>'Ejemplo coef G como ESM y no MP'!C20</f>
        <v>33.716037294323193</v>
      </c>
      <c r="D83" s="81">
        <f>'Ejemplo coef G como ESM y no MP'!D20</f>
        <v>33.716037294323193</v>
      </c>
      <c r="E83" s="81">
        <f>'Ejemplo coef G como ESM y no MP'!E20</f>
        <v>33.716037294323193</v>
      </c>
    </row>
    <row r="84" spans="1:5" x14ac:dyDescent="0.25">
      <c r="A84" s="76" t="s">
        <v>14</v>
      </c>
      <c r="B84" s="81">
        <f>'Ejemplo coef G como ESM y no MP'!B36</f>
        <v>5.91</v>
      </c>
      <c r="C84" s="81">
        <f>'Ejemplo coef G como ESM y no MP'!C36</f>
        <v>5.91</v>
      </c>
      <c r="D84" s="81">
        <f>'Ejemplo coef G como ESM y no MP'!D36</f>
        <v>5.91</v>
      </c>
      <c r="E84" s="81">
        <f>'Ejemplo coef G como ESM y no MP'!E36</f>
        <v>5.91</v>
      </c>
    </row>
    <row r="85" spans="1:5" x14ac:dyDescent="0.25">
      <c r="A85" s="87"/>
      <c r="B85" s="81"/>
      <c r="C85" s="81"/>
      <c r="D85" s="81"/>
      <c r="E85" s="81"/>
    </row>
    <row r="86" spans="1:5" x14ac:dyDescent="0.25">
      <c r="A86" s="73" t="s">
        <v>15</v>
      </c>
      <c r="B86" s="92">
        <f>+B93/B96</f>
        <v>1.1533742331288346</v>
      </c>
      <c r="C86" s="92">
        <f>+C93/C96</f>
        <v>1.1533742331288346</v>
      </c>
      <c r="D86" s="92">
        <f>+D93/D96</f>
        <v>1.1533742331288346</v>
      </c>
      <c r="E86" s="92">
        <f>+E93/E96</f>
        <v>1.1533742331288346</v>
      </c>
    </row>
    <row r="87" spans="1:5" x14ac:dyDescent="0.25">
      <c r="A87" s="91"/>
      <c r="B87" s="92"/>
      <c r="C87" s="92"/>
      <c r="D87" s="92"/>
      <c r="E87" s="92"/>
    </row>
    <row r="88" spans="1:5" x14ac:dyDescent="0.25">
      <c r="A88" s="57" t="s">
        <v>21</v>
      </c>
      <c r="B88" s="89">
        <f>'Ejemplo coef G como ESM y no MP'!B25/1000</f>
        <v>1.034234272832</v>
      </c>
      <c r="C88" s="89">
        <f>'Ejemplo coef G como ESM y no MP'!C25/1000</f>
        <v>1.034234272832</v>
      </c>
      <c r="D88" s="89">
        <f>'Ejemplo coef G como ESM y no MP'!D25/1000</f>
        <v>1.034234272832</v>
      </c>
      <c r="E88" s="89">
        <f>'Ejemplo coef G como ESM y no MP'!E25/1000</f>
        <v>1.034234272832</v>
      </c>
    </row>
    <row r="89" spans="1:5" x14ac:dyDescent="0.25">
      <c r="A89" s="57" t="s">
        <v>8</v>
      </c>
      <c r="B89" s="90">
        <f>'Ejemplo coef G como ESM y no MP'!B48</f>
        <v>0.98518496</v>
      </c>
      <c r="C89" s="90">
        <f>'Ejemplo coef G como ESM y no MP'!C48</f>
        <v>0.98518496</v>
      </c>
      <c r="D89" s="90">
        <f>'Ejemplo coef G como ESM y no MP'!D48</f>
        <v>0.98518496</v>
      </c>
      <c r="E89" s="90">
        <f>'Ejemplo coef G como ESM y no MP'!E48</f>
        <v>0.98518496</v>
      </c>
    </row>
    <row r="90" spans="1:5" x14ac:dyDescent="0.25">
      <c r="A90" s="68" t="s">
        <v>12</v>
      </c>
      <c r="B90" s="88"/>
      <c r="C90" s="88"/>
      <c r="D90" s="88"/>
      <c r="E90" s="88"/>
    </row>
    <row r="91" spans="1:5" x14ac:dyDescent="0.25">
      <c r="A91" s="67" t="s">
        <v>22</v>
      </c>
      <c r="B91" s="20">
        <f>(B80*B76)</f>
        <v>38.887208658483203</v>
      </c>
      <c r="C91" s="20">
        <f>(C80*C76)</f>
        <v>38.887208658483203</v>
      </c>
      <c r="D91" s="20">
        <f>(D80*D76)</f>
        <v>38.887208658483203</v>
      </c>
      <c r="E91" s="20">
        <f>(E80*E76)</f>
        <v>38.887208658483203</v>
      </c>
    </row>
    <row r="92" spans="1:5" x14ac:dyDescent="0.25">
      <c r="A92" s="67" t="s">
        <v>13</v>
      </c>
      <c r="B92" s="20">
        <f>(B81*B77)</f>
        <v>0</v>
      </c>
      <c r="C92" s="20">
        <f>(C81*C77)</f>
        <v>0</v>
      </c>
      <c r="D92" s="20">
        <f>(D81*D77)</f>
        <v>0</v>
      </c>
      <c r="E92" s="20">
        <f>(E81*E77)</f>
        <v>0</v>
      </c>
    </row>
    <row r="93" spans="1:5" x14ac:dyDescent="0.25">
      <c r="A93" s="67"/>
      <c r="B93" s="20">
        <f>SUM(B91:B92)</f>
        <v>38.887208658483203</v>
      </c>
      <c r="C93" s="20">
        <f>SUM(C91:C92)</f>
        <v>38.887208658483203</v>
      </c>
      <c r="D93" s="20">
        <f>SUM(D91:D92)</f>
        <v>38.887208658483203</v>
      </c>
      <c r="E93" s="20">
        <f>SUM(E91:E92)</f>
        <v>38.887208658483203</v>
      </c>
    </row>
    <row r="94" spans="1:5" x14ac:dyDescent="0.25">
      <c r="A94" s="67" t="s">
        <v>23</v>
      </c>
      <c r="B94" s="20">
        <f>B83*B76</f>
        <v>33.716037294323193</v>
      </c>
      <c r="C94" s="20">
        <f>C83*C76</f>
        <v>33.716037294323193</v>
      </c>
      <c r="D94" s="20">
        <f>D83*D76</f>
        <v>33.716037294323193</v>
      </c>
      <c r="E94" s="20">
        <f>E83*E76</f>
        <v>33.716037294323193</v>
      </c>
    </row>
    <row r="95" spans="1:5" x14ac:dyDescent="0.25">
      <c r="A95" s="67" t="s">
        <v>14</v>
      </c>
      <c r="B95" s="20">
        <f>B84*B77</f>
        <v>0</v>
      </c>
      <c r="C95" s="20">
        <f>C84*C77</f>
        <v>0</v>
      </c>
      <c r="D95" s="20">
        <f>D84*D77</f>
        <v>0</v>
      </c>
      <c r="E95" s="20">
        <f>E84*E77</f>
        <v>0</v>
      </c>
    </row>
    <row r="96" spans="1:5" x14ac:dyDescent="0.25">
      <c r="A96" s="86"/>
      <c r="B96" s="20">
        <f>SUM(B94:B95)</f>
        <v>33.716037294323193</v>
      </c>
      <c r="C96" s="20">
        <f>SUM(C94:C95)</f>
        <v>33.716037294323193</v>
      </c>
      <c r="D96" s="20">
        <f>SUM(D94:D95)</f>
        <v>33.716037294323193</v>
      </c>
      <c r="E96" s="20">
        <f>SUM(E94:E95)</f>
        <v>33.716037294323193</v>
      </c>
    </row>
    <row r="97" spans="1:5" x14ac:dyDescent="0.25">
      <c r="A97" s="83" t="s">
        <v>75</v>
      </c>
      <c r="B97" s="82">
        <f>SUMPRODUCT(B88:B89,B76:B77)</f>
        <v>1.034234272832</v>
      </c>
      <c r="C97" s="82">
        <f>SUMPRODUCT(C88:C89,C76:C77)</f>
        <v>1.034234272832</v>
      </c>
      <c r="D97" s="82">
        <f>SUMPRODUCT(D88:D89,D76:D77)</f>
        <v>1.034234272832</v>
      </c>
      <c r="E97" s="82">
        <f>SUMPRODUCT(E88:E89,E76:E77)</f>
        <v>1.034234272832</v>
      </c>
    </row>
    <row r="98" spans="1:5" x14ac:dyDescent="0.25">
      <c r="A98" s="84"/>
      <c r="B98" s="85"/>
      <c r="C98" s="85"/>
      <c r="D98" s="85"/>
      <c r="E98" s="85"/>
    </row>
    <row r="99" spans="1:5" x14ac:dyDescent="0.25">
      <c r="A99" s="68" t="s">
        <v>7</v>
      </c>
      <c r="B99" s="9"/>
      <c r="C99" s="9"/>
      <c r="D99" s="9"/>
      <c r="E99" s="9"/>
    </row>
    <row r="100" spans="1:5" x14ac:dyDescent="0.25">
      <c r="A100" s="67" t="s">
        <v>24</v>
      </c>
      <c r="B100" s="18">
        <f>+B67*(B91)/B93</f>
        <v>300.62062684932226</v>
      </c>
      <c r="C100" s="18">
        <f>+C67*(C91)/C93</f>
        <v>311.70959200671524</v>
      </c>
      <c r="D100" s="18">
        <f>+D67*(D91)/D93</f>
        <v>309.75988384717351</v>
      </c>
      <c r="E100" s="18">
        <f>+E67*(E91)/E93</f>
        <v>368.61669891333605</v>
      </c>
    </row>
    <row r="101" spans="1:5" x14ac:dyDescent="0.25">
      <c r="A101" s="67" t="s">
        <v>25</v>
      </c>
      <c r="B101" s="18">
        <f>+B68*(B94)/B96</f>
        <v>260.64447966191233</v>
      </c>
      <c r="C101" s="18">
        <f>+C68*(C94)/C96</f>
        <v>270.25884838880086</v>
      </c>
      <c r="D101" s="18">
        <f>+D68*(D94)/D96</f>
        <v>268.5684099313259</v>
      </c>
      <c r="E101" s="18">
        <f>+E68*(E94)/E96</f>
        <v>319.59852086634982</v>
      </c>
    </row>
    <row r="102" spans="1:5" x14ac:dyDescent="0.25">
      <c r="A102" s="67" t="s">
        <v>26</v>
      </c>
      <c r="B102" s="18">
        <f>+B$67*(B92)/B$93</f>
        <v>0</v>
      </c>
      <c r="C102" s="18">
        <f>+C$67*(C92)/C$93</f>
        <v>0</v>
      </c>
      <c r="D102" s="18">
        <f>+D$67*(D92)/D$93</f>
        <v>0</v>
      </c>
      <c r="E102" s="18">
        <f>+E$67*(E92)/E$93</f>
        <v>0</v>
      </c>
    </row>
    <row r="103" spans="1:5" x14ac:dyDescent="0.25">
      <c r="A103" s="69" t="s">
        <v>27</v>
      </c>
      <c r="B103" s="19">
        <f>+B$68*(B95)/B$96</f>
        <v>0</v>
      </c>
      <c r="C103" s="19">
        <f>+C$68*(C95)/C$96</f>
        <v>0</v>
      </c>
      <c r="D103" s="19">
        <f>+D$68*(D95)/D$96</f>
        <v>0</v>
      </c>
      <c r="E103" s="19">
        <f>+E$68*(E95)/E$96</f>
        <v>0</v>
      </c>
    </row>
    <row r="104" spans="1:5" x14ac:dyDescent="0.25">
      <c r="A104" s="70" t="s">
        <v>6</v>
      </c>
      <c r="B104" s="78"/>
      <c r="C104" s="78"/>
      <c r="D104" s="78"/>
      <c r="E104" s="78"/>
    </row>
    <row r="105" spans="1:5" x14ac:dyDescent="0.25">
      <c r="A105" s="71" t="s">
        <v>1</v>
      </c>
      <c r="B105" s="93">
        <f>'Ejemplo coef G como ESM y no MP'!B38</f>
        <v>4.924498481796391</v>
      </c>
      <c r="C105" s="93">
        <f>'Ejemplo coef G como ESM y no MP'!C38</f>
        <v>4.924498481796391</v>
      </c>
      <c r="D105" s="93">
        <f>'Ejemplo coef G como ESM y no MP'!D38</f>
        <v>4.924498481796391</v>
      </c>
      <c r="E105" s="93">
        <f>'Ejemplo coef G como ESM y no MP'!E38</f>
        <v>4.924498481796391</v>
      </c>
    </row>
    <row r="106" spans="1:5" x14ac:dyDescent="0.25">
      <c r="A106" s="71" t="s">
        <v>2</v>
      </c>
      <c r="B106" s="94">
        <f>'Ejemplo coef G como ESM y no MP'!B39</f>
        <v>5.6797896599860236</v>
      </c>
      <c r="C106" s="94">
        <f>'Ejemplo coef G como ESM y no MP'!C39</f>
        <v>5.6797896599860236</v>
      </c>
      <c r="D106" s="94">
        <f>'Ejemplo coef G como ESM y no MP'!D39</f>
        <v>5.6797896599860236</v>
      </c>
      <c r="E106" s="94">
        <f>'Ejemplo coef G como ESM y no MP'!E39</f>
        <v>5.6797896599860236</v>
      </c>
    </row>
    <row r="107" spans="1:5" x14ac:dyDescent="0.25">
      <c r="A107" s="72" t="s">
        <v>5</v>
      </c>
      <c r="B107" s="8">
        <f>B100*B105/1000</f>
        <v>1.4804058205161668</v>
      </c>
      <c r="C107" s="8">
        <f>C100*C105/1000</f>
        <v>1.5350134125984416</v>
      </c>
      <c r="D107" s="8">
        <f>D100*D105/1000</f>
        <v>1.5254120777268325</v>
      </c>
      <c r="E107" s="8">
        <f>E100*E105/1000</f>
        <v>1.8152523741635207</v>
      </c>
    </row>
    <row r="108" spans="1:5" x14ac:dyDescent="0.25">
      <c r="A108" s="73" t="s">
        <v>4</v>
      </c>
      <c r="B108" s="7">
        <f>B101*B106/1000</f>
        <v>1.480405820516167</v>
      </c>
      <c r="C108" s="7">
        <f>C101*C106/1000</f>
        <v>1.5350134125984416</v>
      </c>
      <c r="D108" s="7">
        <f>D101*D106/1000</f>
        <v>1.5254120777268327</v>
      </c>
      <c r="E108" s="7">
        <f>E101*E106/1000</f>
        <v>1.8152523741635211</v>
      </c>
    </row>
    <row r="109" spans="1:5" x14ac:dyDescent="0.25">
      <c r="A109" s="74" t="s">
        <v>3</v>
      </c>
      <c r="B109" s="6">
        <f>SUM(B107:B108)</f>
        <v>2.9608116410323335</v>
      </c>
      <c r="C109" s="6">
        <f>SUM(C107:C108)</f>
        <v>3.0700268251968832</v>
      </c>
      <c r="D109" s="6">
        <f>SUM(D107:D108)</f>
        <v>3.0508241554536655</v>
      </c>
      <c r="E109" s="6">
        <f>SUM(E107:E108)</f>
        <v>3.6305047483270418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de partida</vt:lpstr>
      <vt:lpstr>Ejemplo</vt:lpstr>
      <vt:lpstr>Ejemplo coef G como ESM y no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2025-11-05T11:13:36Z</dcterms:modified>
</cp:coreProperties>
</file>