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965" documentId="8_{5F9E455A-213A-447C-A11C-7E9616724FEA}" xr6:coauthVersionLast="47" xr6:coauthVersionMax="47" xr10:uidLastSave="{1FF44E07-71D0-4D3A-9946-906145A9F5BF}"/>
  <bookViews>
    <workbookView xWindow="-105" yWindow="0" windowWidth="14610" windowHeight="16305" tabRatio="675" xr2:uid="{6977E7F1-D64B-47FE-B2A7-D4E9B0399E18}"/>
  </bookViews>
  <sheets>
    <sheet name="Estándar técnico" sheetId="2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localSheetId="0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0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0" hidden="1">{#N/A,#N/A,FALSE,"RIEP"}</definedName>
    <definedName name="aaaaa" hidden="1">{#N/A,#N/A,FALSE,"RIEP"}</definedName>
    <definedName name="aaaaaaaaaaaaaaaa" localSheetId="0" hidden="1">{#N/A,#N/A,FALSE,"RIEP"}</definedName>
    <definedName name="aaaaaaaaaaaaaaaa" hidden="1">{#N/A,#N/A,FALSE,"RIEP"}</definedName>
    <definedName name="AASAS" localSheetId="0" hidden="1">{"QQQ",#N/A,FALSE,"RIEP"}</definedName>
    <definedName name="AASAS" hidden="1">{"QQQ",#N/A,FALSE,"RIEP"}</definedName>
    <definedName name="ADV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0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0" hidden="1">{"SPM1",#N/A,FALSE,"RIEP"}</definedName>
    <definedName name="ardqer" hidden="1">{"SPM1",#N/A,FALSE,"RIEP"}</definedName>
    <definedName name="ASD" localSheetId="0" hidden="1">{"QQQ",#N/A,FALSE,"RIEP"}</definedName>
    <definedName name="ASD" hidden="1">{"QQQ",#N/A,FALSE,"RIEP"}</definedName>
    <definedName name="ASDF" localSheetId="0" hidden="1">{#N/A,#N/A,FALSE,"RIEP"}</definedName>
    <definedName name="ASDF" hidden="1">{#N/A,#N/A,FALSE,"RIEP"}</definedName>
    <definedName name="asdfas" localSheetId="0" hidden="1">{#N/A,#N/A,FALSE,"RIEP"}</definedName>
    <definedName name="asdfas" hidden="1">{#N/A,#N/A,FALSE,"RIEP"}</definedName>
    <definedName name="aùsw" localSheetId="0" hidden="1">{"SPM1",#N/A,FALSE,"RIEP"}</definedName>
    <definedName name="aùsw" hidden="1">{"SPM1",#N/A,FALSE,"RIEP"}</definedName>
    <definedName name="bbbbb" localSheetId="0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0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0" hidden="1">{"SPM1",#N/A,FALSE,"RIEP"}</definedName>
    <definedName name="byikbyuj" hidden="1">{"SPM1",#N/A,FALSE,"RIEP"}</definedName>
    <definedName name="byubtyuj" localSheetId="0" hidden="1">{"QQQ",#N/A,FALSE,"RIEP"}</definedName>
    <definedName name="byubtyuj" hidden="1">{"QQQ",#N/A,FALSE,"RIEP"}</definedName>
    <definedName name="byukkty" localSheetId="0" hidden="1">{#N/A,#N/A,FALSE,"RIEP"}</definedName>
    <definedName name="byukkty" hidden="1">{#N/A,#N/A,FALSE,"RIEP"}</definedName>
    <definedName name="byuku" localSheetId="0" hidden="1">{#N/A,#N/A,FALSE,"RIEP"}</definedName>
    <definedName name="byuku" hidden="1">{#N/A,#N/A,FALSE,"RIEP"}</definedName>
    <definedName name="č" localSheetId="0" hidden="1">{"'domaće količine'!$K$34:$P$47"}</definedName>
    <definedName name="č" hidden="1">{"'domaće količine'!$K$34:$P$47"}</definedName>
    <definedName name="cc" localSheetId="0" hidden="1">{#N/A,#N/A,FALSE,"RIEP"}</definedName>
    <definedName name="cc" hidden="1">{#N/A,#N/A,FALSE,"RIEP"}</definedName>
    <definedName name="ccc" localSheetId="0" hidden="1">{"SPM1",#N/A,FALSE,"RIEP"}</definedName>
    <definedName name="ccc" hidden="1">{"SPM1",#N/A,FALSE,"RIEP"}</definedName>
    <definedName name="cccc" localSheetId="0" hidden="1">{"SPM1",#N/A,FALSE,"RIEP"}</definedName>
    <definedName name="cccc" hidden="1">{"SPM1",#N/A,FALSE,"RIEP"}</definedName>
    <definedName name="CCSFDFRDF" localSheetId="0" hidden="1">{"SPM1",#N/A,FALSE,"RIEP"}</definedName>
    <definedName name="CCSFDFRDF" hidden="1">{"SPM1",#N/A,FALSE,"RIEP"}</definedName>
    <definedName name="cdf" localSheetId="0" hidden="1">{"SPM1",#N/A,FALSE,"RIEP"}</definedName>
    <definedName name="cdf" hidden="1">{"SPM1",#N/A,FALSE,"RIEP"}</definedName>
    <definedName name="CDVF" localSheetId="0" hidden="1">{"SPM1",#N/A,FALSE,"RIEP"}</definedName>
    <definedName name="CDVF" hidden="1">{"SPM1",#N/A,FALSE,"RIEP"}</definedName>
    <definedName name="copie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0" hidden="1">{#N/A,#N/A,FALSE,"RIEP"}</definedName>
    <definedName name="D" hidden="1">{#N/A,#N/A,FALSE,"RIEP"}</definedName>
    <definedName name="DAFreofè0eirfh" localSheetId="0" hidden="1">{"SPM1",#N/A,FALSE,"RIEP"}</definedName>
    <definedName name="DAFreofè0eirfh" hidden="1">{"SPM1",#N/A,FALSE,"RIEP"}</definedName>
    <definedName name="dd">#REF!</definedName>
    <definedName name="DDD" localSheetId="0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0" hidden="1">{"SPM1",#N/A,FALSE,"RIEP"}</definedName>
    <definedName name="DDDDD" hidden="1">{"SPM1",#N/A,FALSE,"RIEP"}</definedName>
    <definedName name="ddddddd" localSheetId="0" hidden="1">{#N/A,#N/A,FALSE,"RIEP"}</definedName>
    <definedName name="ddddddd" hidden="1">{#N/A,#N/A,FALSE,"RIEP"}</definedName>
    <definedName name="ddjdjdj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0" hidden="1">{"SPM1",#N/A,FALSE,"RIEP"}</definedName>
    <definedName name="dfa" hidden="1">{"SPM1",#N/A,FALSE,"RIEP"}</definedName>
    <definedName name="DFda" localSheetId="0" hidden="1">{#N/A,#N/A,FALSE,"RIEP"}</definedName>
    <definedName name="DFda" hidden="1">{#N/A,#N/A,FALSE,"RIEP"}</definedName>
    <definedName name="DFRSFG" localSheetId="0" hidden="1">{"SPM1",#N/A,FALSE,"RIEP"}</definedName>
    <definedName name="DFRSFG" hidden="1">{"SPM1",#N/A,FALSE,"RIEP"}</definedName>
    <definedName name="djdjdj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0" hidden="1">{"'domaće količine'!$K$34:$P$47"}</definedName>
    <definedName name="DRAGAN" hidden="1">{"'domaće količine'!$K$34:$P$47"}</definedName>
    <definedName name="draganć" localSheetId="0" hidden="1">{"'domaće količine'!$K$34:$P$47"}</definedName>
    <definedName name="draganć" hidden="1">{"'domaće količine'!$K$34:$P$47"}</definedName>
    <definedName name="DSFSDGFG" localSheetId="0" hidden="1">{"SPM1",#N/A,FALSE,"RIEP"}</definedName>
    <definedName name="DSFSDGFG" hidden="1">{"SPM1",#N/A,FALSE,"RIEP"}</definedName>
    <definedName name="dthrrr" localSheetId="0" hidden="1">{"SPM1",#N/A,FALSE,"RIEP"}</definedName>
    <definedName name="dthrrr" hidden="1">{"SPM1",#N/A,FALSE,"RIEP"}</definedName>
    <definedName name="ECA" localSheetId="0" hidden="1">{#N/A,#N/A,FALSE,"ANALYSE";#N/A,#N/A,FALSE,"PM VALEUR"}</definedName>
    <definedName name="ECA" hidden="1">{#N/A,#N/A,FALSE,"ANALYSE";#N/A,#N/A,FALSE,"PM VALEUR"}</definedName>
    <definedName name="ECARTBM" localSheetId="0" hidden="1">{"DETAIL",#N/A,FALSE,"REELBUDGET";"TOTAL",#N/A,FALSE,"REELBUDGET"}</definedName>
    <definedName name="ECARTBM" hidden="1">{"DETAIL",#N/A,FALSE,"REELBUDGET";"TOTAL",#N/A,FALSE,"REELBUDGET"}</definedName>
    <definedName name="eeee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0" hidden="1">{"QQQ",#N/A,FALSE,"RIEP"}</definedName>
    <definedName name="ere" hidden="1">{"QQQ",#N/A,FALSE,"RIEP"}</definedName>
    <definedName name="ertet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0" hidden="1">{"'domaće količine'!$K$34:$P$47"}</definedName>
    <definedName name="EXCEL" hidden="1">{"'domaće količine'!$K$34:$P$47"}</definedName>
    <definedName name="ez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0" hidden="1">{#N/A,#N/A,FALSE,"RIEP"}</definedName>
    <definedName name="FDDSFDSGF" hidden="1">{#N/A,#N/A,FALSE,"RIEP"}</definedName>
    <definedName name="fdsdsgfsggd" localSheetId="0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0" hidden="1">{"QQQ",#N/A,FALSE,"RIEP"}</definedName>
    <definedName name="ffffffffff" hidden="1">{"QQQ",#N/A,FALSE,"RIEP"}</definedName>
    <definedName name="fg" localSheetId="0" hidden="1">{#N/A,#N/A,FALSE,"RIEP"}</definedName>
    <definedName name="fg" hidden="1">{#N/A,#N/A,FALSE,"RIEP"}</definedName>
    <definedName name="fgffg" localSheetId="0" hidden="1">{#N/A,#N/A,FALSE,"RIEP"}</definedName>
    <definedName name="fgffg" hidden="1">{#N/A,#N/A,FALSE,"RIEP"}</definedName>
    <definedName name="FSDG" localSheetId="0" hidden="1">{#N/A,#N/A,FALSE,"RIEP"}</definedName>
    <definedName name="FSDG" hidden="1">{#N/A,#N/A,FALSE,"RIEP"}</definedName>
    <definedName name="ftereare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0" hidden="1">{#N/A,#N/A,FALSE,"RIEP"}</definedName>
    <definedName name="gfhkkmh" hidden="1">{#N/A,#N/A,FALSE,"RIEP"}</definedName>
    <definedName name="GG" hidden="1">[7]ACTIVITE!#REF!</definedName>
    <definedName name="GGGG" localSheetId="0" hidden="1">{"SPM1",#N/A,FALSE,"RIEP"}</definedName>
    <definedName name="GGGG" hidden="1">{"SPM1",#N/A,FALSE,"RIEP"}</definedName>
    <definedName name="gggg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0" hidden="1">{"QQQ",#N/A,FALSE,"RIEP"}</definedName>
    <definedName name="ggggggggggg" hidden="1">{"QQQ",#N/A,FALSE,"RIEP"}</definedName>
    <definedName name="GHJ" localSheetId="0" hidden="1">{"SPM1",#N/A,FALSE,"RIEP"}</definedName>
    <definedName name="GHJ" hidden="1">{"SPM1",#N/A,FALSE,"RIEP"}</definedName>
    <definedName name="gsdgs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0" hidden="1">{"SPM1",#N/A,FALSE,"RIEP"}</definedName>
    <definedName name="hbhajx" hidden="1">{"SPM1",#N/A,FALSE,"RIEP"}</definedName>
    <definedName name="hfderfPOURE" localSheetId="0" hidden="1">{#N/A,#N/A,FALSE,"RIEP"}</definedName>
    <definedName name="hfderfPOURE" hidden="1">{#N/A,#N/A,FALSE,"RIEP"}</definedName>
    <definedName name="hfhft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0" hidden="1">{"QQQ",#N/A,FALSE,"RIEP"}</definedName>
    <definedName name="hg" hidden="1">{"QQQ",#N/A,FALSE,"RIEP"}</definedName>
    <definedName name="hhfxhxf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0" hidden="1">{"QQQ",#N/A,FALSE,"RIEP"}</definedName>
    <definedName name="hhhh" hidden="1">{"QQQ",#N/A,FALSE,"RIEP"}</definedName>
    <definedName name="hhhhhhh" localSheetId="0" hidden="1">{"SPM1",#N/A,FALSE,"RIEP"}</definedName>
    <definedName name="hhhhhhh" hidden="1">{"SPM1",#N/A,FALSE,"RIEP"}</definedName>
    <definedName name="HTML_CodePage" hidden="1">1250</definedName>
    <definedName name="HTML_Control" localSheetId="0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0" hidden="1">{"'domaće količine'!$K$34:$P$47"}</definedName>
    <definedName name="IZVQ01" hidden="1">{"'domaće količine'!$K$34:$P$47"}</definedName>
    <definedName name="j" localSheetId="0" hidden="1">{"SPM1",#N/A,FALSE,"RIEP"}</definedName>
    <definedName name="j" hidden="1">{"SPM1",#N/A,FALSE,"RIEP"}</definedName>
    <definedName name="jcjfjfjjf" localSheetId="0" hidden="1">{#N/A,#N/A,FALSE,"RIEP"}</definedName>
    <definedName name="jcjfjfjjf" hidden="1">{#N/A,#N/A,FALSE,"RIEP"}</definedName>
    <definedName name="jdjdjdj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0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0" hidden="1">{"QQQ",#N/A,FALSE,"RIEP"}</definedName>
    <definedName name="jjfhfh" hidden="1">{"QQQ",#N/A,FALSE,"RIEP"}</definedName>
    <definedName name="jjj" localSheetId="0" hidden="1">{"SPM1",#N/A,FALSE,"RIEP"}</definedName>
    <definedName name="jjj" hidden="1">{"SPM1",#N/A,FALSE,"RIEP"}</definedName>
    <definedName name="jjjjj" localSheetId="0" hidden="1">{"SPM1",#N/A,FALSE,"RIEP"}</definedName>
    <definedName name="jjjjj" hidden="1">{"SPM1",#N/A,FALSE,"RIEP"}</definedName>
    <definedName name="kfkfkf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0" hidden="1">{#N/A,#N/A,FALSE,"RIEP"}</definedName>
    <definedName name="kfkfkfkfkkf" hidden="1">{#N/A,#N/A,FALSE,"RIEP"}</definedName>
    <definedName name="khkhkh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0" hidden="1">{#N/A,#N/A,FALSE,"RIEP"}</definedName>
    <definedName name="kjfsoyiupo6rhtgz" hidden="1">{#N/A,#N/A,FALSE,"RIEP"}</definedName>
    <definedName name="kjhjhkjh" localSheetId="0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0" hidden="1">{#N/A,#N/A,FALSE,"RIEP"}</definedName>
    <definedName name="kk" hidden="1">{#N/A,#N/A,FALSE,"RIEP"}</definedName>
    <definedName name="kkk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0" hidden="1">{"QQQ",#N/A,FALSE,"RIEP"}</definedName>
    <definedName name="LLL" hidden="1">{"QQQ",#N/A,FALSE,"RIEP"}</definedName>
    <definedName name="m" localSheetId="0" hidden="1">{"'domaće količine'!$K$34:$P$47"}</definedName>
    <definedName name="m" hidden="1">{"'domaće količine'!$K$34:$P$47"}</definedName>
    <definedName name="MARTESANA">#REF!</definedName>
    <definedName name="minnii" localSheetId="0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0" hidden="1">{"SPM1",#N/A,FALSE,"RIEP"}</definedName>
    <definedName name="ño" hidden="1">{"SPM1",#N/A,FALSE,"RIEP"}</definedName>
    <definedName name="ODRŽ." localSheetId="0" hidden="1">{"'domaće količine'!$K$34:$P$47"}</definedName>
    <definedName name="ODRŽ." hidden="1">{"'domaće količine'!$K$34:$P$47"}</definedName>
    <definedName name="òflfgfppfpf" localSheetId="0" hidden="1">{"SPM1",#N/A,FALSE,"RIEP"}</definedName>
    <definedName name="òflfgfppfpf" hidden="1">{"SPM1",#N/A,FALSE,"RIEP"}</definedName>
    <definedName name="OIOIIUIUG" localSheetId="0" hidden="1">{"SPM1",#N/A,FALSE,"RIEP"}</definedName>
    <definedName name="OIOIIUIUG" hidden="1">{"SPM1",#N/A,FALSE,"RIEP"}</definedName>
    <definedName name="ooo" localSheetId="0" hidden="1">{"QQQ",#N/A,FALSE,"RIEP"}</definedName>
    <definedName name="ooo" hidden="1">{"QQQ",#N/A,FALSE,"RIEP"}</definedName>
    <definedName name="oooooo" localSheetId="0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0" hidden="1">{#N/A,#N/A,FALSE,"RIEP"}</definedName>
    <definedName name="pippo" hidden="1">{#N/A,#N/A,FALSE,"RIEP"}</definedName>
    <definedName name="pluto" localSheetId="0" hidden="1">{"SPM1",#N/A,FALSE,"RIEP"}</definedName>
    <definedName name="pluto" hidden="1">{"SPM1",#N/A,FALSE,"RIEP"}</definedName>
    <definedName name="PO" localSheetId="0" hidden="1">{"QQQ",#N/A,FALSE,"RIEP"}</definedName>
    <definedName name="PO" hidden="1">{"QQQ",#N/A,FALSE,"RIEP"}</definedName>
    <definedName name="poùH" localSheetId="0" hidden="1">{#N/A,#N/A,FALSE,"RIEP"}</definedName>
    <definedName name="poùH" hidden="1">{#N/A,#N/A,FALSE,"RIEP"}</definedName>
    <definedName name="ppp" localSheetId="0" hidden="1">{"QQQ",#N/A,FALSE,"RIEP"}</definedName>
    <definedName name="ppp" hidden="1">{"QQQ",#N/A,FALSE,"RIEP"}</definedName>
    <definedName name="PROD." localSheetId="0" hidden="1">{"'domaće količine'!$K$34:$P$47"}</definedName>
    <definedName name="PROD." hidden="1">{"'domaće količine'!$K$34:$P$47"}</definedName>
    <definedName name="prw" localSheetId="0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0" hidden="1">{#N/A,#N/A,FALSE,"RIEP"}</definedName>
    <definedName name="QQQQQQQQQQQQ" hidden="1">{#N/A,#N/A,FALSE,"RIEP"}</definedName>
    <definedName name="qw" localSheetId="0" hidden="1">{#N/A,#N/A,FALSE,"RIEP"}</definedName>
    <definedName name="qw" hidden="1">{#N/A,#N/A,FALSE,"RIEP"}</definedName>
    <definedName name="rete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0" hidden="1">{"SPM1",#N/A,FALSE,"RIEP"}</definedName>
    <definedName name="sd" hidden="1">{"SPM1",#N/A,FALSE,"RIEP"}</definedName>
    <definedName name="SDFDSJF" localSheetId="0" hidden="1">{#N/A,#N/A,FALSE,"RIEP"}</definedName>
    <definedName name="SDFDSJF" hidden="1">{#N/A,#N/A,FALSE,"RIEP"}</definedName>
    <definedName name="sdsd" localSheetId="0" hidden="1">{"SPM1",#N/A,FALSE,"RIEP"}</definedName>
    <definedName name="sdsd" hidden="1">{"SPM1",#N/A,FALSE,"RIEP"}</definedName>
    <definedName name="SEDSDS" localSheetId="0" hidden="1">{#N/A,#N/A,FALSE,"RIEP"}</definedName>
    <definedName name="SEDSDS" hidden="1">{#N/A,#N/A,FALSE,"RIEP"}</definedName>
    <definedName name="sencount" hidden="1">1</definedName>
    <definedName name="SSSADADSF" localSheetId="0" hidden="1">{"SPM1",#N/A,FALSE,"RIEP"}</definedName>
    <definedName name="SSSADADSF" hidden="1">{"SPM1",#N/A,FALSE,"RIEP"}</definedName>
    <definedName name="ssss" hidden="1">#REF!</definedName>
    <definedName name="sssssss" localSheetId="0" hidden="1">{#N/A,#N/A,FALSE,"RIEP"}</definedName>
    <definedName name="sssssss" hidden="1">{#N/A,#N/A,FALSE,"RIEP"}</definedName>
    <definedName name="ssssssssssssssssssssssssss" localSheetId="0" hidden="1">{"QQQ",#N/A,FALSE,"RIEP"}</definedName>
    <definedName name="ssssssssssssssssssssssssss" hidden="1">{"QQQ",#N/A,FALSE,"RIEP"}</definedName>
    <definedName name="stsrhs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0" hidden="1">{#N/A,#N/A,FALSE,"RIEP"}</definedName>
    <definedName name="Sweden" hidden="1">{#N/A,#N/A,FALSE,"RIEP"}</definedName>
    <definedName name="t" localSheetId="0" hidden="1">{"QQQ",#N/A,FALSE,"RIEP"}</definedName>
    <definedName name="t" hidden="1">{"QQQ",#N/A,FALSE,"RIEP"}</definedName>
    <definedName name="T04CC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0" hidden="1">{#N/A,#N/A,FALSE,"RIEP"}</definedName>
    <definedName name="t79oto97t" hidden="1">{#N/A,#N/A,FALSE,"RIEP"}</definedName>
    <definedName name="t7u74u" localSheetId="0" hidden="1">{"QQQ",#N/A,FALSE,"RIEP"}</definedName>
    <definedName name="t7u74u" hidden="1">{"QQQ",#N/A,FALSE,"RIEP"}</definedName>
    <definedName name="t7u75" localSheetId="0" hidden="1">{"SPM1",#N/A,FALSE,"RIEP"}</definedName>
    <definedName name="t7u75" hidden="1">{"SPM1",#N/A,FALSE,"RIEP"}</definedName>
    <definedName name="t7ur7u" localSheetId="0" hidden="1">{#N/A,#N/A,FALSE,"RIEP"}</definedName>
    <definedName name="t7ur7u" hidden="1">{#N/A,#N/A,FALSE,"RIEP"}</definedName>
    <definedName name="tgfcvds" localSheetId="0" hidden="1">{#N/A,#N/A,FALSE,"RIEP"}</definedName>
    <definedName name="tgfcvds" hidden="1">{#N/A,#N/A,FALSE,"RIEP"}</definedName>
    <definedName name="tgrg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0" hidden="1">{#N/A,#N/A,FALSE,"RIEP"}</definedName>
    <definedName name="tikl679o679o" hidden="1">{#N/A,#N/A,FALSE,"RIEP"}</definedName>
    <definedName name="TM1REBUILDOPTION">0</definedName>
    <definedName name="toma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0" hidden="1">{"SPM1",#N/A,FALSE,"RIEP"}</definedName>
    <definedName name="trjk5i57" hidden="1">{"SPM1",#N/A,FALSE,"RIEP"}</definedName>
    <definedName name="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0" hidden="1">{"QQQ",#N/A,FALSE,"RIEP"}</definedName>
    <definedName name="tyiltu9ol" hidden="1">{"QQQ",#N/A,FALSE,"RIEP"}</definedName>
    <definedName name="ugkj" localSheetId="0" hidden="1">{"QQQ",#N/A,FALSE,"RIEP"}</definedName>
    <definedName name="ugkj" hidden="1">{"QQQ",#N/A,FALSE,"RIEP"}</definedName>
    <definedName name="ukk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0" hidden="1">{"QQQ",#N/A,FALSE,"RIEP"}</definedName>
    <definedName name="uttkjg" hidden="1">{"QQQ",#N/A,FALSE,"RIEP"}</definedName>
    <definedName name="uuuu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0" hidden="1">{#N/A,#N/A,FALSE,"RIEP"}</definedName>
    <definedName name="v6uyjyu" hidden="1">{#N/A,#N/A,FALSE,"RIEP"}</definedName>
    <definedName name="vcbbxb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0" hidden="1">{"QQQ",#N/A,FALSE,"RIEP"}</definedName>
    <definedName name="vvvv" hidden="1">{"QQQ",#N/A,FALSE,"RIEP"}</definedName>
    <definedName name="vvvvbbbb" localSheetId="0" hidden="1">{#N/A,#N/A,FALSE,"RIEP"}</definedName>
    <definedName name="vvvvbbbb" hidden="1">{#N/A,#N/A,FALSE,"RIEP"}</definedName>
    <definedName name="vvvvvv" localSheetId="0" hidden="1">{#N/A,#N/A,FALSE,"RIEP"}</definedName>
    <definedName name="vvvvvv" hidden="1">{#N/A,#N/A,FALSE,"RIEP"}</definedName>
    <definedName name="vvvvvvvv" localSheetId="0" hidden="1">{"SPM1",#N/A,FALSE,"RIEP"}</definedName>
    <definedName name="vvvvvvvv" hidden="1">{"SPM1",#N/A,FALSE,"RIEP"}</definedName>
    <definedName name="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0" hidden="1">{"SPM1",#N/A,FALSE,"RIEP"}</definedName>
    <definedName name="we" hidden="1">{"SPM1",#N/A,FALSE,"RIEP"}</definedName>
    <definedName name="wer" localSheetId="0" hidden="1">{#N/A,#N/A,FALSE,"ANALYSE";#N/A,#N/A,FALSE,"PM VALEUR"}</definedName>
    <definedName name="wer" hidden="1">{#N/A,#N/A,FALSE,"ANALYSE";#N/A,#N/A,FALSE,"PM VALEUR"}</definedName>
    <definedName name="wetrwrt" localSheetId="0" hidden="1">{"QQQ",#N/A,FALSE,"RIEP"}</definedName>
    <definedName name="wetrwrt" hidden="1">{"QQQ",#N/A,FALSE,"RIEP"}</definedName>
    <definedName name="wewe" localSheetId="0" hidden="1">{"SPM1",#N/A,FALSE,"RIEP"}</definedName>
    <definedName name="wewe" hidden="1">{"SPM1",#N/A,FALSE,"RIEP"}</definedName>
    <definedName name="wrn.CCC." localSheetId="0" hidden="1">{"QQQ",#N/A,FALSE,"RIEP"}</definedName>
    <definedName name="wrn.CCC." hidden="1">{"QQQ",#N/A,FALSE,"RIEP"}</definedName>
    <definedName name="wrn.Charges." localSheetId="0" hidden="1">{"Analyse charges",#N/A,FALSE,"Feuil1 (2)"}</definedName>
    <definedName name="wrn.Charges." hidden="1">{"Analyse charges",#N/A,FALSE,"Feuil1 (2)"}</definedName>
    <definedName name="wrn.Charges._.Clécy." localSheetId="0" hidden="1">{#N/A,#N/A,FALSE,"Evol98";#N/A,#N/A,FALSE,"Saisie98"}</definedName>
    <definedName name="wrn.Charges._.Clécy." hidden="1">{#N/A,#N/A,FALSE,"Evol98";#N/A,#N/A,FALSE,"Saisie98"}</definedName>
    <definedName name="wrn.CLECY." localSheetId="0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0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0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0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0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0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0" hidden="1">{#N/A,#N/A,FALSE,"ANALYSE";#N/A,#N/A,FALSE,"PM VALEUR"}</definedName>
    <definedName name="wrn.ex." hidden="1">{#N/A,#N/A,FALSE,"ANALYSE";#N/A,#N/A,FALSE,"PM VALEUR"}</definedName>
    <definedName name="wrn.Impression._.totale." localSheetId="0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0" hidden="1">{"Indicateurs",#N/A,FALSE,"Feuil1 (2)"}</definedName>
    <definedName name="wrn.Indicateurs." hidden="1">{"Indicateurs",#N/A,FALSE,"Feuil1 (2)"}</definedName>
    <definedName name="wrn.MENSUEL." localSheetId="0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0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0" hidden="1">{"Ratios activités",#N/A,FALSE,"Feuil1 (2)"}</definedName>
    <definedName name="wrn.Ratios." hidden="1">{"Ratios activités",#N/A,FALSE,"Feuil1 (2)"}</definedName>
    <definedName name="wrn.REELBUD." localSheetId="0" hidden="1">{"DETAIL",#N/A,FALSE,"REELBUDGET";"TOTAL",#N/A,FALSE,"REELBUDGET"}</definedName>
    <definedName name="wrn.REELBUD." hidden="1">{"DETAIL",#N/A,FALSE,"REELBUDGET";"TOTAL",#N/A,FALSE,"REELBUDGET"}</definedName>
    <definedName name="wrn.Résultat." localSheetId="0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0" hidden="1">{#N/A,#N/A,FALSE,"RIEP"}</definedName>
    <definedName name="wrn.SPA1." hidden="1">{#N/A,#N/A,FALSE,"RIEP"}</definedName>
    <definedName name="wrn.SPM1." localSheetId="0" hidden="1">{"SPM1",#N/A,FALSE,"RIEP"}</definedName>
    <definedName name="wrn.SPM1." hidden="1">{"SPM1",#N/A,FALSE,"RIEP"}</definedName>
    <definedName name="wrn.SYNTHESE.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0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0" hidden="1">{"QQQ",#N/A,FALSE,"RIEP"}</definedName>
    <definedName name="wrn1.CCC." hidden="1">{"QQQ",#N/A,FALSE,"RIEP"}</definedName>
    <definedName name="wwww" localSheetId="0" hidden="1">{#N/A,#N/A,FALSE,"RIEP"}</definedName>
    <definedName name="wwww" hidden="1">{#N/A,#N/A,FALSE,"RIEP"}</definedName>
    <definedName name="wwwww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0" hidden="1">{"QQQ",#N/A,FALSE,"RIEP"}</definedName>
    <definedName name="wwwwwwwwwwww" hidden="1">{"QQQ",#N/A,FALSE,"RIEP"}</definedName>
    <definedName name="ybukkbyitkituk" localSheetId="0" hidden="1">{#N/A,#N/A,FALSE,"RIEP"}</definedName>
    <definedName name="ybukkbyitkituk" hidden="1">{#N/A,#N/A,FALSE,"RIEP"}</definedName>
    <definedName name="yert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0" hidden="1">{"QQQ",#N/A,FALSE,"RIEP"}</definedName>
    <definedName name="yrnukuilky8u" hidden="1">{"QQQ",#N/A,FALSE,"RIEP"}</definedName>
    <definedName name="YY" localSheetId="0" hidden="1">{#N/A,#N/A,FALSE,"RIEP"}</definedName>
    <definedName name="YY" hidden="1">{#N/A,#N/A,FALSE,"RIEP"}</definedName>
    <definedName name="yyqeyq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0" hidden="1">{#N/A,#N/A,FALSE,"RIEP"}</definedName>
    <definedName name="zzzzzzzzzz" hidden="1">{#N/A,#N/A,FALSE,"RIEP"}</definedName>
    <definedName name="zzzzzzzzzzzzz" localSheetId="0" hidden="1">{#N/A,#N/A,FALSE,"RIEP"}</definedName>
    <definedName name="zzzzzzzzzzzzz" hidden="1">{#N/A,#N/A,FALSE,"RIEP"}</definedName>
    <definedName name="zzzzzzzzzzzzzz" localSheetId="0" hidden="1">{"QQQ",#N/A,FALSE,"RIEP"}</definedName>
    <definedName name="zzzzzzzzzzzzzz" hidden="1">{"QQQ",#N/A,FALSE,"RIEP"}</definedName>
    <definedName name="zzzzzzzzzzzzzzzzzz" localSheetId="0" hidden="1">{"QQQ",#N/A,FALSE,"RIEP"}</definedName>
    <definedName name="zzzzzzzzzzzzzzzzzz" hidden="1">{"QQQ",#N/A,FALSE,"RIEP"}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1" l="1"/>
  <c r="C8" i="21"/>
  <c r="C7" i="21"/>
  <c r="C6" i="21"/>
  <c r="C16" i="21" l="1"/>
  <c r="C22" i="21" s="1"/>
  <c r="C17" i="21" l="1"/>
  <c r="C19" i="21" s="1"/>
  <c r="C20" i="21" s="1"/>
  <c r="C21" i="21"/>
  <c r="C18" i="21" l="1"/>
</calcChain>
</file>

<file path=xl/sharedStrings.xml><?xml version="1.0" encoding="utf-8"?>
<sst xmlns="http://schemas.openxmlformats.org/spreadsheetml/2006/main" count="35" uniqueCount="35">
  <si>
    <t>Estándar de producto</t>
  </si>
  <si>
    <t>Fórmulas</t>
  </si>
  <si>
    <t>Vaca</t>
  </si>
  <si>
    <t>Fabricación, KG</t>
  </si>
  <si>
    <t>1. Características del queso</t>
  </si>
  <si>
    <t>EST salida salado</t>
  </si>
  <si>
    <t>MG salida salado</t>
  </si>
  <si>
    <t>ESM</t>
  </si>
  <si>
    <t>=B4-B5</t>
  </si>
  <si>
    <t>HFD</t>
  </si>
  <si>
    <t>=(1-B4)/(1-B5)</t>
  </si>
  <si>
    <t>G/ES</t>
  </si>
  <si>
    <t>=B5/B4</t>
  </si>
  <si>
    <t>2. Composición de la leche de fabricación</t>
  </si>
  <si>
    <t>Leche en cuba MG (g/L)</t>
  </si>
  <si>
    <t>Leche en cuba MP (g/L)</t>
  </si>
  <si>
    <t>3. Datos tecnológicos</t>
  </si>
  <si>
    <t>Recup MP (dato real de la fabricación)</t>
  </si>
  <si>
    <t>4. Cálculos</t>
  </si>
  <si>
    <t>ESM queso obtenido a partir de MP leche (g/L)</t>
  </si>
  <si>
    <t>=B13*B11</t>
  </si>
  <si>
    <t>Litraje unitario</t>
  </si>
  <si>
    <t>=B6*1000/B15</t>
  </si>
  <si>
    <t>MG teórica en la cuba (g/L)</t>
  </si>
  <si>
    <t>=B5*1000/B16</t>
  </si>
  <si>
    <t>Recup MG</t>
  </si>
  <si>
    <t>=B17/B10</t>
  </si>
  <si>
    <t>MG pérdida bruta en suero (g/L)</t>
  </si>
  <si>
    <t>=B17-B10</t>
  </si>
  <si>
    <t>MG pérdida bruta en suero %</t>
  </si>
  <si>
    <t>=B19/B10</t>
  </si>
  <si>
    <t>Consumo MG/kg queso</t>
  </si>
  <si>
    <t>=B10*B16</t>
  </si>
  <si>
    <t>Consumo MP/kg queso</t>
  </si>
  <si>
    <t>=B11*B16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</si>
</sst>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_ ;[Red]\-#,##0\ "/>
    <numFmt numFmtId="165" formatCode="#,##0.000_ ;[Red]\-#,##0.000\ "/>
    <numFmt numFmtId="166" formatCode="_-* #,##0.00\ _€_-;\-* #,##0.00\ _€_-;_-* &quot;-&quot;??\ _€_-;_-@_-"/>
    <numFmt numFmtId="167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6">
    <xf numFmtId="0" fontId="0" fillId="0" borderId="0" xfId="0"/>
    <xf numFmtId="164" fontId="0" fillId="0" borderId="2" xfId="0" applyNumberFormat="1" applyBorder="1" applyAlignment="1">
      <alignment horizontal="left" indent="1"/>
    </xf>
    <xf numFmtId="10" fontId="0" fillId="3" borderId="2" xfId="1" applyNumberFormat="1" applyFont="1" applyFill="1" applyBorder="1"/>
    <xf numFmtId="10" fontId="0" fillId="3" borderId="4" xfId="1" applyNumberFormat="1" applyFont="1" applyFill="1" applyBorder="1"/>
    <xf numFmtId="164" fontId="0" fillId="0" borderId="4" xfId="0" applyNumberFormat="1" applyBorder="1" applyAlignment="1">
      <alignment horizontal="left" indent="1"/>
    </xf>
    <xf numFmtId="0" fontId="4" fillId="2" borderId="1" xfId="0" applyFont="1" applyFill="1" applyBorder="1" applyAlignment="1">
      <alignment vertical="center"/>
    </xf>
    <xf numFmtId="10" fontId="0" fillId="0" borderId="2" xfId="1" applyNumberFormat="1" applyFont="1" applyFill="1" applyBorder="1"/>
    <xf numFmtId="10" fontId="1" fillId="0" borderId="2" xfId="1" applyNumberFormat="1" applyFont="1" applyFill="1" applyBorder="1"/>
    <xf numFmtId="10" fontId="0" fillId="0" borderId="4" xfId="0" applyNumberFormat="1" applyBorder="1"/>
    <xf numFmtId="167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164" fontId="0" fillId="0" borderId="3" xfId="0" applyNumberFormat="1" applyBorder="1" applyAlignment="1">
      <alignment horizontal="left" indent="1"/>
    </xf>
    <xf numFmtId="167" fontId="0" fillId="0" borderId="3" xfId="0" applyNumberFormat="1" applyBorder="1"/>
    <xf numFmtId="10" fontId="0" fillId="6" borderId="2" xfId="1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165" fontId="0" fillId="6" borderId="2" xfId="0" applyNumberFormat="1" applyFill="1" applyBorder="1"/>
    <xf numFmtId="164" fontId="0" fillId="0" borderId="1" xfId="0" applyNumberFormat="1" applyBorder="1" applyAlignment="1">
      <alignment horizontal="left"/>
    </xf>
    <xf numFmtId="165" fontId="0" fillId="4" borderId="1" xfId="0" applyNumberFormat="1" applyFill="1" applyBorder="1"/>
    <xf numFmtId="164" fontId="3" fillId="6" borderId="3" xfId="0" applyNumberFormat="1" applyFont="1" applyFill="1" applyBorder="1" applyAlignment="1">
      <alignment horizontal="left"/>
    </xf>
    <xf numFmtId="164" fontId="0" fillId="3" borderId="2" xfId="0" applyNumberFormat="1" applyFill="1" applyBorder="1" applyAlignment="1">
      <alignment horizontal="left" indent="1"/>
    </xf>
    <xf numFmtId="164" fontId="0" fillId="3" borderId="4" xfId="0" applyNumberFormat="1" applyFill="1" applyBorder="1" applyAlignment="1">
      <alignment horizontal="left" indent="1"/>
    </xf>
    <xf numFmtId="164" fontId="3" fillId="3" borderId="3" xfId="0" applyNumberFormat="1" applyFont="1" applyFill="1" applyBorder="1" applyAlignment="1">
      <alignment horizontal="left"/>
    </xf>
    <xf numFmtId="165" fontId="0" fillId="3" borderId="2" xfId="0" applyNumberFormat="1" applyFill="1" applyBorder="1"/>
    <xf numFmtId="164" fontId="3" fillId="2" borderId="3" xfId="0" applyNumberFormat="1" applyFont="1" applyFill="1" applyBorder="1" applyAlignment="1">
      <alignment horizontal="left"/>
    </xf>
    <xf numFmtId="10" fontId="0" fillId="2" borderId="3" xfId="0" applyNumberFormat="1" applyFill="1" applyBorder="1"/>
    <xf numFmtId="164" fontId="0" fillId="2" borderId="2" xfId="0" applyNumberFormat="1" applyFill="1" applyBorder="1" applyAlignment="1">
      <alignment horizontal="left" indent="1"/>
    </xf>
    <xf numFmtId="167" fontId="0" fillId="2" borderId="2" xfId="0" applyNumberFormat="1" applyFill="1" applyBorder="1"/>
    <xf numFmtId="164" fontId="0" fillId="2" borderId="4" xfId="0" applyNumberFormat="1" applyFill="1" applyBorder="1" applyAlignment="1">
      <alignment horizontal="left" indent="1"/>
    </xf>
    <xf numFmtId="167" fontId="0" fillId="2" borderId="4" xfId="0" applyNumberFormat="1" applyFill="1" applyBorder="1"/>
    <xf numFmtId="164" fontId="3" fillId="5" borderId="3" xfId="0" applyNumberFormat="1" applyFont="1" applyFill="1" applyBorder="1" applyAlignment="1">
      <alignment horizontal="left"/>
    </xf>
    <xf numFmtId="167" fontId="0" fillId="5" borderId="3" xfId="0" applyNumberFormat="1" applyFill="1" applyBorder="1"/>
    <xf numFmtId="164" fontId="0" fillId="5" borderId="4" xfId="0" applyNumberFormat="1" applyFill="1" applyBorder="1" applyAlignment="1">
      <alignment horizontal="left" indent="1"/>
    </xf>
    <xf numFmtId="10" fontId="0" fillId="5" borderId="4" xfId="1" applyNumberFormat="1" applyFont="1" applyFill="1" applyBorder="1"/>
    <xf numFmtId="10" fontId="0" fillId="6" borderId="3" xfId="1" applyNumberFormat="1" applyFont="1" applyFill="1" applyBorder="1"/>
    <xf numFmtId="10" fontId="0" fillId="0" borderId="4" xfId="1" applyNumberFormat="1" applyFont="1" applyBorder="1"/>
    <xf numFmtId="10" fontId="0" fillId="0" borderId="2" xfId="1" quotePrefix="1" applyNumberFormat="1" applyFont="1" applyFill="1" applyBorder="1"/>
    <xf numFmtId="10" fontId="1" fillId="0" borderId="2" xfId="1" quotePrefix="1" applyNumberFormat="1" applyFont="1" applyFill="1" applyBorder="1"/>
    <xf numFmtId="10" fontId="0" fillId="0" borderId="4" xfId="0" quotePrefix="1" applyNumberFormat="1" applyBorder="1"/>
    <xf numFmtId="167" fontId="0" fillId="0" borderId="2" xfId="0" quotePrefix="1" applyNumberFormat="1" applyBorder="1"/>
    <xf numFmtId="165" fontId="0" fillId="6" borderId="2" xfId="0" quotePrefix="1" applyNumberFormat="1" applyFill="1" applyBorder="1"/>
    <xf numFmtId="10" fontId="0" fillId="6" borderId="2" xfId="1" quotePrefix="1" applyNumberFormat="1" applyFont="1" applyFill="1" applyBorder="1"/>
    <xf numFmtId="167" fontId="0" fillId="0" borderId="3" xfId="0" quotePrefix="1" applyNumberFormat="1" applyBorder="1"/>
    <xf numFmtId="10" fontId="0" fillId="0" borderId="4" xfId="1" quotePrefix="1" applyNumberFormat="1" applyFont="1" applyBorder="1"/>
    <xf numFmtId="2" fontId="0" fillId="0" borderId="3" xfId="0" quotePrefix="1" applyNumberFormat="1" applyBorder="1"/>
    <xf numFmtId="2" fontId="0" fillId="0" borderId="4" xfId="0" quotePrefix="1" applyNumberFormat="1" applyBorder="1"/>
  </cellXfs>
  <cellStyles count="3">
    <cellStyle name="Millares 2" xfId="2" xr:uid="{0DF497A4-B1A4-4A8E-B2C1-3A725AAFDCC2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28C21CB3-7664-42D2-9D67-4CB284AD2D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/>
      <sheetData sheetId="20" refreshError="1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F947-2ABB-41E4-9BF8-362C7EA09C5F}">
  <sheetPr>
    <pageSetUpPr fitToPage="1"/>
  </sheetPr>
  <dimension ref="A1:C22"/>
  <sheetViews>
    <sheetView tabSelected="1" zoomScale="90" zoomScaleNormal="90" workbookViewId="0">
      <selection activeCell="C14" sqref="C14"/>
    </sheetView>
  </sheetViews>
  <sheetFormatPr baseColWidth="10" defaultColWidth="11.42578125" defaultRowHeight="15" x14ac:dyDescent="0.25"/>
  <cols>
    <col min="1" max="1" width="48.7109375" customWidth="1"/>
    <col min="2" max="2" width="14.28515625" customWidth="1"/>
  </cols>
  <sheetData>
    <row r="1" spans="1:3" ht="21" x14ac:dyDescent="0.25">
      <c r="A1" s="5" t="s">
        <v>0</v>
      </c>
      <c r="B1" s="15" t="s">
        <v>1</v>
      </c>
      <c r="C1" s="15" t="s">
        <v>2</v>
      </c>
    </row>
    <row r="2" spans="1:3" x14ac:dyDescent="0.25">
      <c r="A2" s="17" t="s">
        <v>3</v>
      </c>
      <c r="B2" s="18"/>
      <c r="C2" s="18">
        <v>1</v>
      </c>
    </row>
    <row r="3" spans="1:3" ht="18.75" x14ac:dyDescent="0.3">
      <c r="A3" s="22" t="s">
        <v>4</v>
      </c>
      <c r="B3" s="23"/>
      <c r="C3" s="23"/>
    </row>
    <row r="4" spans="1:3" x14ac:dyDescent="0.25">
      <c r="A4" s="20" t="s">
        <v>5</v>
      </c>
      <c r="B4" s="2"/>
      <c r="C4" s="2">
        <v>0.52</v>
      </c>
    </row>
    <row r="5" spans="1:3" x14ac:dyDescent="0.25">
      <c r="A5" s="21" t="s">
        <v>6</v>
      </c>
      <c r="B5" s="3"/>
      <c r="C5" s="3">
        <v>0.27</v>
      </c>
    </row>
    <row r="6" spans="1:3" x14ac:dyDescent="0.25">
      <c r="A6" s="1" t="s">
        <v>7</v>
      </c>
      <c r="B6" s="36" t="s">
        <v>8</v>
      </c>
      <c r="C6" s="6">
        <f>C4-C5</f>
        <v>0.25</v>
      </c>
    </row>
    <row r="7" spans="1:3" x14ac:dyDescent="0.25">
      <c r="A7" s="1" t="s">
        <v>9</v>
      </c>
      <c r="B7" s="37" t="s">
        <v>10</v>
      </c>
      <c r="C7" s="7">
        <f>(1-C4)/(1-C5)</f>
        <v>0.65753424657534243</v>
      </c>
    </row>
    <row r="8" spans="1:3" x14ac:dyDescent="0.25">
      <c r="A8" s="4" t="s">
        <v>11</v>
      </c>
      <c r="B8" s="38" t="s">
        <v>12</v>
      </c>
      <c r="C8" s="8">
        <f>C5/C4</f>
        <v>0.51923076923076927</v>
      </c>
    </row>
    <row r="9" spans="1:3" ht="18.75" x14ac:dyDescent="0.3">
      <c r="A9" s="24" t="s">
        <v>13</v>
      </c>
      <c r="B9" s="25"/>
      <c r="C9" s="25"/>
    </row>
    <row r="10" spans="1:3" x14ac:dyDescent="0.25">
      <c r="A10" s="26" t="s">
        <v>14</v>
      </c>
      <c r="B10" s="27"/>
      <c r="C10" s="27">
        <v>40.35</v>
      </c>
    </row>
    <row r="11" spans="1:3" x14ac:dyDescent="0.25">
      <c r="A11" s="28" t="s">
        <v>15</v>
      </c>
      <c r="B11" s="29"/>
      <c r="C11" s="29">
        <v>34.11</v>
      </c>
    </row>
    <row r="12" spans="1:3" ht="18.75" x14ac:dyDescent="0.3">
      <c r="A12" s="30" t="s">
        <v>16</v>
      </c>
      <c r="B12" s="31"/>
      <c r="C12" s="31"/>
    </row>
    <row r="13" spans="1:3" x14ac:dyDescent="0.25">
      <c r="A13" s="32" t="s">
        <v>17</v>
      </c>
      <c r="B13" s="33"/>
      <c r="C13" s="33">
        <v>0.92</v>
      </c>
    </row>
    <row r="14" spans="1:3" ht="18.75" x14ac:dyDescent="0.3">
      <c r="A14" s="19" t="s">
        <v>18</v>
      </c>
      <c r="B14" s="34"/>
      <c r="C14" s="34"/>
    </row>
    <row r="15" spans="1:3" x14ac:dyDescent="0.25">
      <c r="A15" s="1" t="s">
        <v>19</v>
      </c>
      <c r="B15" s="39" t="s">
        <v>20</v>
      </c>
      <c r="C15" s="9">
        <f>C13*C11</f>
        <v>31.3812</v>
      </c>
    </row>
    <row r="16" spans="1:3" x14ac:dyDescent="0.25">
      <c r="A16" s="1" t="s">
        <v>21</v>
      </c>
      <c r="B16" s="40" t="s">
        <v>22</v>
      </c>
      <c r="C16" s="16">
        <f>C6*1000/C15</f>
        <v>7.9665532229487717</v>
      </c>
    </row>
    <row r="17" spans="1:3" x14ac:dyDescent="0.25">
      <c r="A17" s="1" t="s">
        <v>23</v>
      </c>
      <c r="B17" s="39" t="s">
        <v>24</v>
      </c>
      <c r="C17" s="9">
        <f>C5*1000/C16</f>
        <v>33.891696000000003</v>
      </c>
    </row>
    <row r="18" spans="1:3" x14ac:dyDescent="0.25">
      <c r="A18" s="1" t="s">
        <v>25</v>
      </c>
      <c r="B18" s="41" t="s">
        <v>26</v>
      </c>
      <c r="C18" s="14">
        <f>C17/C10</f>
        <v>0.83994289962825286</v>
      </c>
    </row>
    <row r="19" spans="1:3" x14ac:dyDescent="0.25">
      <c r="A19" s="12" t="s">
        <v>27</v>
      </c>
      <c r="B19" s="42" t="s">
        <v>28</v>
      </c>
      <c r="C19" s="13">
        <f>C17-C10</f>
        <v>-6.4583039999999983</v>
      </c>
    </row>
    <row r="20" spans="1:3" x14ac:dyDescent="0.25">
      <c r="A20" s="4" t="s">
        <v>29</v>
      </c>
      <c r="B20" s="43" t="s">
        <v>30</v>
      </c>
      <c r="C20" s="35">
        <f>C19/C10</f>
        <v>-0.16005710037174717</v>
      </c>
    </row>
    <row r="21" spans="1:3" x14ac:dyDescent="0.25">
      <c r="A21" s="12" t="s">
        <v>31</v>
      </c>
      <c r="B21" s="44" t="s">
        <v>32</v>
      </c>
      <c r="C21" s="10">
        <f>C10*C16</f>
        <v>321.45042254598297</v>
      </c>
    </row>
    <row r="22" spans="1:3" x14ac:dyDescent="0.25">
      <c r="A22" s="4" t="s">
        <v>33</v>
      </c>
      <c r="B22" s="45" t="s">
        <v>34</v>
      </c>
      <c r="C22" s="11">
        <f>C11*C16</f>
        <v>271.73913043478262</v>
      </c>
    </row>
  </sheetData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Estándar técnico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Riera</dc:creator>
  <cp:keywords/>
  <dc:description/>
  <cp:lastModifiedBy>Juan Riera</cp:lastModifiedBy>
  <cp:revision/>
  <dcterms:created xsi:type="dcterms:W3CDTF">2021-08-17T11:04:57Z</dcterms:created>
  <dcterms:modified xsi:type="dcterms:W3CDTF">2026-02-19T17:43:29Z</dcterms:modified>
  <cp:category/>
  <cp:contentStatus/>
</cp:coreProperties>
</file>