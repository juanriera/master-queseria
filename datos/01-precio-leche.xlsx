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91" documentId="8_{C3D8DB6E-80F1-4A74-A94C-632DB8A5E2B1}" xr6:coauthVersionLast="47" xr6:coauthVersionMax="47" xr10:uidLastSave="{93EED132-CBDA-4567-800A-682B281B9926}"/>
  <bookViews>
    <workbookView xWindow="1170" yWindow="1170" windowWidth="23595" windowHeight="14250" tabRatio="675" xr2:uid="{6977E7F1-D64B-47FE-B2A7-D4E9B0399E18}"/>
  </bookViews>
  <sheets>
    <sheet name="Liquidación leche" sheetId="17" r:id="rId1"/>
    <sheet name="Datos materia prima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hidden="1">{#N/A,#N/A,FALSE,"RIEP"}</definedName>
    <definedName name="aaaaaaaaaaaaaaaa" hidden="1">{#N/A,#N/A,FALSE,"RIEP"}</definedName>
    <definedName name="AASAS" hidden="1">{"QQQ",#N/A,FALSE,"RIEP"}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hidden="1">{"SPM1",#N/A,FALSE,"RIEP"}</definedName>
    <definedName name="ASD" hidden="1">{"QQQ",#N/A,FALSE,"RIEP"}</definedName>
    <definedName name="ASDF" hidden="1">{#N/A,#N/A,FALSE,"RIEP"}</definedName>
    <definedName name="asdfas" hidden="1">{#N/A,#N/A,FALSE,"RIEP"}</definedName>
    <definedName name="aùsw" hidden="1">{"SPM1",#N/A,FALSE,"RIEP"}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hidden="1">{"SPM1",#N/A,FALSE,"RIEP"}</definedName>
    <definedName name="byubtyuj" hidden="1">{"QQQ",#N/A,FALSE,"RIEP"}</definedName>
    <definedName name="byukkty" hidden="1">{#N/A,#N/A,FALSE,"RIEP"}</definedName>
    <definedName name="byuku" hidden="1">{#N/A,#N/A,FALSE,"RIEP"}</definedName>
    <definedName name="č" hidden="1">{"'domaće količine'!$K$34:$P$47"}</definedName>
    <definedName name="cc" hidden="1">{#N/A,#N/A,FALSE,"RIEP"}</definedName>
    <definedName name="ccc" hidden="1">{"SPM1",#N/A,FALSE,"RIEP"}</definedName>
    <definedName name="cccc" hidden="1">{"SPM1",#N/A,FALSE,"RIEP"}</definedName>
    <definedName name="CCSFDFRDF" hidden="1">{"SPM1",#N/A,FALSE,"RIEP"}</definedName>
    <definedName name="cdf" hidden="1">{"SPM1",#N/A,FALSE,"RIEP"}</definedName>
    <definedName name="CDVF" hidden="1">{"SPM1",#N/A,FALSE,"RIEP"}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hidden="1">{#N/A,#N/A,FALSE,"RIEP"}</definedName>
    <definedName name="DAFreofè0eirfh" hidden="1">{"SPM1",#N/A,FALSE,"RIEP"}</definedName>
    <definedName name="dd">#REF!</definedName>
    <definedName name="DDD" hidden="1">{#N/A,#N/A,TRUE,"EC COMM-t";#N/A,#N/A,TRUE,"EC PAR PDTS-t";#N/A,#N/A,TRUE,"EC MAT-t";#N/A,#N/A,TRUE,"SUIVI HAUSSES-t"}</definedName>
    <definedName name="DDDDD" hidden="1">{"SPM1",#N/A,FALSE,"RIEP"}</definedName>
    <definedName name="ddddddd" hidden="1">{#N/A,#N/A,FALSE,"RIEP"}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hidden="1">{"SPM1",#N/A,FALSE,"RIEP"}</definedName>
    <definedName name="DFda" hidden="1">{#N/A,#N/A,FALSE,"RIEP"}</definedName>
    <definedName name="DFRSFG" hidden="1">{"SPM1",#N/A,FALSE,"RIEP"}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hidden="1">{"'domaće količine'!$K$34:$P$47"}</definedName>
    <definedName name="draganć" hidden="1">{"'domaće količine'!$K$34:$P$47"}</definedName>
    <definedName name="DSFSDGFG" hidden="1">{"SPM1",#N/A,FALSE,"RIEP"}</definedName>
    <definedName name="dthrrr" hidden="1">{"SPM1",#N/A,FALSE,"RIEP"}</definedName>
    <definedName name="ECA" hidden="1">{#N/A,#N/A,FALSE,"ANALYSE";#N/A,#N/A,FALSE,"PM VALEUR"}</definedName>
    <definedName name="ECARTBM" hidden="1">{"DETAIL",#N/A,FALSE,"REELBUDGET";"TOTAL",#N/A,FALSE,"REELBUDGET"}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hidden="1">{"QQQ",#N/A,FALSE,"RIEP"}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_salida_salado">#REF!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hidden="1">{"'domaće količine'!$K$34:$P$47"}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hidden="1">{#N/A,#N/A,FALSE,"RIEP"}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hidden="1">{"QQQ",#N/A,FALSE,"RIEP"}</definedName>
    <definedName name="fg" hidden="1">{#N/A,#N/A,FALSE,"RIEP"}</definedName>
    <definedName name="fgffg" hidden="1">{#N/A,#N/A,FALSE,"RIEP"}</definedName>
    <definedName name="FSDG" hidden="1">{#N/A,#N/A,FALSE,"RIEP"}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hidden="1">{#N/A,#N/A,FALSE,"RIEP"}</definedName>
    <definedName name="GG" hidden="1">[7]ACTIVITE!#REF!</definedName>
    <definedName name="GGGG" hidden="1">{"SPM1",#N/A,FALSE,"RIEP"}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hidden="1">{"QQQ",#N/A,FALSE,"RIEP"}</definedName>
    <definedName name="GHJ" hidden="1">{"SPM1",#N/A,FALSE,"RIEP"}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hidden="1">{"SPM1",#N/A,FALSE,"RIEP"}</definedName>
    <definedName name="hfderfPOURE" hidden="1">{#N/A,#N/A,FALSE,"RIEP"}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hidden="1">{"QQQ",#N/A,FALSE,"RIEP"}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hidden="1">{"QQQ",#N/A,FALSE,"RIEP"}</definedName>
    <definedName name="hhhhhhh" hidden="1">{"SPM1",#N/A,FALSE,"RIEP"}</definedName>
    <definedName name="HTML_CodePage" hidden="1">1250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hidden="1">{"'domaće količine'!$K$34:$P$47"}</definedName>
    <definedName name="j" hidden="1">{"SPM1",#N/A,FALSE,"RIEP"}</definedName>
    <definedName name="jcjfjfjjf" hidden="1">{#N/A,#N/A,FALSE,"RIEP"}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hidden="1">{#N/A,#N/A,TRUE,"EC COMM-t";#N/A,#N/A,TRUE,"EC PAR PDTS-t";#N/A,#N/A,TRUE,"EC MAT-t";#N/A,#N/A,TRUE,"SUIVI HAUSSES-t"}</definedName>
    <definedName name="jjfhfh" hidden="1">{"QQQ",#N/A,FALSE,"RIEP"}</definedName>
    <definedName name="jjj" hidden="1">{"SPM1",#N/A,FALSE,"RIEP"}</definedName>
    <definedName name="jjjjj" hidden="1">{"SPM1",#N/A,FALSE,"RIEP"}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hidden="1">{#N/A,#N/A,FALSE,"RIEP"}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hidden="1">{#N/A,#N/A,FALSE,"RIEP"}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hidden="1">{#N/A,#N/A,FALSE,"RIEP"}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hidden="1">{"QQQ",#N/A,FALSE,"RIEP"}</definedName>
    <definedName name="m" hidden="1">{"'domaće količine'!$K$34:$P$47"}</definedName>
    <definedName name="MARTESANA">#REF!</definedName>
    <definedName name="MG_salida_salado">#REF!</definedName>
    <definedName name="minnii" hidden="1">{"SPM1",#N/A,FALSE,"RIEP"}</definedName>
    <definedName name="MOIS">[8]Grille!$B$3:$C$14</definedName>
    <definedName name="Month_No.">7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hidden="1">{"SPM1",#N/A,FALSE,"RIEP"}</definedName>
    <definedName name="ODRŽ." hidden="1">{"'domaće količine'!$K$34:$P$47"}</definedName>
    <definedName name="òflfgfppfpf" hidden="1">{"SPM1",#N/A,FALSE,"RIEP"}</definedName>
    <definedName name="OIOIIUIUG" hidden="1">{"SPM1",#N/A,FALSE,"RIEP"}</definedName>
    <definedName name="ooo" hidden="1">{"QQQ",#N/A,FALSE,"RIEP"}</definedName>
    <definedName name="oooooo" hidden="1">{#N/A,#N/A,FALSE,"RIEP"}</definedName>
    <definedName name="P_HostName">#REF!</definedName>
    <definedName name="P_ServerName">#REF!</definedName>
    <definedName name="pippo" hidden="1">{#N/A,#N/A,FALSE,"RIEP"}</definedName>
    <definedName name="pluto" hidden="1">{"SPM1",#N/A,FALSE,"RIEP"}</definedName>
    <definedName name="PO" hidden="1">{"QQQ",#N/A,FALSE,"RIEP"}</definedName>
    <definedName name="poùH" hidden="1">{#N/A,#N/A,FALSE,"RIEP"}</definedName>
    <definedName name="ppp" hidden="1">{"QQQ",#N/A,FALSE,"RIEP"}</definedName>
    <definedName name="PROD." hidden="1">{"'domaće količine'!$K$34:$P$47"}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hidden="1">{#N/A,#N/A,FALSE,"RIEP"}</definedName>
    <definedName name="qw" hidden="1">{#N/A,#N/A,FALSE,"RIEP"}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hidden="1">{"SPM1",#N/A,FALSE,"RIEP"}</definedName>
    <definedName name="SDFDSJF" hidden="1">{#N/A,#N/A,FALSE,"RIEP"}</definedName>
    <definedName name="sdsd" hidden="1">{"SPM1",#N/A,FALSE,"RIEP"}</definedName>
    <definedName name="SEDSDS" hidden="1">{#N/A,#N/A,FALSE,"RIEP"}</definedName>
    <definedName name="sencount" hidden="1">1</definedName>
    <definedName name="SSSADADSF" hidden="1">{"SPM1",#N/A,FALSE,"RIEP"}</definedName>
    <definedName name="ssss" hidden="1">#REF!</definedName>
    <definedName name="sssssss" hidden="1">{#N/A,#N/A,FALSE,"RIEP"}</definedName>
    <definedName name="ssssssssssssssssssssssssss" hidden="1">{"QQQ",#N/A,FALSE,"RIEP"}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hidden="1">{#N/A,#N/A,FALSE,"RIEP"}</definedName>
    <definedName name="t" hidden="1">{"QQQ",#N/A,FALSE,"RIEP"}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hidden="1">{#N/A,#N/A,FALSE,"RIEP"}</definedName>
    <definedName name="t7u74u" hidden="1">{"QQQ",#N/A,FALSE,"RIEP"}</definedName>
    <definedName name="t7u75" hidden="1">{"SPM1",#N/A,FALSE,"RIEP"}</definedName>
    <definedName name="t7ur7u" hidden="1">{#N/A,#N/A,FALSE,"RIEP"}</definedName>
    <definedName name="tgfcvds" hidden="1">{#N/A,#N/A,FALSE,"RIEP"}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hidden="1">{#N/A,#N/A,FALSE,"RIEP"}</definedName>
    <definedName name="TM1REBUILDOPTION">0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hidden="1">{"SPM1",#N/A,FALSE,"RIEP"}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hidden="1">{"QQQ",#N/A,FALSE,"RIEP"}</definedName>
    <definedName name="ugkj" hidden="1">{"QQQ",#N/A,FALSE,"RIEP"}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hidden="1">{"QQQ",#N/A,FALSE,"RIEP"}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hidden="1">{#N/A,#N/A,FALSE,"RIEP"}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hidden="1">{"QQQ",#N/A,FALSE,"RIEP"}</definedName>
    <definedName name="vvvvbbbb" hidden="1">{#N/A,#N/A,FALSE,"RIEP"}</definedName>
    <definedName name="vvvvvv" hidden="1">{#N/A,#N/A,FALSE,"RIEP"}</definedName>
    <definedName name="vvvvvvvv" hidden="1">{"SPM1",#N/A,FALSE,"RIEP"}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hidden="1">{"SPM1",#N/A,FALSE,"RIEP"}</definedName>
    <definedName name="wer" hidden="1">{#N/A,#N/A,FALSE,"ANALYSE";#N/A,#N/A,FALSE,"PM VALEUR"}</definedName>
    <definedName name="wetrwrt" hidden="1">{"QQQ",#N/A,FALSE,"RIEP"}</definedName>
    <definedName name="wewe" hidden="1">{"SPM1",#N/A,FALSE,"RIEP"}</definedName>
    <definedName name="wrn.CCC." hidden="1">{"QQQ",#N/A,FALSE,"RIEP"}</definedName>
    <definedName name="wrn.Charges." hidden="1">{"Analyse charges",#N/A,FALSE,"Feuil1 (2)"}</definedName>
    <definedName name="wrn.Charges._.Clécy." hidden="1">{#N/A,#N/A,FALSE,"Evol98";#N/A,#N/A,FALSE,"Saisie98"}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hidden="1">{#N/A,#N/A,FALSE,"EC COMM-c";#N/A,#N/A,FALSE,"EC PAR PDTS-c";#N/A,#N/A,FALSE,"EC MAT-c";#N/A,#N/A,FALSE,"SUIVI HAUSSES-c"}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hidden="1">{#N/A,#N/A,FALSE,"ANALYSE";#N/A,#N/A,FALSE,"PM VALEUR"}</definedName>
    <definedName name="wrn.Impression._.totale." hidden="1">{"Analyse charges",#N/A,FALSE,"Feuil1 (2)";"Ratios activités",#N/A,FALSE,"Feuil1 (2)";"Indicateurs",#N/A,FALSE,"Feuil1 (2)"}</definedName>
    <definedName name="wrn.Indicateurs." hidden="1">{"Indicateurs",#N/A,FALSE,"Feuil1 (2)"}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hidden="1">{"Ratios activités",#N/A,FALSE,"Feuil1 (2)"}</definedName>
    <definedName name="wrn.REELBUD." hidden="1">{"DETAIL",#N/A,FALSE,"REELBUDGET";"TOTAL",#N/A,FALSE,"REELBUDGET"}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hidden="1">{#N/A,#N/A,FALSE,"RIEP"}</definedName>
    <definedName name="wrn.SPM1." hidden="1">{"SPM1",#N/A,FALSE,"RIEP"}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hidden="1">{#N/A,#N/A,TRUE,"EC COMM-t";#N/A,#N/A,TRUE,"EC PAR PDTS-t";#N/A,#N/A,TRUE,"EC MAT-t";#N/A,#N/A,TRUE,"SUIVI HAUSSES-t"}</definedName>
    <definedName name="wrn1.CCC." hidden="1">{"QQQ",#N/A,FALSE,"RIEP"}</definedName>
    <definedName name="wwww" hidden="1">{#N/A,#N/A,FALSE,"RIEP"}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hidden="1">{"QQQ",#N/A,FALSE,"RIEP"}</definedName>
    <definedName name="ybukkbyitkituk" hidden="1">{#N/A,#N/A,FALSE,"RIEP"}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hidden="1">{"QQQ",#N/A,FALSE,"RIEP"}</definedName>
    <definedName name="YY" hidden="1">{#N/A,#N/A,FALSE,"RIEP"}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hidden="1">{#N/A,#N/A,FALSE,"RIEP"}</definedName>
    <definedName name="zzzzzzzzzzzzz" hidden="1">{#N/A,#N/A,FALSE,"RIEP"}</definedName>
    <definedName name="zzzzzzzzzzzzzz" hidden="1">{"QQQ",#N/A,FALSE,"RIEP"}</definedName>
    <definedName name="zzzzzzzzzzzzzzzzzz" hidden="1">{"QQQ",#N/A,FALSE,"RIEP"}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7" l="1"/>
  <c r="B33" i="17" s="1"/>
  <c r="B31" i="17"/>
  <c r="B32" i="17"/>
  <c r="E24" i="17"/>
  <c r="E23" i="17"/>
  <c r="F26" i="17"/>
  <c r="F25" i="17"/>
  <c r="F24" i="17"/>
  <c r="F23" i="17"/>
  <c r="E22" i="17"/>
  <c r="F22" i="17" s="1"/>
  <c r="E21" i="17"/>
  <c r="F21" i="17" s="1"/>
  <c r="B16" i="17"/>
  <c r="B15" i="17"/>
  <c r="B14" i="17"/>
  <c r="B17" i="17" s="1"/>
  <c r="C7" i="8"/>
  <c r="C9" i="8" s="1"/>
  <c r="B7" i="8"/>
  <c r="B9" i="8" s="1"/>
  <c r="C25" i="8"/>
  <c r="C21" i="8"/>
  <c r="C17" i="8" l="1"/>
  <c r="C16" i="8"/>
  <c r="C28" i="8"/>
  <c r="C27" i="8" l="1"/>
  <c r="C20" i="8"/>
  <c r="C11" i="8"/>
  <c r="B21" i="8"/>
  <c r="B25" i="8"/>
  <c r="C10" i="8" l="1"/>
  <c r="B17" i="8"/>
  <c r="B16" i="8"/>
  <c r="B27" i="8" l="1"/>
  <c r="B20" i="8"/>
  <c r="B28" i="8" l="1"/>
  <c r="B10" i="8" l="1"/>
  <c r="B11" i="8"/>
</calcChain>
</file>

<file path=xl/sharedStrings.xml><?xml version="1.0" encoding="utf-8"?>
<sst xmlns="http://schemas.openxmlformats.org/spreadsheetml/2006/main" count="91" uniqueCount="68">
  <si>
    <t>Real</t>
  </si>
  <si>
    <t>Datos de materia prima</t>
  </si>
  <si>
    <t>Composición leche (g/L)</t>
  </si>
  <si>
    <t>Coste de la leche en fabrica</t>
  </si>
  <si>
    <t>Total euros/L</t>
  </si>
  <si>
    <t>Composición leche (% m/m)</t>
  </si>
  <si>
    <t>Valoración materia prima</t>
  </si>
  <si>
    <t>Precio resultante de la materia</t>
  </si>
  <si>
    <t>⁰C medida</t>
  </si>
  <si>
    <t>Presupuesto</t>
  </si>
  <si>
    <t xml:space="preserve"> Calidad real                </t>
  </si>
  <si>
    <t xml:space="preserve"> 3   décimas (4,10 vs 3,80)  </t>
  </si>
  <si>
    <t xml:space="preserve"> 1,5 décimas (3,45 vs 3,30)  </t>
  </si>
  <si>
    <t xml:space="preserve">                             </t>
  </si>
  <si>
    <t xml:space="preserve"> Bienestar animal </t>
  </si>
  <si>
    <t xml:space="preserve"> certificacion Welfair/AENOR </t>
  </si>
  <si>
    <t xml:space="preserve"> Letra Q          </t>
  </si>
  <si>
    <t>Grasa (MG)</t>
  </si>
  <si>
    <t>Proteína (MP)</t>
  </si>
  <si>
    <t>Recuento de células somáticas (RCS)</t>
  </si>
  <si>
    <t>Recuento de bacterias totales (RB)</t>
  </si>
  <si>
    <t>Límite prima</t>
  </si>
  <si>
    <t xml:space="preserve"> Bonificación
(€/L)</t>
  </si>
  <si>
    <t>Resultado analítico</t>
  </si>
  <si>
    <t>Sí</t>
  </si>
  <si>
    <t>1. Datos presupuesto</t>
  </si>
  <si>
    <t>2. Liquidación real mensual</t>
  </si>
  <si>
    <t xml:space="preserve">Precio base </t>
  </si>
  <si>
    <t xml:space="preserve">Primas Calidad (MG + MP) </t>
  </si>
  <si>
    <t>Higiene (RCS + RB)</t>
  </si>
  <si>
    <t>Sostenibilidad (BA + Letra Q)</t>
  </si>
  <si>
    <t>Precio neto final</t>
  </si>
  <si>
    <t>MG &gt; 3,80%</t>
  </si>
  <si>
    <t>MP &gt; 3,30%</t>
  </si>
  <si>
    <t>RCS &lt; 200.000</t>
  </si>
  <si>
    <t>RB &lt; 50.000</t>
  </si>
  <si>
    <t>Ejemplo simplificado de liquidación mensual de precio de leche de vaca</t>
  </si>
  <si>
    <t>Prima</t>
  </si>
  <si>
    <t>Calidad real
(diferencia entre resultado y límite prima)</t>
  </si>
  <si>
    <t>Concepto</t>
  </si>
  <si>
    <t>Prima
(€/L)</t>
  </si>
  <si>
    <t>+ 0,008</t>
  </si>
  <si>
    <t>+ 0,005</t>
  </si>
  <si>
    <t>+ 0,007</t>
  </si>
  <si>
    <t>+ 0,010</t>
  </si>
  <si>
    <t>Precio
pagado</t>
  </si>
  <si>
    <t>Parámetro para pago por calidad
(valores presupuestados)</t>
  </si>
  <si>
    <t>Parámetro para pago por calidad
Mes de ABRIL</t>
  </si>
  <si>
    <t>1. Precio base</t>
  </si>
  <si>
    <t>2. Primas calidad (MG/MP)</t>
  </si>
  <si>
    <t>3. Primas higiene</t>
  </si>
  <si>
    <t>4. Prima sostenibilidad</t>
  </si>
  <si>
    <t>5. Total precio al ganadero</t>
  </si>
  <si>
    <t>6. Coste transporte + otros recogida</t>
  </si>
  <si>
    <t>7. Materia grasa</t>
  </si>
  <si>
    <t>8. Proteína</t>
  </si>
  <si>
    <t>9. Materia grasa</t>
  </si>
  <si>
    <t>10. Proteinas totales</t>
  </si>
  <si>
    <t>11. Materia grasa</t>
  </si>
  <si>
    <t>12. Proteinas totales</t>
  </si>
  <si>
    <t>13. Lactosa</t>
  </si>
  <si>
    <t>14. Sales minerales y otros</t>
  </si>
  <si>
    <t>15. Agua</t>
  </si>
  <si>
    <t>16. Densidad</t>
  </si>
  <si>
    <t>17. Valoración MG</t>
  </si>
  <si>
    <t>18. Valoración MP</t>
  </si>
  <si>
    <t>19. Precio MG (euros/kg)</t>
  </si>
  <si>
    <t>20. Precio MP (euros/kg)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</si>
</sst>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_ ;[Red]\-#,##0\ "/>
    <numFmt numFmtId="165" formatCode="0.000"/>
    <numFmt numFmtId="166" formatCode="_-* #,##0.00\ _€_-;\-* #,##0.00\ _€_-;_-* &quot;-&quot;??\ _€_-;_-@_-"/>
    <numFmt numFmtId="167" formatCode="#,##0.00_ ;[Red]\-#,##0.00\ "/>
    <numFmt numFmtId="168" formatCode="0.0000"/>
    <numFmt numFmtId="169" formatCode="0.0000_ ;[Red]\-0.0000\ "/>
    <numFmt numFmtId="170" formatCode="0.000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64">
    <xf numFmtId="0" fontId="0" fillId="0" borderId="0" xfId="0"/>
    <xf numFmtId="165" fontId="0" fillId="0" borderId="5" xfId="0" applyNumberFormat="1" applyBorder="1"/>
    <xf numFmtId="0" fontId="0" fillId="0" borderId="5" xfId="0" applyBorder="1"/>
    <xf numFmtId="0" fontId="0" fillId="0" borderId="7" xfId="0" applyBorder="1"/>
    <xf numFmtId="10" fontId="0" fillId="0" borderId="9" xfId="0" applyNumberFormat="1" applyBorder="1"/>
    <xf numFmtId="164" fontId="0" fillId="0" borderId="5" xfId="0" applyNumberFormat="1" applyBorder="1" applyAlignment="1">
      <alignment horizontal="left" indent="1"/>
    </xf>
    <xf numFmtId="0" fontId="4" fillId="0" borderId="0" xfId="0" applyFont="1"/>
    <xf numFmtId="164" fontId="0" fillId="0" borderId="6" xfId="0" applyNumberFormat="1" applyBorder="1" applyAlignment="1">
      <alignment horizontal="left" indent="1"/>
    </xf>
    <xf numFmtId="164" fontId="0" fillId="0" borderId="12" xfId="0" applyNumberFormat="1" applyBorder="1" applyAlignment="1">
      <alignment horizontal="left" indent="1"/>
    </xf>
    <xf numFmtId="164" fontId="0" fillId="0" borderId="9" xfId="0" applyNumberFormat="1" applyBorder="1" applyAlignment="1">
      <alignment horizontal="left" indent="1"/>
    </xf>
    <xf numFmtId="165" fontId="0" fillId="0" borderId="0" xfId="0" applyNumberFormat="1"/>
    <xf numFmtId="164" fontId="0" fillId="0" borderId="8" xfId="0" applyNumberFormat="1" applyBorder="1" applyAlignment="1">
      <alignment horizontal="left" indent="1"/>
    </xf>
    <xf numFmtId="164" fontId="2" fillId="0" borderId="7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164" fontId="0" fillId="0" borderId="9" xfId="0" applyNumberFormat="1" applyBorder="1" applyAlignment="1">
      <alignment horizontal="left" indent="4"/>
    </xf>
    <xf numFmtId="164" fontId="2" fillId="0" borderId="6" xfId="0" applyNumberFormat="1" applyFont="1" applyBorder="1" applyAlignment="1">
      <alignment horizontal="left"/>
    </xf>
    <xf numFmtId="9" fontId="0" fillId="0" borderId="5" xfId="1" applyFont="1" applyBorder="1"/>
    <xf numFmtId="1" fontId="0" fillId="0" borderId="9" xfId="0" applyNumberFormat="1" applyBorder="1"/>
    <xf numFmtId="0" fontId="0" fillId="0" borderId="9" xfId="0" applyBorder="1"/>
    <xf numFmtId="164" fontId="2" fillId="0" borderId="2" xfId="0" applyNumberFormat="1" applyFont="1" applyBorder="1" applyAlignment="1">
      <alignment horizontal="left"/>
    </xf>
    <xf numFmtId="0" fontId="0" fillId="0" borderId="6" xfId="0" applyBorder="1"/>
    <xf numFmtId="0" fontId="0" fillId="0" borderId="12" xfId="0" applyBorder="1"/>
    <xf numFmtId="167" fontId="0" fillId="0" borderId="6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0" fontId="0" fillId="0" borderId="6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9" fontId="0" fillId="0" borderId="7" xfId="0" applyNumberFormat="1" applyBorder="1"/>
    <xf numFmtId="169" fontId="0" fillId="0" borderId="5" xfId="0" applyNumberFormat="1" applyBorder="1"/>
    <xf numFmtId="169" fontId="0" fillId="0" borderId="9" xfId="0" applyNumberFormat="1" applyBorder="1"/>
    <xf numFmtId="0" fontId="3" fillId="0" borderId="0" xfId="0" applyFont="1"/>
    <xf numFmtId="10" fontId="0" fillId="0" borderId="5" xfId="0" applyNumberFormat="1" applyBorder="1"/>
    <xf numFmtId="168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10" xfId="0" quotePrefix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10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68" fontId="0" fillId="0" borderId="7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7" fontId="2" fillId="3" borderId="1" xfId="0" applyNumberFormat="1" applyFont="1" applyFill="1" applyBorder="1" applyAlignment="1">
      <alignment horizontal="center" wrapText="1"/>
    </xf>
    <xf numFmtId="167" fontId="2" fillId="3" borderId="1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169" fontId="0" fillId="2" borderId="9" xfId="0" applyNumberFormat="1" applyFill="1" applyBorder="1"/>
    <xf numFmtId="9" fontId="0" fillId="2" borderId="5" xfId="1" applyFont="1" applyFill="1" applyBorder="1"/>
    <xf numFmtId="165" fontId="2" fillId="2" borderId="5" xfId="0" applyNumberFormat="1" applyFont="1" applyFill="1" applyBorder="1"/>
    <xf numFmtId="165" fontId="2" fillId="2" borderId="9" xfId="0" applyNumberFormat="1" applyFont="1" applyFill="1" applyBorder="1"/>
    <xf numFmtId="169" fontId="2" fillId="0" borderId="1" xfId="0" applyNumberFormat="1" applyFont="1" applyBorder="1"/>
    <xf numFmtId="170" fontId="0" fillId="0" borderId="0" xfId="0" applyNumberFormat="1"/>
    <xf numFmtId="0" fontId="2" fillId="0" borderId="8" xfId="0" applyFont="1" applyBorder="1" applyAlignment="1">
      <alignment horizontal="left"/>
    </xf>
  </cellXfs>
  <cellStyles count="3">
    <cellStyle name="Millares 2" xfId="2" xr:uid="{0DF497A4-B1A4-4A8E-B2C1-3A725AAFDCC2}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C1A0B829-C718-46CC-8773-0D9C98C699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s001688/Lactalis%20Industrial/Presupuesto%202017/VR/B11%20BVR%204.xls" TargetMode="External"/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recdg/INDUSTRIEL/Budget%20Industriel/BUDGET%20INDUSTRIEL%202009/BOUVRON/Precdg/INDUSTRIEL/PCI/CREATIONS%20DE%20PCI/PPC%20&amp;%20PPNC/BOUVRON%20PPC/071029%20-%20Mozza%20Galbani/071030%20-%20B08%20BVR%20-%20Mozza%20R&#226;p&#233;%20Galbani.xls" TargetMode="External"/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EEE8-B5FE-4126-8C2B-2C084C635DB5}">
  <dimension ref="A1:F33"/>
  <sheetViews>
    <sheetView tabSelected="1" topLeftCell="A7" workbookViewId="0">
      <selection activeCell="D28" sqref="D28"/>
    </sheetView>
  </sheetViews>
  <sheetFormatPr baseColWidth="10" defaultRowHeight="15" x14ac:dyDescent="0.25"/>
  <cols>
    <col min="1" max="1" width="33.85546875" customWidth="1"/>
    <col min="2" max="2" width="12.7109375" customWidth="1"/>
    <col min="3" max="3" width="15.7109375" customWidth="1"/>
    <col min="5" max="5" width="28" customWidth="1"/>
    <col min="6" max="6" width="12.42578125" customWidth="1"/>
  </cols>
  <sheetData>
    <row r="1" spans="1:6" ht="21" x14ac:dyDescent="0.35">
      <c r="A1" s="37" t="s">
        <v>36</v>
      </c>
    </row>
    <row r="3" spans="1:6" ht="18.75" x14ac:dyDescent="0.3">
      <c r="A3" s="6" t="s">
        <v>25</v>
      </c>
    </row>
    <row r="4" spans="1:6" ht="30" x14ac:dyDescent="0.25">
      <c r="A4" s="46" t="s">
        <v>46</v>
      </c>
      <c r="B4" s="46" t="s">
        <v>23</v>
      </c>
      <c r="C4" s="47" t="s">
        <v>21</v>
      </c>
      <c r="D4" s="48" t="s">
        <v>40</v>
      </c>
      <c r="E4" s="47" t="s">
        <v>10</v>
      </c>
      <c r="F4" s="49" t="s">
        <v>22</v>
      </c>
    </row>
    <row r="5" spans="1:6" x14ac:dyDescent="0.25">
      <c r="A5" s="20" t="s">
        <v>17</v>
      </c>
      <c r="B5" s="26">
        <v>4.1000000000000002E-2</v>
      </c>
      <c r="C5" s="27" t="s">
        <v>32</v>
      </c>
      <c r="D5" s="39" t="s">
        <v>42</v>
      </c>
      <c r="E5" s="27" t="s">
        <v>11</v>
      </c>
      <c r="F5" s="42">
        <v>1.4999999999999999E-2</v>
      </c>
    </row>
    <row r="6" spans="1:6" x14ac:dyDescent="0.25">
      <c r="A6" s="20" t="s">
        <v>18</v>
      </c>
      <c r="B6" s="26">
        <v>3.4500000000000003E-2</v>
      </c>
      <c r="C6" s="27" t="s">
        <v>33</v>
      </c>
      <c r="D6" s="40" t="s">
        <v>41</v>
      </c>
      <c r="E6" s="27" t="s">
        <v>12</v>
      </c>
      <c r="F6" s="42">
        <v>1.2E-2</v>
      </c>
    </row>
    <row r="7" spans="1:6" x14ac:dyDescent="0.25">
      <c r="A7" s="20" t="s">
        <v>19</v>
      </c>
      <c r="B7" s="24">
        <v>180000</v>
      </c>
      <c r="C7" s="27" t="s">
        <v>34</v>
      </c>
      <c r="D7" s="40" t="s">
        <v>43</v>
      </c>
      <c r="E7" s="27" t="s">
        <v>13</v>
      </c>
      <c r="F7" s="42">
        <v>7.0000000000000001E-3</v>
      </c>
    </row>
    <row r="8" spans="1:6" x14ac:dyDescent="0.25">
      <c r="A8" s="20" t="s">
        <v>20</v>
      </c>
      <c r="B8" s="24">
        <v>20000</v>
      </c>
      <c r="C8" s="27" t="s">
        <v>35</v>
      </c>
      <c r="D8" s="40" t="s">
        <v>41</v>
      </c>
      <c r="E8" s="27" t="s">
        <v>13</v>
      </c>
      <c r="F8" s="42">
        <v>8.0000000000000002E-3</v>
      </c>
    </row>
    <row r="9" spans="1:6" x14ac:dyDescent="0.25">
      <c r="A9" s="20" t="s">
        <v>14</v>
      </c>
      <c r="B9" s="22" t="s">
        <v>24</v>
      </c>
      <c r="C9" s="2"/>
      <c r="D9" s="40" t="s">
        <v>44</v>
      </c>
      <c r="E9" s="27" t="s">
        <v>15</v>
      </c>
      <c r="F9" s="42">
        <v>0.01</v>
      </c>
    </row>
    <row r="10" spans="1:6" x14ac:dyDescent="0.25">
      <c r="A10" s="21" t="s">
        <v>16</v>
      </c>
      <c r="B10" s="23" t="s">
        <v>24</v>
      </c>
      <c r="C10" s="18"/>
      <c r="D10" s="41" t="s">
        <v>42</v>
      </c>
      <c r="E10" s="31" t="s">
        <v>13</v>
      </c>
      <c r="F10" s="43">
        <v>5.0000000000000001E-3</v>
      </c>
    </row>
    <row r="11" spans="1:6" x14ac:dyDescent="0.25">
      <c r="A11" s="20"/>
      <c r="B11" s="25"/>
      <c r="E11" s="32"/>
    </row>
    <row r="12" spans="1:6" ht="30" x14ac:dyDescent="0.25">
      <c r="A12" s="54" t="s">
        <v>39</v>
      </c>
      <c r="B12" s="53" t="s">
        <v>45</v>
      </c>
    </row>
    <row r="13" spans="1:6" x14ac:dyDescent="0.25">
      <c r="A13" s="3" t="s">
        <v>27</v>
      </c>
      <c r="B13" s="50">
        <v>0.51</v>
      </c>
    </row>
    <row r="14" spans="1:6" x14ac:dyDescent="0.25">
      <c r="A14" s="2" t="s">
        <v>28</v>
      </c>
      <c r="B14" s="51">
        <f>SUM(F5:F6)</f>
        <v>2.7E-2</v>
      </c>
    </row>
    <row r="15" spans="1:6" x14ac:dyDescent="0.25">
      <c r="A15" s="2" t="s">
        <v>29</v>
      </c>
      <c r="B15" s="51">
        <f>SUM(F7:F8)</f>
        <v>1.4999999999999999E-2</v>
      </c>
    </row>
    <row r="16" spans="1:6" x14ac:dyDescent="0.25">
      <c r="A16" s="2" t="s">
        <v>30</v>
      </c>
      <c r="B16" s="51">
        <f>SUM(F9:F10)</f>
        <v>1.4999999999999999E-2</v>
      </c>
    </row>
    <row r="17" spans="1:6" x14ac:dyDescent="0.25">
      <c r="A17" s="33" t="s">
        <v>31</v>
      </c>
      <c r="B17" s="52">
        <f>SUM(B13:B16)</f>
        <v>0.56700000000000006</v>
      </c>
    </row>
    <row r="19" spans="1:6" ht="18.75" x14ac:dyDescent="0.3">
      <c r="A19" s="6" t="s">
        <v>26</v>
      </c>
    </row>
    <row r="20" spans="1:6" ht="45" x14ac:dyDescent="0.25">
      <c r="A20" s="46" t="s">
        <v>47</v>
      </c>
      <c r="B20" s="46" t="s">
        <v>23</v>
      </c>
      <c r="C20" s="47" t="s">
        <v>21</v>
      </c>
      <c r="D20" s="48" t="s">
        <v>37</v>
      </c>
      <c r="E20" s="47" t="s">
        <v>38</v>
      </c>
      <c r="F20" s="49" t="s">
        <v>22</v>
      </c>
    </row>
    <row r="21" spans="1:6" x14ac:dyDescent="0.25">
      <c r="A21" s="20" t="s">
        <v>17</v>
      </c>
      <c r="B21" s="26">
        <v>3.95E-2</v>
      </c>
      <c r="C21" s="28">
        <v>3.7999999999999999E-2</v>
      </c>
      <c r="D21" s="44">
        <v>5.0000000000000001E-3</v>
      </c>
      <c r="E21" s="27">
        <f>(B21-C21)*1000</f>
        <v>1.5000000000000013</v>
      </c>
      <c r="F21" s="42">
        <f>D21*E21</f>
        <v>7.5000000000000067E-3</v>
      </c>
    </row>
    <row r="22" spans="1:6" x14ac:dyDescent="0.25">
      <c r="A22" s="20" t="s">
        <v>18</v>
      </c>
      <c r="B22" s="26">
        <v>3.4000000000000002E-2</v>
      </c>
      <c r="C22" s="29">
        <v>3.3000000000000002E-2</v>
      </c>
      <c r="D22" s="44">
        <v>8.0000000000000002E-3</v>
      </c>
      <c r="E22" s="27">
        <f>(B22-C22)*1000</f>
        <v>1.0000000000000009</v>
      </c>
      <c r="F22" s="42">
        <f>D22*E22</f>
        <v>8.0000000000000071E-3</v>
      </c>
    </row>
    <row r="23" spans="1:6" x14ac:dyDescent="0.25">
      <c r="A23" s="20" t="s">
        <v>19</v>
      </c>
      <c r="B23" s="24">
        <v>195000</v>
      </c>
      <c r="C23" s="30">
        <v>200000</v>
      </c>
      <c r="D23" s="44">
        <v>7.0000000000000001E-3</v>
      </c>
      <c r="E23" s="27" t="str">
        <f>IF(B23&lt;C23,"Aplica","No aplica")</f>
        <v>Aplica</v>
      </c>
      <c r="F23" s="42">
        <f>IF(B23&lt;C23,D23,0)</f>
        <v>7.0000000000000001E-3</v>
      </c>
    </row>
    <row r="24" spans="1:6" x14ac:dyDescent="0.25">
      <c r="A24" s="20" t="s">
        <v>20</v>
      </c>
      <c r="B24" s="24">
        <v>52000</v>
      </c>
      <c r="C24" s="30">
        <v>50000</v>
      </c>
      <c r="D24" s="44">
        <v>8.0000000000000002E-3</v>
      </c>
      <c r="E24" s="27" t="str">
        <f>IF(B24&lt;C24,"Aplica","No aplica")</f>
        <v>No aplica</v>
      </c>
      <c r="F24" s="42">
        <f>IF(B24&lt;C24,D24,0)</f>
        <v>0</v>
      </c>
    </row>
    <row r="25" spans="1:6" x14ac:dyDescent="0.25">
      <c r="A25" s="20" t="s">
        <v>14</v>
      </c>
      <c r="B25" s="22" t="s">
        <v>24</v>
      </c>
      <c r="C25" s="2"/>
      <c r="D25" s="44">
        <v>0.01</v>
      </c>
      <c r="E25" s="27"/>
      <c r="F25" s="42">
        <f>IF(B25="Sí",D25,0)</f>
        <v>0.01</v>
      </c>
    </row>
    <row r="26" spans="1:6" x14ac:dyDescent="0.25">
      <c r="A26" s="21" t="s">
        <v>16</v>
      </c>
      <c r="B26" s="23" t="s">
        <v>24</v>
      </c>
      <c r="C26" s="18"/>
      <c r="D26" s="45">
        <v>5.0000000000000001E-3</v>
      </c>
      <c r="E26" s="18"/>
      <c r="F26" s="43">
        <f>IF(B26="Sí",D26,0)</f>
        <v>5.0000000000000001E-3</v>
      </c>
    </row>
    <row r="28" spans="1:6" ht="30" x14ac:dyDescent="0.25">
      <c r="A28" s="54" t="s">
        <v>39</v>
      </c>
      <c r="B28" s="53" t="s">
        <v>45</v>
      </c>
    </row>
    <row r="29" spans="1:6" x14ac:dyDescent="0.25">
      <c r="A29" s="3" t="s">
        <v>27</v>
      </c>
      <c r="B29" s="50">
        <v>0.51</v>
      </c>
    </row>
    <row r="30" spans="1:6" x14ac:dyDescent="0.25">
      <c r="A30" s="2" t="s">
        <v>28</v>
      </c>
      <c r="B30" s="51">
        <f>SUM(F21:F22)</f>
        <v>1.5500000000000014E-2</v>
      </c>
    </row>
    <row r="31" spans="1:6" x14ac:dyDescent="0.25">
      <c r="A31" s="2" t="s">
        <v>29</v>
      </c>
      <c r="B31" s="51">
        <f>SUM(F23:F24)</f>
        <v>7.0000000000000001E-3</v>
      </c>
    </row>
    <row r="32" spans="1:6" x14ac:dyDescent="0.25">
      <c r="A32" s="2" t="s">
        <v>30</v>
      </c>
      <c r="B32" s="51">
        <f>SUM(F25:F26)</f>
        <v>1.4999999999999999E-2</v>
      </c>
    </row>
    <row r="33" spans="1:2" x14ac:dyDescent="0.25">
      <c r="A33" s="33" t="s">
        <v>31</v>
      </c>
      <c r="B33" s="52">
        <f>SUM(B29:B32)</f>
        <v>0.5475000000000001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A5F7-7476-41E2-B25E-833B29F6911A}">
  <dimension ref="A1:D37"/>
  <sheetViews>
    <sheetView zoomScaleNormal="100" workbookViewId="0">
      <selection activeCell="F20" sqref="F20"/>
    </sheetView>
  </sheetViews>
  <sheetFormatPr baseColWidth="10" defaultRowHeight="15" x14ac:dyDescent="0.25"/>
  <cols>
    <col min="1" max="1" width="40.28515625" customWidth="1"/>
    <col min="2" max="2" width="15.140625" customWidth="1"/>
    <col min="3" max="3" width="11.85546875" customWidth="1"/>
  </cols>
  <sheetData>
    <row r="1" spans="1:3" ht="18.75" x14ac:dyDescent="0.3">
      <c r="A1" s="6" t="s">
        <v>1</v>
      </c>
    </row>
    <row r="2" spans="1:3" x14ac:dyDescent="0.25">
      <c r="A2" s="55" t="s">
        <v>3</v>
      </c>
      <c r="B2" s="56" t="s">
        <v>9</v>
      </c>
      <c r="C2" s="56" t="s">
        <v>0</v>
      </c>
    </row>
    <row r="3" spans="1:3" x14ac:dyDescent="0.25">
      <c r="A3" s="11" t="s">
        <v>48</v>
      </c>
      <c r="B3" s="34">
        <v>0.51</v>
      </c>
      <c r="C3" s="34">
        <v>0.51</v>
      </c>
    </row>
    <row r="4" spans="1:3" x14ac:dyDescent="0.25">
      <c r="A4" s="7" t="s">
        <v>49</v>
      </c>
      <c r="B4" s="35">
        <v>2.7E-2</v>
      </c>
      <c r="C4" s="35">
        <v>1.5500000000000014E-2</v>
      </c>
    </row>
    <row r="5" spans="1:3" x14ac:dyDescent="0.25">
      <c r="A5" s="7" t="s">
        <v>50</v>
      </c>
      <c r="B5" s="35">
        <v>1.4999999999999999E-2</v>
      </c>
      <c r="C5" s="35">
        <v>7.0000000000000001E-3</v>
      </c>
    </row>
    <row r="6" spans="1:3" x14ac:dyDescent="0.25">
      <c r="A6" s="8" t="s">
        <v>51</v>
      </c>
      <c r="B6" s="36">
        <v>1.4999999999999999E-2</v>
      </c>
      <c r="C6" s="36">
        <v>1.4999999999999999E-2</v>
      </c>
    </row>
    <row r="7" spans="1:3" x14ac:dyDescent="0.25">
      <c r="A7" s="11" t="s">
        <v>52</v>
      </c>
      <c r="B7" s="34">
        <f>SUM(B3:B6)</f>
        <v>0.56700000000000006</v>
      </c>
      <c r="C7" s="34">
        <f>SUM(C3:C6)</f>
        <v>0.5475000000000001</v>
      </c>
    </row>
    <row r="8" spans="1:3" x14ac:dyDescent="0.25">
      <c r="A8" s="8" t="s">
        <v>53</v>
      </c>
      <c r="B8" s="57">
        <v>2.1000000000000001E-2</v>
      </c>
      <c r="C8" s="57">
        <v>2.5000000000000001E-2</v>
      </c>
    </row>
    <row r="9" spans="1:3" x14ac:dyDescent="0.25">
      <c r="A9" s="19" t="s">
        <v>4</v>
      </c>
      <c r="B9" s="61">
        <f>SUM(B7:B8)</f>
        <v>0.58800000000000008</v>
      </c>
      <c r="C9" s="61">
        <f>SUM(C7:C8)</f>
        <v>0.57250000000000012</v>
      </c>
    </row>
    <row r="10" spans="1:3" x14ac:dyDescent="0.25">
      <c r="A10" s="7" t="s">
        <v>54</v>
      </c>
      <c r="B10" s="35">
        <f>B27*B16/1000</f>
        <v>0.23520000000000005</v>
      </c>
      <c r="C10" s="35">
        <f>C27*C16/1000</f>
        <v>0.22900000000000006</v>
      </c>
    </row>
    <row r="11" spans="1:3" x14ac:dyDescent="0.25">
      <c r="A11" s="8" t="s">
        <v>55</v>
      </c>
      <c r="B11" s="36">
        <f>B28*B17/1000</f>
        <v>0.35280000000000006</v>
      </c>
      <c r="C11" s="36">
        <f>C28*C17/1000</f>
        <v>0.34350000000000008</v>
      </c>
    </row>
    <row r="12" spans="1:3" x14ac:dyDescent="0.25">
      <c r="A12" s="12" t="s">
        <v>5</v>
      </c>
      <c r="B12" s="3"/>
      <c r="C12" s="3"/>
    </row>
    <row r="13" spans="1:3" x14ac:dyDescent="0.25">
      <c r="A13" s="5" t="s">
        <v>56</v>
      </c>
      <c r="B13" s="38">
        <v>4.1000000000000002E-2</v>
      </c>
      <c r="C13" s="38">
        <v>3.95E-2</v>
      </c>
    </row>
    <row r="14" spans="1:3" x14ac:dyDescent="0.25">
      <c r="A14" s="9" t="s">
        <v>57</v>
      </c>
      <c r="B14" s="4">
        <v>3.4500000000000003E-2</v>
      </c>
      <c r="C14" s="4">
        <v>3.4000000000000002E-2</v>
      </c>
    </row>
    <row r="15" spans="1:3" x14ac:dyDescent="0.25">
      <c r="A15" s="13" t="s">
        <v>2</v>
      </c>
      <c r="B15" s="2"/>
      <c r="C15" s="2"/>
    </row>
    <row r="16" spans="1:3" x14ac:dyDescent="0.25">
      <c r="A16" s="5" t="s">
        <v>58</v>
      </c>
      <c r="B16" s="1">
        <f>B13*B21*1000</f>
        <v>42.403446035919998</v>
      </c>
      <c r="C16" s="1">
        <f>C13*C21*1000</f>
        <v>40.852168093780008</v>
      </c>
    </row>
    <row r="17" spans="1:4" x14ac:dyDescent="0.25">
      <c r="A17" s="5" t="s">
        <v>59</v>
      </c>
      <c r="B17" s="1">
        <f>B14*B21*1000</f>
        <v>35.680948493640003</v>
      </c>
      <c r="C17" s="1">
        <f>C14*C21*1000</f>
        <v>35.163891523760007</v>
      </c>
    </row>
    <row r="18" spans="1:4" x14ac:dyDescent="0.25">
      <c r="A18" s="5" t="s">
        <v>60</v>
      </c>
      <c r="B18" s="1">
        <v>48</v>
      </c>
      <c r="C18" s="1">
        <v>48</v>
      </c>
    </row>
    <row r="19" spans="1:4" x14ac:dyDescent="0.25">
      <c r="A19" s="5" t="s">
        <v>61</v>
      </c>
      <c r="B19" s="1">
        <v>9</v>
      </c>
      <c r="C19" s="1">
        <v>9</v>
      </c>
    </row>
    <row r="20" spans="1:4" x14ac:dyDescent="0.25">
      <c r="A20" s="5" t="s">
        <v>62</v>
      </c>
      <c r="B20" s="1">
        <f>B21*1000-SUM(B16:B19)</f>
        <v>899.14599659043995</v>
      </c>
      <c r="C20" s="1">
        <f>C21*1000-SUM(C16:C19)</f>
        <v>901.2160440224601</v>
      </c>
    </row>
    <row r="21" spans="1:4" x14ac:dyDescent="0.25">
      <c r="A21" s="5" t="s">
        <v>63</v>
      </c>
      <c r="B21" s="1">
        <f>(-0.2307*10^(-2)*B22^2-0.2655*B22+1040.51-B13*(-0.478*10^(-4)*B22^2+0.969*10^(-2)*B22+0.967))/1000</f>
        <v>1.0342303911199999</v>
      </c>
      <c r="C21" s="1">
        <f>(-0.2307*10^(-2)*C22^2-0.2655*C22+1040.51-C13*(-0.478*10^(-4)*C22^2+0.969*10^(-2)*C22+0.967))/1000</f>
        <v>1.0342321036400002</v>
      </c>
    </row>
    <row r="22" spans="1:4" x14ac:dyDescent="0.25">
      <c r="A22" s="14" t="s">
        <v>8</v>
      </c>
      <c r="B22" s="17">
        <v>20</v>
      </c>
      <c r="C22" s="17">
        <v>20</v>
      </c>
    </row>
    <row r="23" spans="1:4" x14ac:dyDescent="0.25">
      <c r="A23" s="15" t="s">
        <v>6</v>
      </c>
      <c r="B23" s="3"/>
      <c r="C23" s="3"/>
    </row>
    <row r="24" spans="1:4" x14ac:dyDescent="0.25">
      <c r="A24" s="7" t="s">
        <v>64</v>
      </c>
      <c r="B24" s="58">
        <v>0.4</v>
      </c>
      <c r="C24" s="58">
        <v>0.4</v>
      </c>
      <c r="D24" s="10"/>
    </row>
    <row r="25" spans="1:4" x14ac:dyDescent="0.25">
      <c r="A25" s="7" t="s">
        <v>65</v>
      </c>
      <c r="B25" s="16">
        <f>1-B24</f>
        <v>0.6</v>
      </c>
      <c r="C25" s="16">
        <f>1-C24</f>
        <v>0.6</v>
      </c>
      <c r="D25" s="10"/>
    </row>
    <row r="26" spans="1:4" x14ac:dyDescent="0.25">
      <c r="A26" s="63" t="s">
        <v>7</v>
      </c>
      <c r="B26" s="3"/>
      <c r="C26" s="3"/>
      <c r="D26" s="10"/>
    </row>
    <row r="27" spans="1:4" x14ac:dyDescent="0.25">
      <c r="A27" s="7" t="s">
        <v>66</v>
      </c>
      <c r="B27" s="59">
        <f>B9/B16*B24*1000</f>
        <v>5.5467190048837516</v>
      </c>
      <c r="C27" s="59">
        <f>C9/C16*C24*1000</f>
        <v>5.6055776397059009</v>
      </c>
    </row>
    <row r="28" spans="1:4" x14ac:dyDescent="0.25">
      <c r="A28" s="8" t="s">
        <v>67</v>
      </c>
      <c r="B28" s="60">
        <f>B9/B17*B25*1000</f>
        <v>9.8876295304449471</v>
      </c>
      <c r="C28" s="60">
        <f>C9/C17*C25*1000</f>
        <v>9.7685433868404292</v>
      </c>
      <c r="D28" s="10"/>
    </row>
    <row r="29" spans="1:4" x14ac:dyDescent="0.25">
      <c r="D29" s="10"/>
    </row>
    <row r="30" spans="1:4" x14ac:dyDescent="0.25">
      <c r="D30" s="10"/>
    </row>
    <row r="31" spans="1:4" x14ac:dyDescent="0.25">
      <c r="D31" s="10"/>
    </row>
    <row r="32" spans="1:4" x14ac:dyDescent="0.25">
      <c r="D32" s="10"/>
    </row>
    <row r="33" spans="2:4" x14ac:dyDescent="0.25">
      <c r="B33" s="10"/>
      <c r="D33" s="10"/>
    </row>
    <row r="34" spans="2:4" x14ac:dyDescent="0.25">
      <c r="B34" s="10"/>
      <c r="D34" s="10"/>
    </row>
    <row r="35" spans="2:4" x14ac:dyDescent="0.25">
      <c r="B35" s="10"/>
      <c r="D35" s="10"/>
    </row>
    <row r="36" spans="2:4" x14ac:dyDescent="0.25">
      <c r="B36" s="10"/>
    </row>
    <row r="37" spans="2:4" x14ac:dyDescent="0.25">
      <c r="B37" s="62"/>
      <c r="C37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Liquidación leche</vt:lpstr>
      <vt:lpstr>Datos materia prima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2026-03-11T12:59:33Z</dcterms:modified>
</cp:coreProperties>
</file>