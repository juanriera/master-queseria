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983" documentId="8_{566A70F3-096B-4476-B336-90A9B7DB3344}" xr6:coauthVersionLast="47" xr6:coauthVersionMax="47" xr10:uidLastSave="{93B4B361-36CE-40E1-B99F-139C20A30FF9}"/>
  <bookViews>
    <workbookView xWindow="-120" yWindow="-120" windowWidth="29040" windowHeight="16440" tabRatio="675" activeTab="3" xr2:uid="{6977E7F1-D64B-47FE-B2A7-D4E9B0399E18}"/>
  </bookViews>
  <sheets>
    <sheet name="Datos materia prima" sheetId="8" r:id="rId1"/>
    <sheet name="Estándar técnico" sheetId="14" r:id="rId2"/>
    <sheet name="Datos fabricación real" sheetId="16" r:id="rId3"/>
    <sheet name="Desviacion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localSheetId="1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1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1" hidden="1">{#N/A,#N/A,FALSE,"RIEP"}</definedName>
    <definedName name="aaaaa" hidden="1">{#N/A,#N/A,FALSE,"RIEP"}</definedName>
    <definedName name="aaaaaaaaaaaaaaaa" localSheetId="1" hidden="1">{#N/A,#N/A,FALSE,"RIEP"}</definedName>
    <definedName name="aaaaaaaaaaaaaaaa" hidden="1">{#N/A,#N/A,FALSE,"RIEP"}</definedName>
    <definedName name="AASAS" localSheetId="1" hidden="1">{"QQQ",#N/A,FALSE,"RIEP"}</definedName>
    <definedName name="AASAS" hidden="1">{"QQQ",#N/A,FALSE,"RIEP"}</definedName>
    <definedName name="ADV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1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1" hidden="1">{"SPM1",#N/A,FALSE,"RIEP"}</definedName>
    <definedName name="ardqer" hidden="1">{"SPM1",#N/A,FALSE,"RIEP"}</definedName>
    <definedName name="ASD" localSheetId="1" hidden="1">{"QQQ",#N/A,FALSE,"RIEP"}</definedName>
    <definedName name="ASD" hidden="1">{"QQQ",#N/A,FALSE,"RIEP"}</definedName>
    <definedName name="ASDF" localSheetId="1" hidden="1">{#N/A,#N/A,FALSE,"RIEP"}</definedName>
    <definedName name="ASDF" hidden="1">{#N/A,#N/A,FALSE,"RIEP"}</definedName>
    <definedName name="asdfas" localSheetId="1" hidden="1">{#N/A,#N/A,FALSE,"RIEP"}</definedName>
    <definedName name="asdfas" hidden="1">{#N/A,#N/A,FALSE,"RIEP"}</definedName>
    <definedName name="aùsw" localSheetId="1" hidden="1">{"SPM1",#N/A,FALSE,"RIEP"}</definedName>
    <definedName name="aùsw" hidden="1">{"SPM1",#N/A,FALSE,"RIEP"}</definedName>
    <definedName name="bbbbb" localSheetId="1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1" hidden="1">{"SPM1",#N/A,FALSE,"RIEP"}</definedName>
    <definedName name="byikbyuj" hidden="1">{"SPM1",#N/A,FALSE,"RIEP"}</definedName>
    <definedName name="byubtyuj" localSheetId="1" hidden="1">{"QQQ",#N/A,FALSE,"RIEP"}</definedName>
    <definedName name="byubtyuj" hidden="1">{"QQQ",#N/A,FALSE,"RIEP"}</definedName>
    <definedName name="byukkty" localSheetId="1" hidden="1">{#N/A,#N/A,FALSE,"RIEP"}</definedName>
    <definedName name="byukkty" hidden="1">{#N/A,#N/A,FALSE,"RIEP"}</definedName>
    <definedName name="byuku" localSheetId="1" hidden="1">{#N/A,#N/A,FALSE,"RIEP"}</definedName>
    <definedName name="byuku" hidden="1">{#N/A,#N/A,FALSE,"RIEP"}</definedName>
    <definedName name="č" localSheetId="1" hidden="1">{"'domaće količine'!$K$34:$P$47"}</definedName>
    <definedName name="č" hidden="1">{"'domaće količine'!$K$34:$P$47"}</definedName>
    <definedName name="cc" localSheetId="1" hidden="1">{#N/A,#N/A,FALSE,"RIEP"}</definedName>
    <definedName name="cc" hidden="1">{#N/A,#N/A,FALSE,"RIEP"}</definedName>
    <definedName name="ccc" localSheetId="1" hidden="1">{"SPM1",#N/A,FALSE,"RIEP"}</definedName>
    <definedName name="ccc" hidden="1">{"SPM1",#N/A,FALSE,"RIEP"}</definedName>
    <definedName name="cccc" localSheetId="1" hidden="1">{"SPM1",#N/A,FALSE,"RIEP"}</definedName>
    <definedName name="cccc" hidden="1">{"SPM1",#N/A,FALSE,"RIEP"}</definedName>
    <definedName name="CCSFDFRDF" localSheetId="1" hidden="1">{"SPM1",#N/A,FALSE,"RIEP"}</definedName>
    <definedName name="CCSFDFRDF" hidden="1">{"SPM1",#N/A,FALSE,"RIEP"}</definedName>
    <definedName name="cdf" localSheetId="1" hidden="1">{"SPM1",#N/A,FALSE,"RIEP"}</definedName>
    <definedName name="cdf" hidden="1">{"SPM1",#N/A,FALSE,"RIEP"}</definedName>
    <definedName name="CDVF" localSheetId="1" hidden="1">{"SPM1",#N/A,FALSE,"RIEP"}</definedName>
    <definedName name="CDVF" hidden="1">{"SPM1",#N/A,FALSE,"RIEP"}</definedName>
    <definedName name="copie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1" hidden="1">{#N/A,#N/A,FALSE,"RIEP"}</definedName>
    <definedName name="D" hidden="1">{#N/A,#N/A,FALSE,"RIEP"}</definedName>
    <definedName name="DAFreofè0eirfh" localSheetId="1" hidden="1">{"SPM1",#N/A,FALSE,"RIEP"}</definedName>
    <definedName name="DAFreofè0eirfh" hidden="1">{"SPM1",#N/A,FALSE,"RIEP"}</definedName>
    <definedName name="dd">#REF!</definedName>
    <definedName name="DDD" localSheetId="1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1" hidden="1">{"SPM1",#N/A,FALSE,"RIEP"}</definedName>
    <definedName name="DDDDD" hidden="1">{"SPM1",#N/A,FALSE,"RIEP"}</definedName>
    <definedName name="ddddddd" localSheetId="1" hidden="1">{#N/A,#N/A,FALSE,"RIEP"}</definedName>
    <definedName name="ddddddd" hidden="1">{#N/A,#N/A,FALSE,"RIEP"}</definedName>
    <definedName name="d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1" hidden="1">{"SPM1",#N/A,FALSE,"RIEP"}</definedName>
    <definedName name="dfa" hidden="1">{"SPM1",#N/A,FALSE,"RIEP"}</definedName>
    <definedName name="DFda" localSheetId="1" hidden="1">{#N/A,#N/A,FALSE,"RIEP"}</definedName>
    <definedName name="DFda" hidden="1">{#N/A,#N/A,FALSE,"RIEP"}</definedName>
    <definedName name="DFRSFG" localSheetId="1" hidden="1">{"SPM1",#N/A,FALSE,"RIEP"}</definedName>
    <definedName name="DFRSFG" hidden="1">{"SPM1",#N/A,FALSE,"RIEP"}</definedName>
    <definedName name="djdjdj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1" hidden="1">{"'domaće količine'!$K$34:$P$47"}</definedName>
    <definedName name="DRAGAN" hidden="1">{"'domaće količine'!$K$34:$P$47"}</definedName>
    <definedName name="draganć" localSheetId="1" hidden="1">{"'domaće količine'!$K$34:$P$47"}</definedName>
    <definedName name="draganć" hidden="1">{"'domaće količine'!$K$34:$P$47"}</definedName>
    <definedName name="DSFSDGFG" localSheetId="1" hidden="1">{"SPM1",#N/A,FALSE,"RIEP"}</definedName>
    <definedName name="DSFSDGFG" hidden="1">{"SPM1",#N/A,FALSE,"RIEP"}</definedName>
    <definedName name="dthrrr" localSheetId="1" hidden="1">{"SPM1",#N/A,FALSE,"RIEP"}</definedName>
    <definedName name="dthrrr" hidden="1">{"SPM1",#N/A,FALSE,"RIEP"}</definedName>
    <definedName name="ECA" localSheetId="1" hidden="1">{#N/A,#N/A,FALSE,"ANALYSE";#N/A,#N/A,FALSE,"PM VALEUR"}</definedName>
    <definedName name="ECA" hidden="1">{#N/A,#N/A,FALSE,"ANALYSE";#N/A,#N/A,FALSE,"PM VALEUR"}</definedName>
    <definedName name="ECARTBM" localSheetId="1" hidden="1">{"DETAIL",#N/A,FALSE,"REELBUDGET";"TOTAL",#N/A,FALSE,"REELBUDGET"}</definedName>
    <definedName name="ECARTBM" hidden="1">{"DETAIL",#N/A,FALSE,"REELBUDGET";"TOTAL",#N/A,FALSE,"REELBUDGET"}</definedName>
    <definedName name="eeee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1" hidden="1">{"QQQ",#N/A,FALSE,"RIEP"}</definedName>
    <definedName name="ere" hidden="1">{"QQQ",#N/A,FALSE,"RIEP"}</definedName>
    <definedName name="erte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'Estándar técnico'!#REF!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1" hidden="1">{"'domaće količine'!$K$34:$P$47"}</definedName>
    <definedName name="EXCEL" hidden="1">{"'domaće količine'!$K$34:$P$47"}</definedName>
    <definedName name="ez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1" hidden="1">{#N/A,#N/A,FALSE,"RIEP"}</definedName>
    <definedName name="FDDSFDSGF" hidden="1">{#N/A,#N/A,FALSE,"RIEP"}</definedName>
    <definedName name="fdsdsgfsggd" localSheetId="1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1" hidden="1">{"QQQ",#N/A,FALSE,"RIEP"}</definedName>
    <definedName name="ffffffffff" hidden="1">{"QQQ",#N/A,FALSE,"RIEP"}</definedName>
    <definedName name="fg" localSheetId="1" hidden="1">{#N/A,#N/A,FALSE,"RIEP"}</definedName>
    <definedName name="fg" hidden="1">{#N/A,#N/A,FALSE,"RIEP"}</definedName>
    <definedName name="fgffg" localSheetId="1" hidden="1">{#N/A,#N/A,FALSE,"RIEP"}</definedName>
    <definedName name="fgffg" hidden="1">{#N/A,#N/A,FALSE,"RIEP"}</definedName>
    <definedName name="FSDG" localSheetId="1" hidden="1">{#N/A,#N/A,FALSE,"RIEP"}</definedName>
    <definedName name="FSDG" hidden="1">{#N/A,#N/A,FALSE,"RIEP"}</definedName>
    <definedName name="ftereare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1" hidden="1">{#N/A,#N/A,FALSE,"RIEP"}</definedName>
    <definedName name="gfhkkmh" hidden="1">{#N/A,#N/A,FALSE,"RIEP"}</definedName>
    <definedName name="GG" hidden="1">[7]ACTIVITE!#REF!</definedName>
    <definedName name="GGGG" localSheetId="1" hidden="1">{"SPM1",#N/A,FALSE,"RIEP"}</definedName>
    <definedName name="GGGG" hidden="1">{"SPM1",#N/A,FALSE,"RIEP"}</definedName>
    <definedName name="ggg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1" hidden="1">{"QQQ",#N/A,FALSE,"RIEP"}</definedName>
    <definedName name="ggggggggggg" hidden="1">{"QQQ",#N/A,FALSE,"RIEP"}</definedName>
    <definedName name="GHJ" localSheetId="1" hidden="1">{"SPM1",#N/A,FALSE,"RIEP"}</definedName>
    <definedName name="GHJ" hidden="1">{"SPM1",#N/A,FALSE,"RIEP"}</definedName>
    <definedName name="gsdgsd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1" hidden="1">{"SPM1",#N/A,FALSE,"RIEP"}</definedName>
    <definedName name="hbhajx" hidden="1">{"SPM1",#N/A,FALSE,"RIEP"}</definedName>
    <definedName name="hfderfPOURE" localSheetId="1" hidden="1">{#N/A,#N/A,FALSE,"RIEP"}</definedName>
    <definedName name="hfderfPOURE" hidden="1">{#N/A,#N/A,FALSE,"RIEP"}</definedName>
    <definedName name="hfhf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1" hidden="1">{"QQQ",#N/A,FALSE,"RIEP"}</definedName>
    <definedName name="hg" hidden="1">{"QQQ",#N/A,FALSE,"RIEP"}</definedName>
    <definedName name="hhfxhxf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1" hidden="1">{"QQQ",#N/A,FALSE,"RIEP"}</definedName>
    <definedName name="hhhh" hidden="1">{"QQQ",#N/A,FALSE,"RIEP"}</definedName>
    <definedName name="hhhhhhh" localSheetId="1" hidden="1">{"SPM1",#N/A,FALSE,"RIEP"}</definedName>
    <definedName name="hhhhhhh" hidden="1">{"SPM1",#N/A,FALSE,"RIEP"}</definedName>
    <definedName name="HTML_CodePage" hidden="1">1250</definedName>
    <definedName name="HTML_Control" localSheetId="1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1" hidden="1">{"'domaće količine'!$K$34:$P$47"}</definedName>
    <definedName name="IZVQ01" hidden="1">{"'domaće količine'!$K$34:$P$47"}</definedName>
    <definedName name="j" localSheetId="1" hidden="1">{"SPM1",#N/A,FALSE,"RIEP"}</definedName>
    <definedName name="j" hidden="1">{"SPM1",#N/A,FALSE,"RIEP"}</definedName>
    <definedName name="jcjfjfjjf" localSheetId="1" hidden="1">{#N/A,#N/A,FALSE,"RIEP"}</definedName>
    <definedName name="jcjfjfjjf" hidden="1">{#N/A,#N/A,FALSE,"RIEP"}</definedName>
    <definedName name="jdjdjdj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1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1" hidden="1">{"QQQ",#N/A,FALSE,"RIEP"}</definedName>
    <definedName name="jjfhfh" hidden="1">{"QQQ",#N/A,FALSE,"RIEP"}</definedName>
    <definedName name="jjj" localSheetId="1" hidden="1">{"SPM1",#N/A,FALSE,"RIEP"}</definedName>
    <definedName name="jjj" hidden="1">{"SPM1",#N/A,FALSE,"RIEP"}</definedName>
    <definedName name="jjjjj" localSheetId="1" hidden="1">{"SPM1",#N/A,FALSE,"RIEP"}</definedName>
    <definedName name="jjjjj" hidden="1">{"SPM1",#N/A,FALSE,"RIEP"}</definedName>
    <definedName name="kfkfkf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1" hidden="1">{#N/A,#N/A,FALSE,"RIEP"}</definedName>
    <definedName name="kfkfkfkfkkf" hidden="1">{#N/A,#N/A,FALSE,"RIEP"}</definedName>
    <definedName name="khkhkh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1" hidden="1">{#N/A,#N/A,FALSE,"RIEP"}</definedName>
    <definedName name="kjfsoyiupo6rhtgz" hidden="1">{#N/A,#N/A,FALSE,"RIEP"}</definedName>
    <definedName name="kjhjhkjh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1" hidden="1">{#N/A,#N/A,FALSE,"RIEP"}</definedName>
    <definedName name="kk" hidden="1">{#N/A,#N/A,FALSE,"RIEP"}</definedName>
    <definedName name="k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1" hidden="1">{"QQQ",#N/A,FALSE,"RIEP"}</definedName>
    <definedName name="LLL" hidden="1">{"QQQ",#N/A,FALSE,"RIEP"}</definedName>
    <definedName name="m" localSheetId="1" hidden="1">{"'domaće količine'!$K$34:$P$47"}</definedName>
    <definedName name="m" hidden="1">{"'domaće količine'!$K$34:$P$47"}</definedName>
    <definedName name="MARTESANA">#REF!</definedName>
    <definedName name="MG_salida_salado">'Estándar técnico'!#REF!</definedName>
    <definedName name="minnii" localSheetId="1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1" hidden="1">{"SPM1",#N/A,FALSE,"RIEP"}</definedName>
    <definedName name="ño" hidden="1">{"SPM1",#N/A,FALSE,"RIEP"}</definedName>
    <definedName name="ODRŽ." localSheetId="1" hidden="1">{"'domaće količine'!$K$34:$P$47"}</definedName>
    <definedName name="ODRŽ." hidden="1">{"'domaće količine'!$K$34:$P$47"}</definedName>
    <definedName name="òflfgfppfpf" localSheetId="1" hidden="1">{"SPM1",#N/A,FALSE,"RIEP"}</definedName>
    <definedName name="òflfgfppfpf" hidden="1">{"SPM1",#N/A,FALSE,"RIEP"}</definedName>
    <definedName name="OIOIIUIUG" localSheetId="1" hidden="1">{"SPM1",#N/A,FALSE,"RIEP"}</definedName>
    <definedName name="OIOIIUIUG" hidden="1">{"SPM1",#N/A,FALSE,"RIEP"}</definedName>
    <definedName name="ooo" localSheetId="1" hidden="1">{"QQQ",#N/A,FALSE,"RIEP"}</definedName>
    <definedName name="ooo" hidden="1">{"QQQ",#N/A,FALSE,"RIEP"}</definedName>
    <definedName name="oooooo" localSheetId="1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1" hidden="1">{#N/A,#N/A,FALSE,"RIEP"}</definedName>
    <definedName name="pippo" hidden="1">{#N/A,#N/A,FALSE,"RIEP"}</definedName>
    <definedName name="pluto" localSheetId="1" hidden="1">{"SPM1",#N/A,FALSE,"RIEP"}</definedName>
    <definedName name="pluto" hidden="1">{"SPM1",#N/A,FALSE,"RIEP"}</definedName>
    <definedName name="PO" localSheetId="1" hidden="1">{"QQQ",#N/A,FALSE,"RIEP"}</definedName>
    <definedName name="PO" hidden="1">{"QQQ",#N/A,FALSE,"RIEP"}</definedName>
    <definedName name="poùH" localSheetId="1" hidden="1">{#N/A,#N/A,FALSE,"RIEP"}</definedName>
    <definedName name="poùH" hidden="1">{#N/A,#N/A,FALSE,"RIEP"}</definedName>
    <definedName name="ppp" localSheetId="1" hidden="1">{"QQQ",#N/A,FALSE,"RIEP"}</definedName>
    <definedName name="ppp" hidden="1">{"QQQ",#N/A,FALSE,"RIEP"}</definedName>
    <definedName name="PROD." localSheetId="1" hidden="1">{"'domaće količine'!$K$34:$P$47"}</definedName>
    <definedName name="PROD." hidden="1">{"'domaće količine'!$K$34:$P$47"}</definedName>
    <definedName name="prw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1" hidden="1">{#N/A,#N/A,FALSE,"RIEP"}</definedName>
    <definedName name="QQQQQQQQQQQQ" hidden="1">{#N/A,#N/A,FALSE,"RIEP"}</definedName>
    <definedName name="qw" localSheetId="1" hidden="1">{#N/A,#N/A,FALSE,"RIEP"}</definedName>
    <definedName name="qw" hidden="1">{#N/A,#N/A,FALSE,"RIEP"}</definedName>
    <definedName name="rete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1" hidden="1">{"SPM1",#N/A,FALSE,"RIEP"}</definedName>
    <definedName name="sd" hidden="1">{"SPM1",#N/A,FALSE,"RIEP"}</definedName>
    <definedName name="SDFDSJF" localSheetId="1" hidden="1">{#N/A,#N/A,FALSE,"RIEP"}</definedName>
    <definedName name="SDFDSJF" hidden="1">{#N/A,#N/A,FALSE,"RIEP"}</definedName>
    <definedName name="sdsd" localSheetId="1" hidden="1">{"SPM1",#N/A,FALSE,"RIEP"}</definedName>
    <definedName name="sdsd" hidden="1">{"SPM1",#N/A,FALSE,"RIEP"}</definedName>
    <definedName name="SEDSDS" localSheetId="1" hidden="1">{#N/A,#N/A,FALSE,"RIEP"}</definedName>
    <definedName name="SEDSDS" hidden="1">{#N/A,#N/A,FALSE,"RIEP"}</definedName>
    <definedName name="sencount" hidden="1">1</definedName>
    <definedName name="SSSADADSF" localSheetId="1" hidden="1">{"SPM1",#N/A,FALSE,"RIEP"}</definedName>
    <definedName name="SSSADADSF" hidden="1">{"SPM1",#N/A,FALSE,"RIEP"}</definedName>
    <definedName name="ssss" hidden="1">#REF!</definedName>
    <definedName name="sssssss" localSheetId="1" hidden="1">{#N/A,#N/A,FALSE,"RIEP"}</definedName>
    <definedName name="sssssss" hidden="1">{#N/A,#N/A,FALSE,"RIEP"}</definedName>
    <definedName name="ssssssssssssssssssssssssss" localSheetId="1" hidden="1">{"QQQ",#N/A,FALSE,"RIEP"}</definedName>
    <definedName name="ssssssssssssssssssssssssss" hidden="1">{"QQQ",#N/A,FALSE,"RIEP"}</definedName>
    <definedName name="stsrhs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1" hidden="1">{#N/A,#N/A,FALSE,"RIEP"}</definedName>
    <definedName name="Sweden" hidden="1">{#N/A,#N/A,FALSE,"RIEP"}</definedName>
    <definedName name="t" localSheetId="1" hidden="1">{"QQQ",#N/A,FALSE,"RIEP"}</definedName>
    <definedName name="t" hidden="1">{"QQQ",#N/A,FALSE,"RIEP"}</definedName>
    <definedName name="T04CC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1" hidden="1">{#N/A,#N/A,FALSE,"RIEP"}</definedName>
    <definedName name="t79oto97t" hidden="1">{#N/A,#N/A,FALSE,"RIEP"}</definedName>
    <definedName name="t7u74u" localSheetId="1" hidden="1">{"QQQ",#N/A,FALSE,"RIEP"}</definedName>
    <definedName name="t7u74u" hidden="1">{"QQQ",#N/A,FALSE,"RIEP"}</definedName>
    <definedName name="t7u75" localSheetId="1" hidden="1">{"SPM1",#N/A,FALSE,"RIEP"}</definedName>
    <definedName name="t7u75" hidden="1">{"SPM1",#N/A,FALSE,"RIEP"}</definedName>
    <definedName name="t7ur7u" localSheetId="1" hidden="1">{#N/A,#N/A,FALSE,"RIEP"}</definedName>
    <definedName name="t7ur7u" hidden="1">{#N/A,#N/A,FALSE,"RIEP"}</definedName>
    <definedName name="tgfcvds" localSheetId="1" hidden="1">{#N/A,#N/A,FALSE,"RIEP"}</definedName>
    <definedName name="tgfcvds" hidden="1">{#N/A,#N/A,FALSE,"RIEP"}</definedName>
    <definedName name="tgrgg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1" hidden="1">{#N/A,#N/A,FALSE,"RIEP"}</definedName>
    <definedName name="tikl679o679o" hidden="1">{#N/A,#N/A,FALSE,"RIEP"}</definedName>
    <definedName name="TM1REBUILDOPTION">0</definedName>
    <definedName name="toma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1" hidden="1">{"SPM1",#N/A,FALSE,"RIEP"}</definedName>
    <definedName name="trjk5i57" hidden="1">{"SPM1",#N/A,FALSE,"RIEP"}</definedName>
    <definedName name="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1" hidden="1">{"QQQ",#N/A,FALSE,"RIEP"}</definedName>
    <definedName name="tyiltu9ol" hidden="1">{"QQQ",#N/A,FALSE,"RIEP"}</definedName>
    <definedName name="ugkj" localSheetId="1" hidden="1">{"QQQ",#N/A,FALSE,"RIEP"}</definedName>
    <definedName name="ugkj" hidden="1">{"QQQ",#N/A,FALSE,"RIEP"}</definedName>
    <definedName name="ukkkk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1" hidden="1">{"QQQ",#N/A,FALSE,"RIEP"}</definedName>
    <definedName name="uttkjg" hidden="1">{"QQQ",#N/A,FALSE,"RIEP"}</definedName>
    <definedName name="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1" hidden="1">{#N/A,#N/A,FALSE,"RIEP"}</definedName>
    <definedName name="v6uyjyu" hidden="1">{#N/A,#N/A,FALSE,"RIEP"}</definedName>
    <definedName name="vcbbxb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1" hidden="1">{"QQQ",#N/A,FALSE,"RIEP"}</definedName>
    <definedName name="vvvv" hidden="1">{"QQQ",#N/A,FALSE,"RIEP"}</definedName>
    <definedName name="vvvvbbbb" localSheetId="1" hidden="1">{#N/A,#N/A,FALSE,"RIEP"}</definedName>
    <definedName name="vvvvbbbb" hidden="1">{#N/A,#N/A,FALSE,"RIEP"}</definedName>
    <definedName name="vvvvvv" localSheetId="1" hidden="1">{#N/A,#N/A,FALSE,"RIEP"}</definedName>
    <definedName name="vvvvvv" hidden="1">{#N/A,#N/A,FALSE,"RIEP"}</definedName>
    <definedName name="vvvvvvvv" localSheetId="1" hidden="1">{"SPM1",#N/A,FALSE,"RIEP"}</definedName>
    <definedName name="vvvvvvvv" hidden="1">{"SPM1",#N/A,FALSE,"RIEP"}</definedName>
    <definedName name="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1" hidden="1">{"SPM1",#N/A,FALSE,"RIEP"}</definedName>
    <definedName name="we" hidden="1">{"SPM1",#N/A,FALSE,"RIEP"}</definedName>
    <definedName name="wer" localSheetId="1" hidden="1">{#N/A,#N/A,FALSE,"ANALYSE";#N/A,#N/A,FALSE,"PM VALEUR"}</definedName>
    <definedName name="wer" hidden="1">{#N/A,#N/A,FALSE,"ANALYSE";#N/A,#N/A,FALSE,"PM VALEUR"}</definedName>
    <definedName name="wetrwrt" localSheetId="1" hidden="1">{"QQQ",#N/A,FALSE,"RIEP"}</definedName>
    <definedName name="wetrwrt" hidden="1">{"QQQ",#N/A,FALSE,"RIEP"}</definedName>
    <definedName name="wewe" localSheetId="1" hidden="1">{"SPM1",#N/A,FALSE,"RIEP"}</definedName>
    <definedName name="wewe" hidden="1">{"SPM1",#N/A,FALSE,"RIEP"}</definedName>
    <definedName name="wrn.CCC." localSheetId="1" hidden="1">{"QQQ",#N/A,FALSE,"RIEP"}</definedName>
    <definedName name="wrn.CCC." hidden="1">{"QQQ",#N/A,FALSE,"RIEP"}</definedName>
    <definedName name="wrn.Charges." localSheetId="1" hidden="1">{"Analyse charges",#N/A,FALSE,"Feuil1 (2)"}</definedName>
    <definedName name="wrn.Charges." hidden="1">{"Analyse charges",#N/A,FALSE,"Feuil1 (2)"}</definedName>
    <definedName name="wrn.Charges._.Clécy." localSheetId="1" hidden="1">{#N/A,#N/A,FALSE,"Evol98";#N/A,#N/A,FALSE,"Saisie98"}</definedName>
    <definedName name="wrn.Charges._.Clécy." hidden="1">{#N/A,#N/A,FALSE,"Evol98";#N/A,#N/A,FALSE,"Saisie98"}</definedName>
    <definedName name="wrn.CLECY." localSheetId="1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1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1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1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1" hidden="1">{#N/A,#N/A,FALSE,"ANALYSE";#N/A,#N/A,FALSE,"PM VALEUR"}</definedName>
    <definedName name="wrn.ex." hidden="1">{#N/A,#N/A,FALSE,"ANALYSE";#N/A,#N/A,FALSE,"PM VALEUR"}</definedName>
    <definedName name="wrn.Impression._.totale." localSheetId="1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1" hidden="1">{"Indicateurs",#N/A,FALSE,"Feuil1 (2)"}</definedName>
    <definedName name="wrn.Indicateurs." hidden="1">{"Indicateurs",#N/A,FALSE,"Feuil1 (2)"}</definedName>
    <definedName name="wrn.MENSUEL." localSheetId="1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1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1" hidden="1">{"Ratios activités",#N/A,FALSE,"Feuil1 (2)"}</definedName>
    <definedName name="wrn.Ratios." hidden="1">{"Ratios activités",#N/A,FALSE,"Feuil1 (2)"}</definedName>
    <definedName name="wrn.REELBUD." localSheetId="1" hidden="1">{"DETAIL",#N/A,FALSE,"REELBUDGET";"TOTAL",#N/A,FALSE,"REELBUDGET"}</definedName>
    <definedName name="wrn.REELBUD." hidden="1">{"DETAIL",#N/A,FALSE,"REELBUDGET";"TOTAL",#N/A,FALSE,"REELBUDGET"}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1" hidden="1">{#N/A,#N/A,FALSE,"RIEP"}</definedName>
    <definedName name="wrn.SPA1." hidden="1">{#N/A,#N/A,FALSE,"RIEP"}</definedName>
    <definedName name="wrn.SPM1." localSheetId="1" hidden="1">{"SPM1",#N/A,FALSE,"RIEP"}</definedName>
    <definedName name="wrn.SPM1." hidden="1">{"SPM1",#N/A,FALSE,"RIEP"}</definedName>
    <definedName name="wrn.SYNTHESE." localSheetId="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1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1" hidden="1">{"QQQ",#N/A,FALSE,"RIEP"}</definedName>
    <definedName name="wrn1.CCC." hidden="1">{"QQQ",#N/A,FALSE,"RIEP"}</definedName>
    <definedName name="wwww" localSheetId="1" hidden="1">{#N/A,#N/A,FALSE,"RIEP"}</definedName>
    <definedName name="wwww" hidden="1">{#N/A,#N/A,FALSE,"RIEP"}</definedName>
    <definedName name="wwwwww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1" hidden="1">{"QQQ",#N/A,FALSE,"RIEP"}</definedName>
    <definedName name="wwwwwwwwwwww" hidden="1">{"QQQ",#N/A,FALSE,"RIEP"}</definedName>
    <definedName name="ybukkbyitkituk" localSheetId="1" hidden="1">{#N/A,#N/A,FALSE,"RIEP"}</definedName>
    <definedName name="ybukkbyitkituk" hidden="1">{#N/A,#N/A,FALSE,"RIEP"}</definedName>
    <definedName name="yert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1" hidden="1">{"QQQ",#N/A,FALSE,"RIEP"}</definedName>
    <definedName name="yrnukuilky8u" hidden="1">{"QQQ",#N/A,FALSE,"RIEP"}</definedName>
    <definedName name="YY" localSheetId="1" hidden="1">{#N/A,#N/A,FALSE,"RIEP"}</definedName>
    <definedName name="YY" hidden="1">{#N/A,#N/A,FALSE,"RIEP"}</definedName>
    <definedName name="yyqeyq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1" hidden="1">{#N/A,#N/A,FALSE,"RIEP"}</definedName>
    <definedName name="zzzzzzzzzz" hidden="1">{#N/A,#N/A,FALSE,"RIEP"}</definedName>
    <definedName name="zzzzzzzzzzzzz" localSheetId="1" hidden="1">{#N/A,#N/A,FALSE,"RIEP"}</definedName>
    <definedName name="zzzzzzzzzzzzz" hidden="1">{#N/A,#N/A,FALSE,"RIEP"}</definedName>
    <definedName name="zzzzzzzzzzzzzz" localSheetId="1" hidden="1">{"QQQ",#N/A,FALSE,"RIEP"}</definedName>
    <definedName name="zzzzzzzzzzzzzz" hidden="1">{"QQQ",#N/A,FALSE,"RIEP"}</definedName>
    <definedName name="zzzzzzzzzzzzzzzzzz" localSheetId="1" hidden="1">{"QQQ",#N/A,FALSE,"RIEP"}</definedName>
    <definedName name="zzzzzzzzzzzzzzzzzz" hidden="1">{"QQQ",#N/A,FALSE,"RIEP"}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8" l="1"/>
  <c r="B10" i="16"/>
  <c r="C15" i="9" s="1"/>
  <c r="B9" i="16"/>
  <c r="C14" i="9" s="1"/>
  <c r="C7" i="8"/>
  <c r="C9" i="8" s="1"/>
  <c r="B7" i="8"/>
  <c r="B9" i="8" s="1"/>
  <c r="C25" i="8"/>
  <c r="C21" i="8"/>
  <c r="C11" i="9"/>
  <c r="C16" i="9"/>
  <c r="B14" i="16"/>
  <c r="C4" i="9"/>
  <c r="C3" i="9"/>
  <c r="C2" i="9"/>
  <c r="B12" i="9"/>
  <c r="B18" i="9" s="1"/>
  <c r="B4" i="9"/>
  <c r="B3" i="9"/>
  <c r="B23" i="9"/>
  <c r="B13" i="9"/>
  <c r="B19" i="9" s="1"/>
  <c r="B15" i="14"/>
  <c r="B8" i="14"/>
  <c r="B7" i="14"/>
  <c r="B6" i="14"/>
  <c r="B16" i="14" l="1"/>
  <c r="B17" i="14" s="1"/>
  <c r="C17" i="8"/>
  <c r="C16" i="8"/>
  <c r="C28" i="8"/>
  <c r="B22" i="14" l="1"/>
  <c r="B21" i="14"/>
  <c r="C27" i="8"/>
  <c r="C10" i="8" s="1"/>
  <c r="C20" i="8"/>
  <c r="C11" i="8"/>
  <c r="B18" i="14"/>
  <c r="B22" i="9" s="1"/>
  <c r="B19" i="14"/>
  <c r="B20" i="14" s="1"/>
  <c r="B21" i="8"/>
  <c r="B25" i="8"/>
  <c r="B46" i="9" l="1"/>
  <c r="B45" i="9"/>
  <c r="B17" i="8"/>
  <c r="B16" i="8"/>
  <c r="C31" i="9" l="1"/>
  <c r="B20" i="8"/>
  <c r="C39" i="9"/>
  <c r="C32" i="9" l="1"/>
  <c r="B28" i="8"/>
  <c r="C5" i="9"/>
  <c r="C22" i="9"/>
  <c r="D47" i="9" s="1"/>
  <c r="C18" i="9"/>
  <c r="C12" i="9"/>
  <c r="C8" i="9"/>
  <c r="C6" i="9"/>
  <c r="C13" i="9"/>
  <c r="C17" i="9"/>
  <c r="C26" i="9"/>
  <c r="C7" i="9"/>
  <c r="C40" i="9"/>
  <c r="E35" i="9" l="1"/>
  <c r="F35" i="9" s="1"/>
  <c r="C19" i="9"/>
  <c r="B10" i="8"/>
  <c r="B11" i="8"/>
  <c r="C23" i="9"/>
  <c r="C9" i="9"/>
  <c r="C10" i="9" s="1"/>
  <c r="E47" i="9" l="1"/>
  <c r="F47" i="9" s="1"/>
  <c r="E34" i="9"/>
  <c r="C21" i="9"/>
  <c r="E36" i="9" l="1"/>
  <c r="F36" i="9" s="1"/>
  <c r="F34" i="9"/>
  <c r="C20" i="9"/>
  <c r="C24" i="9" l="1"/>
  <c r="C27" i="9" l="1"/>
  <c r="C28" i="9" s="1"/>
  <c r="C25" i="9"/>
  <c r="C46" i="9"/>
  <c r="B8" i="9" l="1"/>
  <c r="B6" i="9"/>
  <c r="B7" i="9"/>
  <c r="B5" i="9"/>
  <c r="D52" i="9" s="1"/>
  <c r="E52" i="9" s="1"/>
  <c r="F52" i="9" s="1"/>
  <c r="C51" i="9" l="1"/>
  <c r="B9" i="9"/>
  <c r="B10" i="9" s="1"/>
  <c r="B14" i="9" l="1"/>
  <c r="C45" i="9"/>
  <c r="D46" i="9"/>
  <c r="E46" i="9" s="1"/>
  <c r="F46" i="9" s="1"/>
  <c r="C50" i="9"/>
  <c r="E57" i="9"/>
  <c r="B51" i="9"/>
  <c r="D51" i="9" s="1"/>
  <c r="E51" i="9" s="1"/>
  <c r="F51" i="9" s="1"/>
  <c r="B15" i="9"/>
  <c r="B50" i="9"/>
  <c r="B21" i="9"/>
  <c r="F57" i="9" l="1"/>
  <c r="E56" i="9"/>
  <c r="F56" i="9" s="1"/>
  <c r="B31" i="9"/>
  <c r="D31" i="9" s="1"/>
  <c r="B11" i="9"/>
  <c r="B32" i="9"/>
  <c r="D32" i="9" s="1"/>
  <c r="E32" i="9" s="1"/>
  <c r="F32" i="9" s="1"/>
  <c r="B20" i="9"/>
  <c r="D45" i="9"/>
  <c r="B39" i="9"/>
  <c r="D39" i="9" s="1"/>
  <c r="E39" i="9" s="1"/>
  <c r="F39" i="9" s="1"/>
  <c r="B17" i="9"/>
  <c r="D50" i="9"/>
  <c r="B40" i="9"/>
  <c r="D40" i="9" s="1"/>
  <c r="E40" i="9" s="1"/>
  <c r="F40" i="9" s="1"/>
  <c r="F41" i="9" l="1"/>
  <c r="E45" i="9"/>
  <c r="F45" i="9" s="1"/>
  <c r="D48" i="9"/>
  <c r="E50" i="9"/>
  <c r="D53" i="9"/>
  <c r="B24" i="9"/>
  <c r="B16" i="9"/>
  <c r="E53" i="9" l="1"/>
  <c r="F53" i="9" s="1"/>
  <c r="F50" i="9"/>
  <c r="E48" i="9"/>
  <c r="F48" i="9" s="1"/>
  <c r="E55" i="9"/>
  <c r="F55" i="9" s="1"/>
  <c r="B25" i="9"/>
  <c r="B27" i="9"/>
  <c r="B28" i="9" s="1"/>
  <c r="F54" i="9" l="1"/>
  <c r="E31" i="9"/>
  <c r="E41" i="9"/>
  <c r="E33" i="9" l="1"/>
  <c r="F31" i="9"/>
  <c r="F33" i="9" s="1"/>
  <c r="E54" i="9"/>
  <c r="E58" i="9" s="1"/>
</calcChain>
</file>

<file path=xl/sharedStrings.xml><?xml version="1.0" encoding="utf-8"?>
<sst xmlns="http://schemas.openxmlformats.org/spreadsheetml/2006/main" count="140" uniqueCount="117">
  <si>
    <t>Total explicado</t>
  </si>
  <si>
    <t>Recup MP</t>
  </si>
  <si>
    <t>ESM</t>
  </si>
  <si>
    <t>MG</t>
  </si>
  <si>
    <t>Real</t>
  </si>
  <si>
    <t>Consumo MP/kg queso</t>
  </si>
  <si>
    <t>MG teórica en cuba g/L</t>
  </si>
  <si>
    <t>g MG/L leche en cuba</t>
  </si>
  <si>
    <t>Litraje unitario (L/Kg)</t>
  </si>
  <si>
    <t>Recup MG</t>
  </si>
  <si>
    <t>G/ES</t>
  </si>
  <si>
    <t>HFD</t>
  </si>
  <si>
    <t>EST</t>
  </si>
  <si>
    <t>Fabricación, KG</t>
  </si>
  <si>
    <t>KMG puestos en fabricacion (cuba)</t>
  </si>
  <si>
    <t>KMP puestos en fabricacion (cuba)</t>
  </si>
  <si>
    <t>g MP/L  leche en cuba</t>
  </si>
  <si>
    <t>MG pérdida bruta (g/L)</t>
  </si>
  <si>
    <t>MG pérdida bruta %</t>
  </si>
  <si>
    <t>MG pérdida neta g/L</t>
  </si>
  <si>
    <t>MG pérdida neta %</t>
  </si>
  <si>
    <t>gr MG queso/kg queso</t>
  </si>
  <si>
    <t>g ESM queso/kg queso</t>
  </si>
  <si>
    <t>Litros leche puestos en fab (cuba)</t>
  </si>
  <si>
    <t>MG suero recuperada puesta en fab g/L</t>
  </si>
  <si>
    <t>KMG Nata suero recuperada puesta en fab</t>
  </si>
  <si>
    <t>factor MG/MP queso</t>
  </si>
  <si>
    <t>factor MG/MP leche cubas</t>
  </si>
  <si>
    <t>Composición leche en cuba MG (g/L)</t>
  </si>
  <si>
    <t>Composición leche en cuba MP (g/L)</t>
  </si>
  <si>
    <t xml:space="preserve">MG </t>
  </si>
  <si>
    <t>Efecto rendimiento (recup MG)</t>
  </si>
  <si>
    <t>Efecto  rendimiento (recup MP)</t>
  </si>
  <si>
    <t>Litraje unitario</t>
  </si>
  <si>
    <t>MG teórica en la cuba (g/L)</t>
  </si>
  <si>
    <t>EST a salida de sal (%)</t>
  </si>
  <si>
    <t>Datos de materia prima</t>
  </si>
  <si>
    <t>Composición leche (g/L)</t>
  </si>
  <si>
    <t>Efecto EST (composición MG)</t>
  </si>
  <si>
    <t>Efecto EST (composición ESM)</t>
  </si>
  <si>
    <t>Std</t>
  </si>
  <si>
    <t>Dif</t>
  </si>
  <si>
    <t>EST (MG + ESM)</t>
  </si>
  <si>
    <t>Otros efectos no explicados</t>
  </si>
  <si>
    <t>MP leche cuba</t>
  </si>
  <si>
    <t>MG leche cuba</t>
  </si>
  <si>
    <t>Coste de la leche en fabrica</t>
  </si>
  <si>
    <t>Total euros/L</t>
  </si>
  <si>
    <t>Estándar</t>
  </si>
  <si>
    <t>Fabricación</t>
  </si>
  <si>
    <t>Composición leche (% m/m)</t>
  </si>
  <si>
    <t>MG (g/L)</t>
  </si>
  <si>
    <t>MP (g/L)</t>
  </si>
  <si>
    <t>MG (% m/m)</t>
  </si>
  <si>
    <t>Valoración materia prima</t>
  </si>
  <si>
    <t>Estándar de producto</t>
  </si>
  <si>
    <t>Vaca</t>
  </si>
  <si>
    <t>1. Características del queso</t>
  </si>
  <si>
    <t>EST salida salado</t>
  </si>
  <si>
    <t>MG salida salado</t>
  </si>
  <si>
    <t>2. Composición de la leche de fabricación</t>
  </si>
  <si>
    <t>Leche en cuba MG (g/L)</t>
  </si>
  <si>
    <t>Leche en cuba MP (g/L)</t>
  </si>
  <si>
    <t>3. Datos tecnológicos</t>
  </si>
  <si>
    <t>4. Cálculos</t>
  </si>
  <si>
    <t>ESM queso obtenido a partir de MP leche (g/L)</t>
  </si>
  <si>
    <t>MG pérdida bruta en suero (g/L)</t>
  </si>
  <si>
    <t>MG pérdida bruta en suero %</t>
  </si>
  <si>
    <t>Consumo MG/kg queso</t>
  </si>
  <si>
    <t>MG a salida de sal (%)</t>
  </si>
  <si>
    <t>Composición leche MG (g/L)</t>
  </si>
  <si>
    <t>Composición leche MP (g/L)</t>
  </si>
  <si>
    <t>Datos de la fabricación real</t>
  </si>
  <si>
    <t>Utilización de nata de suero</t>
  </si>
  <si>
    <t>Precio resultante de la materia</t>
  </si>
  <si>
    <t>⁰C medida</t>
  </si>
  <si>
    <t>Consumo g MP/kg queso</t>
  </si>
  <si>
    <t>Coste MG (euros/kg)</t>
  </si>
  <si>
    <t>Coste MP (euros/kg)</t>
  </si>
  <si>
    <t>Desviaciones por componente de materia prima</t>
  </si>
  <si>
    <t>Análisis de desviaciones</t>
  </si>
  <si>
    <t>Total MG</t>
  </si>
  <si>
    <t>Total MP</t>
  </si>
  <si>
    <t>Desv kg</t>
  </si>
  <si>
    <t>Desviaciones por composición queso + tecnología</t>
  </si>
  <si>
    <t>Total explicado por composición queso + tecnología</t>
  </si>
  <si>
    <t>Recuperación materia (MG+MP)</t>
  </si>
  <si>
    <t>Densidad nata a 20 °C (kg/L)</t>
  </si>
  <si>
    <t>Presupuesto</t>
  </si>
  <si>
    <t>Consumos y desviaciones por consumo y precio</t>
  </si>
  <si>
    <t>Total desviaciones por consumo</t>
  </si>
  <si>
    <t>Total desviaciones por precio</t>
  </si>
  <si>
    <t>Consumo g MG/kg queso</t>
  </si>
  <si>
    <t xml:space="preserve">Desv total
€ </t>
  </si>
  <si>
    <t>Desv
kg</t>
  </si>
  <si>
    <t>Desv
€ /kg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</si>
  <si>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</si>
  <si>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</si>
  <si>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</si>
  <si>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</si>
  <si>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</si>
  <si>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</si>
  <si>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</si>
  <si>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</si>
  <si>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</si>
  <si>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</si>
  <si>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</si>
  <si>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</si>
  <si>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</si>
  <si>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</si>
  <si>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</si>
  <si>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</si>
  <si>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</si>
  <si>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</si>
  <si>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</si>
  <si>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</si>
  <si>
    <t xml:space="preserve">Recup 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</si>
</sst>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_ ;[Red]\-#,##0\ "/>
    <numFmt numFmtId="165" formatCode="#,##0.000_ ;[Red]\-#,##0.000\ "/>
    <numFmt numFmtId="166" formatCode="0.0%"/>
    <numFmt numFmtId="167" formatCode="0.000"/>
    <numFmt numFmtId="168" formatCode="_-* #,##0.00\ _€_-;\-* #,##0.00\ _€_-;_-* &quot;-&quot;??\ _€_-;_-@_-"/>
    <numFmt numFmtId="169" formatCode="#,##0.00_ ;[Red]\-#,##0.00\ "/>
    <numFmt numFmtId="170" formatCode="0.0000_ ;[Red]\-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4">
    <xf numFmtId="0" fontId="0" fillId="0" borderId="0" xfId="0"/>
    <xf numFmtId="164" fontId="0" fillId="0" borderId="0" xfId="0" applyNumberFormat="1"/>
    <xf numFmtId="164" fontId="0" fillId="0" borderId="8" xfId="0" applyNumberFormat="1" applyBorder="1"/>
    <xf numFmtId="164" fontId="0" fillId="0" borderId="11" xfId="0" applyNumberFormat="1" applyBorder="1" applyAlignment="1">
      <alignment horizontal="left"/>
    </xf>
    <xf numFmtId="167" fontId="0" fillId="0" borderId="8" xfId="0" applyNumberFormat="1" applyBorder="1"/>
    <xf numFmtId="164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164" fontId="0" fillId="0" borderId="3" xfId="0" applyNumberFormat="1" applyBorder="1" applyAlignment="1">
      <alignment horizontal="left"/>
    </xf>
    <xf numFmtId="10" fontId="0" fillId="0" borderId="5" xfId="1" applyNumberFormat="1" applyFont="1" applyFill="1" applyBorder="1"/>
    <xf numFmtId="167" fontId="0" fillId="0" borderId="5" xfId="0" applyNumberFormat="1" applyBorder="1"/>
    <xf numFmtId="164" fontId="0" fillId="0" borderId="5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10" fontId="1" fillId="0" borderId="5" xfId="1" applyNumberFormat="1" applyFont="1" applyFill="1" applyBorder="1"/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0" fontId="0" fillId="0" borderId="11" xfId="0" applyNumberFormat="1" applyBorder="1"/>
    <xf numFmtId="165" fontId="0" fillId="0" borderId="11" xfId="0" applyNumberFormat="1" applyBorder="1"/>
    <xf numFmtId="10" fontId="0" fillId="0" borderId="0" xfId="0" applyNumberFormat="1"/>
    <xf numFmtId="164" fontId="0" fillId="0" borderId="5" xfId="0" applyNumberFormat="1" applyBorder="1" applyAlignment="1">
      <alignment horizontal="left" indent="1"/>
    </xf>
    <xf numFmtId="2" fontId="0" fillId="0" borderId="0" xfId="0" applyNumberFormat="1"/>
    <xf numFmtId="10" fontId="0" fillId="0" borderId="11" xfId="1" applyNumberFormat="1" applyFont="1" applyFill="1" applyBorder="1"/>
    <xf numFmtId="10" fontId="0" fillId="4" borderId="5" xfId="1" applyNumberFormat="1" applyFont="1" applyFill="1" applyBorder="1"/>
    <xf numFmtId="0" fontId="0" fillId="0" borderId="6" xfId="0" applyBorder="1" applyAlignment="1">
      <alignment horizontal="left" indent="1"/>
    </xf>
    <xf numFmtId="0" fontId="2" fillId="0" borderId="9" xfId="0" applyFont="1" applyBorder="1"/>
    <xf numFmtId="10" fontId="0" fillId="0" borderId="0" xfId="1" applyNumberFormat="1" applyFont="1"/>
    <xf numFmtId="164" fontId="0" fillId="4" borderId="5" xfId="0" applyNumberFormat="1" applyFill="1" applyBorder="1"/>
    <xf numFmtId="169" fontId="0" fillId="0" borderId="5" xfId="0" applyNumberFormat="1" applyBorder="1"/>
    <xf numFmtId="166" fontId="0" fillId="0" borderId="0" xfId="1" applyNumberFormat="1" applyFont="1"/>
    <xf numFmtId="9" fontId="0" fillId="0" borderId="0" xfId="0" applyNumberFormat="1"/>
    <xf numFmtId="0" fontId="0" fillId="0" borderId="6" xfId="0" applyBorder="1" applyAlignment="1">
      <alignment horizontal="left" indent="2"/>
    </xf>
    <xf numFmtId="0" fontId="4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4" xfId="0" applyNumberFormat="1" applyBorder="1" applyAlignment="1">
      <alignment horizontal="left" indent="1"/>
    </xf>
    <xf numFmtId="10" fontId="0" fillId="4" borderId="11" xfId="1" applyNumberFormat="1" applyFont="1" applyFill="1" applyBorder="1"/>
    <xf numFmtId="0" fontId="0" fillId="4" borderId="5" xfId="0" applyFill="1" applyBorder="1"/>
    <xf numFmtId="164" fontId="0" fillId="0" borderId="11" xfId="0" applyNumberFormat="1" applyBorder="1" applyAlignment="1">
      <alignment horizontal="left" indent="1"/>
    </xf>
    <xf numFmtId="164" fontId="5" fillId="0" borderId="8" xfId="0" applyNumberFormat="1" applyFont="1" applyBorder="1" applyAlignment="1">
      <alignment horizontal="left"/>
    </xf>
    <xf numFmtId="164" fontId="0" fillId="0" borderId="5" xfId="0" applyNumberFormat="1" applyBorder="1" applyAlignment="1">
      <alignment horizontal="left" indent="2"/>
    </xf>
    <xf numFmtId="0" fontId="0" fillId="0" borderId="14" xfId="0" applyBorder="1" applyAlignment="1">
      <alignment horizontal="left" indent="1"/>
    </xf>
    <xf numFmtId="165" fontId="0" fillId="4" borderId="11" xfId="0" applyNumberFormat="1" applyFill="1" applyBorder="1"/>
    <xf numFmtId="164" fontId="0" fillId="2" borderId="8" xfId="0" applyNumberFormat="1" applyFill="1" applyBorder="1"/>
    <xf numFmtId="10" fontId="0" fillId="2" borderId="8" xfId="1" applyNumberFormat="1" applyFont="1" applyFill="1" applyBorder="1"/>
    <xf numFmtId="10" fontId="0" fillId="2" borderId="5" xfId="1" applyNumberFormat="1" applyFont="1" applyFill="1" applyBorder="1"/>
    <xf numFmtId="165" fontId="0" fillId="0" borderId="0" xfId="0" applyNumberFormat="1"/>
    <xf numFmtId="0" fontId="0" fillId="0" borderId="9" xfId="0" applyBorder="1" applyAlignment="1">
      <alignment horizontal="left" indent="1"/>
    </xf>
    <xf numFmtId="164" fontId="0" fillId="0" borderId="6" xfId="0" applyNumberFormat="1" applyBorder="1" applyAlignment="1">
      <alignment horizontal="left" indent="2"/>
    </xf>
    <xf numFmtId="0" fontId="2" fillId="5" borderId="8" xfId="0" applyFont="1" applyFill="1" applyBorder="1" applyAlignment="1">
      <alignment horizontal="center" vertical="center"/>
    </xf>
    <xf numFmtId="167" fontId="0" fillId="0" borderId="0" xfId="0" applyNumberFormat="1"/>
    <xf numFmtId="2" fontId="0" fillId="0" borderId="6" xfId="0" applyNumberFormat="1" applyBorder="1"/>
    <xf numFmtId="2" fontId="0" fillId="0" borderId="5" xfId="0" applyNumberFormat="1" applyBorder="1"/>
    <xf numFmtId="164" fontId="0" fillId="0" borderId="9" xfId="0" applyNumberFormat="1" applyBorder="1" applyAlignment="1">
      <alignment horizontal="left" indent="1"/>
    </xf>
    <xf numFmtId="167" fontId="0" fillId="0" borderId="11" xfId="0" applyNumberFormat="1" applyBorder="1"/>
    <xf numFmtId="165" fontId="2" fillId="0" borderId="1" xfId="0" applyNumberFormat="1" applyFont="1" applyBorder="1"/>
    <xf numFmtId="169" fontId="0" fillId="4" borderId="5" xfId="0" applyNumberFormat="1" applyFill="1" applyBorder="1"/>
    <xf numFmtId="165" fontId="0" fillId="4" borderId="5" xfId="0" applyNumberFormat="1" applyFill="1" applyBorder="1"/>
    <xf numFmtId="165" fontId="0" fillId="2" borderId="8" xfId="0" applyNumberFormat="1" applyFill="1" applyBorder="1"/>
    <xf numFmtId="169" fontId="0" fillId="2" borderId="5" xfId="0" applyNumberFormat="1" applyFill="1" applyBorder="1"/>
    <xf numFmtId="164" fontId="2" fillId="0" borderId="8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9" fontId="0" fillId="4" borderId="5" xfId="1" applyFont="1" applyFill="1" applyBorder="1"/>
    <xf numFmtId="164" fontId="0" fillId="0" borderId="11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1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4" fontId="4" fillId="6" borderId="8" xfId="0" applyNumberFormat="1" applyFont="1" applyFill="1" applyBorder="1" applyAlignment="1">
      <alignment horizontal="left"/>
    </xf>
    <xf numFmtId="10" fontId="0" fillId="6" borderId="8" xfId="1" applyNumberFormat="1" applyFont="1" applyFill="1" applyBorder="1"/>
    <xf numFmtId="165" fontId="0" fillId="6" borderId="5" xfId="0" applyNumberFormat="1" applyFill="1" applyBorder="1"/>
    <xf numFmtId="10" fontId="0" fillId="6" borderId="5" xfId="1" applyNumberFormat="1" applyFont="1" applyFill="1" applyBorder="1"/>
    <xf numFmtId="164" fontId="0" fillId="0" borderId="8" xfId="0" applyNumberFormat="1" applyBorder="1" applyAlignment="1">
      <alignment horizontal="left" indent="1"/>
    </xf>
    <xf numFmtId="169" fontId="0" fillId="0" borderId="8" xfId="0" applyNumberFormat="1" applyBorder="1"/>
    <xf numFmtId="10" fontId="0" fillId="0" borderId="11" xfId="1" applyNumberFormat="1" applyFont="1" applyBorder="1"/>
    <xf numFmtId="164" fontId="0" fillId="0" borderId="0" xfId="0" applyNumberFormat="1" applyAlignment="1">
      <alignment horizontal="left"/>
    </xf>
    <xf numFmtId="10" fontId="0" fillId="0" borderId="0" xfId="1" applyNumberFormat="1" applyFont="1" applyFill="1" applyBorder="1"/>
    <xf numFmtId="165" fontId="0" fillId="0" borderId="8" xfId="0" applyNumberFormat="1" applyBorder="1"/>
    <xf numFmtId="169" fontId="0" fillId="0" borderId="0" xfId="0" applyNumberFormat="1"/>
    <xf numFmtId="0" fontId="0" fillId="0" borderId="11" xfId="0" applyBorder="1"/>
    <xf numFmtId="0" fontId="0" fillId="0" borderId="5" xfId="0" applyBorder="1" applyAlignment="1">
      <alignment horizontal="left" indent="2"/>
    </xf>
    <xf numFmtId="0" fontId="2" fillId="0" borderId="11" xfId="0" applyFont="1" applyBorder="1" applyAlignment="1">
      <alignment horizontal="left" indent="1"/>
    </xf>
    <xf numFmtId="165" fontId="0" fillId="0" borderId="6" xfId="0" applyNumberFormat="1" applyBorder="1"/>
    <xf numFmtId="165" fontId="2" fillId="0" borderId="11" xfId="0" applyNumberFormat="1" applyFont="1" applyBorder="1"/>
    <xf numFmtId="165" fontId="0" fillId="0" borderId="4" xfId="0" applyNumberFormat="1" applyBorder="1"/>
    <xf numFmtId="165" fontId="0" fillId="0" borderId="12" xfId="0" applyNumberFormat="1" applyBorder="1"/>
    <xf numFmtId="165" fontId="0" fillId="0" borderId="1" xfId="0" applyNumberFormat="1" applyBorder="1"/>
    <xf numFmtId="0" fontId="2" fillId="0" borderId="14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165" fontId="0" fillId="0" borderId="7" xfId="0" applyNumberFormat="1" applyBorder="1"/>
    <xf numFmtId="0" fontId="0" fillId="0" borderId="10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9" fontId="0" fillId="0" borderId="1" xfId="1" applyFont="1" applyBorder="1"/>
    <xf numFmtId="0" fontId="2" fillId="0" borderId="2" xfId="0" applyFont="1" applyBorder="1"/>
    <xf numFmtId="165" fontId="2" fillId="0" borderId="3" xfId="0" applyNumberFormat="1" applyFont="1" applyBorder="1"/>
    <xf numFmtId="165" fontId="2" fillId="0" borderId="2" xfId="0" applyNumberFormat="1" applyFont="1" applyBorder="1"/>
    <xf numFmtId="165" fontId="0" fillId="8" borderId="8" xfId="0" applyNumberFormat="1" applyFill="1" applyBorder="1"/>
    <xf numFmtId="165" fontId="0" fillId="8" borderId="11" xfId="0" applyNumberFormat="1" applyFill="1" applyBorder="1"/>
    <xf numFmtId="164" fontId="0" fillId="0" borderId="13" xfId="0" applyNumberFormat="1" applyBorder="1"/>
    <xf numFmtId="164" fontId="2" fillId="0" borderId="2" xfId="0" applyNumberFormat="1" applyFont="1" applyBorder="1" applyAlignment="1">
      <alignment horizontal="left"/>
    </xf>
    <xf numFmtId="170" fontId="0" fillId="0" borderId="8" xfId="0" applyNumberFormat="1" applyBorder="1"/>
    <xf numFmtId="170" fontId="0" fillId="0" borderId="5" xfId="0" applyNumberFormat="1" applyBorder="1"/>
    <xf numFmtId="170" fontId="0" fillId="0" borderId="11" xfId="0" applyNumberFormat="1" applyBorder="1"/>
    <xf numFmtId="10" fontId="0" fillId="0" borderId="5" xfId="0" applyNumberFormat="1" applyBorder="1"/>
    <xf numFmtId="165" fontId="2" fillId="5" borderId="8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left" vertical="center"/>
    </xf>
    <xf numFmtId="10" fontId="2" fillId="7" borderId="1" xfId="1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/>
    <xf numFmtId="164" fontId="2" fillId="9" borderId="9" xfId="0" applyNumberFormat="1" applyFont="1" applyFill="1" applyBorder="1" applyAlignment="1">
      <alignment horizontal="left"/>
    </xf>
    <xf numFmtId="0" fontId="2" fillId="9" borderId="8" xfId="0" applyFont="1" applyFill="1" applyBorder="1" applyAlignment="1">
      <alignment horizontal="center"/>
    </xf>
    <xf numFmtId="170" fontId="0" fillId="2" borderId="11" xfId="0" applyNumberFormat="1" applyFill="1" applyBorder="1"/>
    <xf numFmtId="9" fontId="0" fillId="2" borderId="5" xfId="1" applyFont="1" applyFill="1" applyBorder="1"/>
    <xf numFmtId="167" fontId="2" fillId="2" borderId="5" xfId="0" applyNumberFormat="1" applyFont="1" applyFill="1" applyBorder="1"/>
    <xf numFmtId="167" fontId="2" fillId="2" borderId="11" xfId="0" applyNumberFormat="1" applyFont="1" applyFill="1" applyBorder="1"/>
    <xf numFmtId="0" fontId="2" fillId="0" borderId="6" xfId="0" applyFont="1" applyBorder="1" applyAlignment="1">
      <alignment horizontal="left"/>
    </xf>
    <xf numFmtId="170" fontId="2" fillId="0" borderId="1" xfId="0" applyNumberFormat="1" applyFont="1" applyBorder="1"/>
    <xf numFmtId="167" fontId="0" fillId="4" borderId="9" xfId="0" applyNumberFormat="1" applyFill="1" applyBorder="1"/>
    <xf numFmtId="167" fontId="0" fillId="4" borderId="12" xfId="0" applyNumberFormat="1" applyFill="1" applyBorder="1"/>
    <xf numFmtId="167" fontId="0" fillId="4" borderId="8" xfId="0" applyNumberFormat="1" applyFill="1" applyBorder="1"/>
    <xf numFmtId="167" fontId="0" fillId="4" borderId="11" xfId="0" applyNumberFormat="1" applyFill="1" applyBorder="1"/>
    <xf numFmtId="10" fontId="0" fillId="4" borderId="8" xfId="0" applyNumberFormat="1" applyFill="1" applyBorder="1"/>
    <xf numFmtId="169" fontId="0" fillId="4" borderId="8" xfId="0" applyNumberFormat="1" applyFill="1" applyBorder="1"/>
    <xf numFmtId="164" fontId="4" fillId="0" borderId="8" xfId="0" applyNumberFormat="1" applyFont="1" applyBorder="1" applyAlignment="1">
      <alignment horizontal="left"/>
    </xf>
    <xf numFmtId="165" fontId="0" fillId="4" borderId="1" xfId="0" applyNumberFormat="1" applyFill="1" applyBorder="1"/>
    <xf numFmtId="14" fontId="0" fillId="0" borderId="8" xfId="0" applyNumberFormat="1" applyBorder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5"/>
  <sheetViews>
    <sheetView zoomScaleNormal="100" workbookViewId="0">
      <selection activeCell="C30" sqref="C30"/>
    </sheetView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35" t="s">
        <v>36</v>
      </c>
    </row>
    <row r="2" spans="1:3" x14ac:dyDescent="0.25">
      <c r="A2" s="117" t="s">
        <v>46</v>
      </c>
      <c r="B2" s="118" t="s">
        <v>88</v>
      </c>
      <c r="C2" s="118" t="s">
        <v>4</v>
      </c>
    </row>
    <row r="3" spans="1:3" x14ac:dyDescent="0.25">
      <c r="A3" s="55" t="s">
        <v>96</v>
      </c>
      <c r="B3" s="104">
        <v>0.51</v>
      </c>
      <c r="C3" s="104">
        <v>0.51</v>
      </c>
    </row>
    <row r="4" spans="1:3" x14ac:dyDescent="0.25">
      <c r="A4" s="36" t="s">
        <v>97</v>
      </c>
      <c r="B4" s="105">
        <v>2.7E-2</v>
      </c>
      <c r="C4" s="105">
        <v>1.5500000000000014E-2</v>
      </c>
    </row>
    <row r="5" spans="1:3" x14ac:dyDescent="0.25">
      <c r="A5" s="36" t="s">
        <v>98</v>
      </c>
      <c r="B5" s="105">
        <v>1.4999999999999999E-2</v>
      </c>
      <c r="C5" s="105">
        <v>7.0000000000000001E-3</v>
      </c>
    </row>
    <row r="6" spans="1:3" x14ac:dyDescent="0.25">
      <c r="A6" s="37" t="s">
        <v>99</v>
      </c>
      <c r="B6" s="106">
        <v>1.4999999999999999E-2</v>
      </c>
      <c r="C6" s="106">
        <v>1.4999999999999999E-2</v>
      </c>
    </row>
    <row r="7" spans="1:3" x14ac:dyDescent="0.25">
      <c r="A7" s="55" t="s">
        <v>100</v>
      </c>
      <c r="B7" s="104">
        <f>SUM(B3:B6)</f>
        <v>0.56700000000000006</v>
      </c>
      <c r="C7" s="104">
        <f>SUM(C3:C6)</f>
        <v>0.5475000000000001</v>
      </c>
    </row>
    <row r="8" spans="1:3" x14ac:dyDescent="0.25">
      <c r="A8" s="37" t="s">
        <v>101</v>
      </c>
      <c r="B8" s="119">
        <v>2.1000000000000001E-2</v>
      </c>
      <c r="C8" s="119">
        <v>2.5000000000000001E-2</v>
      </c>
    </row>
    <row r="9" spans="1:3" x14ac:dyDescent="0.25">
      <c r="A9" s="103" t="s">
        <v>47</v>
      </c>
      <c r="B9" s="124">
        <f>SUM(B7:B8)</f>
        <v>0.58800000000000008</v>
      </c>
      <c r="C9" s="124">
        <f>SUM(C7:C8)</f>
        <v>0.57250000000000012</v>
      </c>
    </row>
    <row r="10" spans="1:3" x14ac:dyDescent="0.25">
      <c r="A10" s="36" t="s">
        <v>102</v>
      </c>
      <c r="B10" s="105">
        <f>B27*B16/1000</f>
        <v>0.23520000000000005</v>
      </c>
      <c r="C10" s="105">
        <f>C27*C16/1000</f>
        <v>0.22900000000000006</v>
      </c>
    </row>
    <row r="11" spans="1:3" x14ac:dyDescent="0.25">
      <c r="A11" s="37" t="s">
        <v>103</v>
      </c>
      <c r="B11" s="106">
        <f>B28*B17/1000</f>
        <v>0.35280000000000006</v>
      </c>
      <c r="C11" s="106">
        <f>C28*C17/1000</f>
        <v>0.34350000000000008</v>
      </c>
    </row>
    <row r="12" spans="1:3" x14ac:dyDescent="0.25">
      <c r="A12" s="62" t="s">
        <v>50</v>
      </c>
      <c r="B12" s="17"/>
      <c r="C12" s="17"/>
    </row>
    <row r="13" spans="1:3" x14ac:dyDescent="0.25">
      <c r="A13" s="23" t="s">
        <v>104</v>
      </c>
      <c r="B13" s="107">
        <v>4.1000000000000002E-2</v>
      </c>
      <c r="C13" s="107">
        <v>3.95E-2</v>
      </c>
    </row>
    <row r="14" spans="1:3" x14ac:dyDescent="0.25">
      <c r="A14" s="40" t="s">
        <v>105</v>
      </c>
      <c r="B14" s="20">
        <v>3.4500000000000003E-2</v>
      </c>
      <c r="C14" s="20">
        <v>3.4000000000000002E-2</v>
      </c>
    </row>
    <row r="15" spans="1:3" x14ac:dyDescent="0.25">
      <c r="A15" s="63" t="s">
        <v>37</v>
      </c>
      <c r="B15" s="14"/>
      <c r="C15" s="14"/>
    </row>
    <row r="16" spans="1:3" x14ac:dyDescent="0.25">
      <c r="A16" s="23" t="s">
        <v>106</v>
      </c>
      <c r="B16" s="12">
        <f>B13*B21*1000</f>
        <v>42.403446035919998</v>
      </c>
      <c r="C16" s="12">
        <f>C13*C21*1000</f>
        <v>40.852168093780008</v>
      </c>
    </row>
    <row r="17" spans="1:4" x14ac:dyDescent="0.25">
      <c r="A17" s="23" t="s">
        <v>107</v>
      </c>
      <c r="B17" s="12">
        <f>B14*B21*1000</f>
        <v>35.680948493640003</v>
      </c>
      <c r="C17" s="12">
        <f>C14*C21*1000</f>
        <v>35.163891523760007</v>
      </c>
    </row>
    <row r="18" spans="1:4" x14ac:dyDescent="0.25">
      <c r="A18" s="23" t="s">
        <v>108</v>
      </c>
      <c r="B18" s="12">
        <v>48</v>
      </c>
      <c r="C18" s="12">
        <v>48</v>
      </c>
    </row>
    <row r="19" spans="1:4" x14ac:dyDescent="0.25">
      <c r="A19" s="23" t="s">
        <v>109</v>
      </c>
      <c r="B19" s="12">
        <v>9</v>
      </c>
      <c r="C19" s="12">
        <v>9</v>
      </c>
    </row>
    <row r="20" spans="1:4" x14ac:dyDescent="0.25">
      <c r="A20" s="23" t="s">
        <v>110</v>
      </c>
      <c r="B20" s="12">
        <f>B21*1000-SUM(B16:B19)</f>
        <v>899.14599659043995</v>
      </c>
      <c r="C20" s="12">
        <f>C21*1000-SUM(C16:C19)</f>
        <v>901.2160440224601</v>
      </c>
    </row>
    <row r="21" spans="1:4" x14ac:dyDescent="0.25">
      <c r="A21" s="23" t="s">
        <v>111</v>
      </c>
      <c r="B21" s="12">
        <f>(-0.2307*10^(-2)*B22^2-0.2655*B22+1040.51-B13*(-0.478*10^(-4)*B22^2+0.969*10^(-2)*B22+0.967))/1000</f>
        <v>1.0342303911199999</v>
      </c>
      <c r="C21" s="12">
        <f>(-0.2307*10^(-2)*C22^2-0.2655*C22+1040.51-C13*(-0.478*10^(-4)*C22^2+0.969*10^(-2)*C22+0.967))/1000</f>
        <v>1.0342321036400002</v>
      </c>
    </row>
    <row r="22" spans="1:4" x14ac:dyDescent="0.25">
      <c r="A22" s="65" t="s">
        <v>75</v>
      </c>
      <c r="B22" s="68">
        <v>20</v>
      </c>
      <c r="C22" s="68">
        <v>20</v>
      </c>
    </row>
    <row r="23" spans="1:4" x14ac:dyDescent="0.25">
      <c r="A23" s="66" t="s">
        <v>54</v>
      </c>
      <c r="B23" s="17"/>
      <c r="C23" s="17"/>
    </row>
    <row r="24" spans="1:4" x14ac:dyDescent="0.25">
      <c r="A24" s="36" t="s">
        <v>112</v>
      </c>
      <c r="B24" s="120">
        <v>0.4</v>
      </c>
      <c r="C24" s="120">
        <v>0.4</v>
      </c>
      <c r="D24" s="52"/>
    </row>
    <row r="25" spans="1:4" x14ac:dyDescent="0.25">
      <c r="A25" s="36" t="s">
        <v>113</v>
      </c>
      <c r="B25" s="67">
        <f>1-B24</f>
        <v>0.6</v>
      </c>
      <c r="C25" s="67">
        <f>1-C24</f>
        <v>0.6</v>
      </c>
      <c r="D25" s="52"/>
    </row>
    <row r="26" spans="1:4" x14ac:dyDescent="0.25">
      <c r="A26" s="123" t="s">
        <v>74</v>
      </c>
      <c r="B26" s="14"/>
      <c r="C26" s="14"/>
      <c r="D26" s="52"/>
    </row>
    <row r="27" spans="1:4" x14ac:dyDescent="0.25">
      <c r="A27" s="36" t="s">
        <v>114</v>
      </c>
      <c r="B27" s="121">
        <f>B9/B16*B24*1000</f>
        <v>5.5467190048837516</v>
      </c>
      <c r="C27" s="121">
        <f>C9/C16*C24*1000</f>
        <v>5.6055776397059009</v>
      </c>
    </row>
    <row r="28" spans="1:4" x14ac:dyDescent="0.25">
      <c r="A28" s="37" t="s">
        <v>115</v>
      </c>
      <c r="B28" s="122">
        <f>B9/B17*B25*1000</f>
        <v>9.8876295304449471</v>
      </c>
      <c r="C28" s="122">
        <f>C9/C17*C25*1000</f>
        <v>9.7685433868404292</v>
      </c>
      <c r="D28" s="52"/>
    </row>
    <row r="29" spans="1:4" x14ac:dyDescent="0.25">
      <c r="D29" s="52"/>
    </row>
    <row r="30" spans="1:4" x14ac:dyDescent="0.25">
      <c r="D30" s="52"/>
    </row>
    <row r="31" spans="1:4" x14ac:dyDescent="0.25">
      <c r="B31" s="52"/>
      <c r="C31" s="52"/>
      <c r="D31" s="52"/>
    </row>
    <row r="32" spans="1:4" x14ac:dyDescent="0.25">
      <c r="B32" s="52"/>
      <c r="C32" s="52"/>
      <c r="D32" s="52"/>
    </row>
    <row r="33" spans="4:4" x14ac:dyDescent="0.25">
      <c r="D33" s="52"/>
    </row>
    <row r="34" spans="4:4" x14ac:dyDescent="0.25">
      <c r="D34" s="52"/>
    </row>
    <row r="35" spans="4:4" x14ac:dyDescent="0.25">
      <c r="D35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F627-9443-4CD0-A54A-AE7D4A501CD9}">
  <sheetPr>
    <pageSetUpPr fitToPage="1"/>
  </sheetPr>
  <dimension ref="A1:B22"/>
  <sheetViews>
    <sheetView zoomScale="90" zoomScaleNormal="90" workbookViewId="0">
      <selection activeCell="B3" sqref="B3"/>
    </sheetView>
  </sheetViews>
  <sheetFormatPr baseColWidth="10" defaultRowHeight="15" x14ac:dyDescent="0.25"/>
  <cols>
    <col min="1" max="1" width="48.7109375" customWidth="1"/>
  </cols>
  <sheetData>
    <row r="1" spans="1:2" ht="21" x14ac:dyDescent="0.25">
      <c r="A1" s="19" t="s">
        <v>55</v>
      </c>
      <c r="B1" s="69" t="s">
        <v>56</v>
      </c>
    </row>
    <row r="2" spans="1:2" x14ac:dyDescent="0.25">
      <c r="A2" s="70" t="s">
        <v>13</v>
      </c>
      <c r="B2" s="132">
        <v>1</v>
      </c>
    </row>
    <row r="3" spans="1:2" ht="18.75" x14ac:dyDescent="0.3">
      <c r="A3" s="131" t="s">
        <v>57</v>
      </c>
      <c r="B3" s="59"/>
    </row>
    <row r="4" spans="1:2" x14ac:dyDescent="0.25">
      <c r="A4" s="23" t="s">
        <v>58</v>
      </c>
      <c r="B4" s="26">
        <v>0.52</v>
      </c>
    </row>
    <row r="5" spans="1:2" x14ac:dyDescent="0.25">
      <c r="A5" s="40" t="s">
        <v>59</v>
      </c>
      <c r="B5" s="38">
        <v>0.27</v>
      </c>
    </row>
    <row r="6" spans="1:2" x14ac:dyDescent="0.25">
      <c r="A6" s="23" t="s">
        <v>2</v>
      </c>
      <c r="B6" s="11">
        <f>B4-B5</f>
        <v>0.25</v>
      </c>
    </row>
    <row r="7" spans="1:2" x14ac:dyDescent="0.25">
      <c r="A7" s="23" t="s">
        <v>11</v>
      </c>
      <c r="B7" s="16">
        <f>(1-B4)/(1-B5)</f>
        <v>0.65753424657534243</v>
      </c>
    </row>
    <row r="8" spans="1:2" x14ac:dyDescent="0.25">
      <c r="A8" s="40" t="s">
        <v>10</v>
      </c>
      <c r="B8" s="20">
        <f>B5/B4</f>
        <v>0.51923076923076927</v>
      </c>
    </row>
    <row r="9" spans="1:2" ht="18.75" x14ac:dyDescent="0.3">
      <c r="A9" s="131" t="s">
        <v>60</v>
      </c>
      <c r="B9" s="129"/>
    </row>
    <row r="10" spans="1:2" x14ac:dyDescent="0.25">
      <c r="A10" s="23" t="s">
        <v>61</v>
      </c>
      <c r="B10" s="59">
        <v>40.35</v>
      </c>
    </row>
    <row r="11" spans="1:2" x14ac:dyDescent="0.25">
      <c r="A11" s="40" t="s">
        <v>62</v>
      </c>
      <c r="B11" s="44">
        <v>34.11</v>
      </c>
    </row>
    <row r="12" spans="1:2" ht="18.75" x14ac:dyDescent="0.3">
      <c r="A12" s="131" t="s">
        <v>63</v>
      </c>
      <c r="B12" s="130"/>
    </row>
    <row r="13" spans="1:2" x14ac:dyDescent="0.25">
      <c r="A13" s="40" t="s">
        <v>116</v>
      </c>
      <c r="B13" s="38">
        <v>0.92</v>
      </c>
    </row>
    <row r="14" spans="1:2" ht="18.75" x14ac:dyDescent="0.3">
      <c r="A14" s="71" t="s">
        <v>64</v>
      </c>
      <c r="B14" s="72"/>
    </row>
    <row r="15" spans="1:2" x14ac:dyDescent="0.25">
      <c r="A15" s="23" t="s">
        <v>65</v>
      </c>
      <c r="B15" s="31">
        <f>B13*B11</f>
        <v>31.3812</v>
      </c>
    </row>
    <row r="16" spans="1:2" x14ac:dyDescent="0.25">
      <c r="A16" s="23" t="s">
        <v>33</v>
      </c>
      <c r="B16" s="73">
        <f>B6*1000/B15</f>
        <v>7.9665532229487717</v>
      </c>
    </row>
    <row r="17" spans="1:2" x14ac:dyDescent="0.25">
      <c r="A17" s="23" t="s">
        <v>34</v>
      </c>
      <c r="B17" s="31">
        <f>B5*1000/B16</f>
        <v>33.891696000000003</v>
      </c>
    </row>
    <row r="18" spans="1:2" x14ac:dyDescent="0.25">
      <c r="A18" s="23" t="s">
        <v>9</v>
      </c>
      <c r="B18" s="74">
        <f>B17/B10</f>
        <v>0.83994289962825286</v>
      </c>
    </row>
    <row r="19" spans="1:2" x14ac:dyDescent="0.25">
      <c r="A19" s="75" t="s">
        <v>66</v>
      </c>
      <c r="B19" s="76">
        <f>B17-B10</f>
        <v>-6.4583039999999983</v>
      </c>
    </row>
    <row r="20" spans="1:2" x14ac:dyDescent="0.25">
      <c r="A20" s="40" t="s">
        <v>67</v>
      </c>
      <c r="B20" s="77">
        <f>B19/B10</f>
        <v>-0.16005710037174717</v>
      </c>
    </row>
    <row r="21" spans="1:2" x14ac:dyDescent="0.25">
      <c r="A21" s="75" t="s">
        <v>68</v>
      </c>
      <c r="B21" s="9">
        <f>B10*B16</f>
        <v>321.45042254598297</v>
      </c>
    </row>
    <row r="22" spans="1:2" x14ac:dyDescent="0.25">
      <c r="A22" s="40" t="s">
        <v>5</v>
      </c>
      <c r="B22" s="7">
        <f>B11*B16</f>
        <v>271.73913043478262</v>
      </c>
    </row>
  </sheetData>
  <pageMargins left="0.25" right="0.25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297-2768-433D-B91B-507DB37A1FBD}">
  <dimension ref="A1:F35"/>
  <sheetViews>
    <sheetView zoomScaleNormal="100" workbookViewId="0">
      <selection activeCell="B6" sqref="B6"/>
    </sheetView>
  </sheetViews>
  <sheetFormatPr baseColWidth="10" defaultRowHeight="15" x14ac:dyDescent="0.25"/>
  <cols>
    <col min="1" max="1" width="41.28515625" customWidth="1"/>
  </cols>
  <sheetData>
    <row r="1" spans="1:2" ht="18.75" x14ac:dyDescent="0.3">
      <c r="A1" s="35" t="s">
        <v>49</v>
      </c>
    </row>
    <row r="2" spans="1:2" x14ac:dyDescent="0.25">
      <c r="A2" s="28" t="s">
        <v>72</v>
      </c>
      <c r="B2" s="133">
        <v>45292</v>
      </c>
    </row>
    <row r="3" spans="1:2" x14ac:dyDescent="0.25">
      <c r="A3" s="36" t="s">
        <v>13</v>
      </c>
      <c r="B3" s="58">
        <v>637.55999999999995</v>
      </c>
    </row>
    <row r="4" spans="1:2" x14ac:dyDescent="0.25">
      <c r="A4" s="36" t="s">
        <v>35</v>
      </c>
      <c r="B4" s="26">
        <v>0.4995</v>
      </c>
    </row>
    <row r="5" spans="1:2" x14ac:dyDescent="0.25">
      <c r="A5" s="37" t="s">
        <v>69</v>
      </c>
      <c r="B5" s="38">
        <v>0.25459999999999999</v>
      </c>
    </row>
    <row r="6" spans="1:2" x14ac:dyDescent="0.25">
      <c r="A6" s="36" t="s">
        <v>23</v>
      </c>
      <c r="B6" s="30">
        <v>5025</v>
      </c>
    </row>
    <row r="7" spans="1:2" x14ac:dyDescent="0.25">
      <c r="A7" s="36" t="s">
        <v>70</v>
      </c>
      <c r="B7" s="59">
        <v>41.07</v>
      </c>
    </row>
    <row r="8" spans="1:2" x14ac:dyDescent="0.25">
      <c r="A8" s="37" t="s">
        <v>71</v>
      </c>
      <c r="B8" s="44">
        <v>33.950000000000003</v>
      </c>
    </row>
    <row r="9" spans="1:2" x14ac:dyDescent="0.25">
      <c r="A9" s="36" t="s">
        <v>14</v>
      </c>
      <c r="B9" s="15">
        <f>B7*B6/1000</f>
        <v>206.37674999999999</v>
      </c>
    </row>
    <row r="10" spans="1:2" x14ac:dyDescent="0.25">
      <c r="A10" s="36" t="s">
        <v>15</v>
      </c>
      <c r="B10" s="15">
        <f>B8*B6/1000</f>
        <v>170.59875</v>
      </c>
    </row>
    <row r="11" spans="1:2" ht="15.75" x14ac:dyDescent="0.25">
      <c r="A11" s="41" t="s">
        <v>73</v>
      </c>
      <c r="B11" s="17"/>
    </row>
    <row r="12" spans="1:2" x14ac:dyDescent="0.25">
      <c r="A12" s="36" t="s">
        <v>25</v>
      </c>
      <c r="B12" s="59">
        <v>0</v>
      </c>
    </row>
    <row r="13" spans="1:2" x14ac:dyDescent="0.25">
      <c r="A13" s="42" t="s">
        <v>53</v>
      </c>
      <c r="B13" s="64">
        <v>0.4</v>
      </c>
    </row>
    <row r="14" spans="1:2" x14ac:dyDescent="0.25">
      <c r="A14" s="42" t="s">
        <v>51</v>
      </c>
      <c r="B14" s="54">
        <f>B13/100*B16*1000*100</f>
        <v>394</v>
      </c>
    </row>
    <row r="15" spans="1:2" x14ac:dyDescent="0.25">
      <c r="A15" s="42" t="s">
        <v>52</v>
      </c>
      <c r="B15" s="39">
        <v>5.91</v>
      </c>
    </row>
    <row r="16" spans="1:2" x14ac:dyDescent="0.25">
      <c r="A16" s="43" t="s">
        <v>87</v>
      </c>
      <c r="B16" s="56">
        <v>0.98499999999999999</v>
      </c>
    </row>
    <row r="18" spans="3:6" x14ac:dyDescent="0.25">
      <c r="C18" s="33"/>
    </row>
    <row r="19" spans="3:6" x14ac:dyDescent="0.25">
      <c r="C19" s="33"/>
    </row>
    <row r="24" spans="3:6" x14ac:dyDescent="0.25">
      <c r="E24" s="24"/>
      <c r="F24" s="52"/>
    </row>
    <row r="25" spans="3:6" x14ac:dyDescent="0.25">
      <c r="E25" s="24"/>
      <c r="F25" s="52"/>
    </row>
    <row r="26" spans="3:6" x14ac:dyDescent="0.25">
      <c r="F26" s="52"/>
    </row>
    <row r="28" spans="3:6" x14ac:dyDescent="0.25">
      <c r="E28" s="24"/>
      <c r="F28" s="52"/>
    </row>
    <row r="29" spans="3:6" x14ac:dyDescent="0.25">
      <c r="E29" s="24"/>
      <c r="F29" s="52"/>
    </row>
    <row r="30" spans="3:6" x14ac:dyDescent="0.25">
      <c r="E30" s="24"/>
      <c r="F30" s="52"/>
    </row>
    <row r="31" spans="3:6" x14ac:dyDescent="0.25">
      <c r="F31" s="52"/>
    </row>
    <row r="32" spans="3:6" x14ac:dyDescent="0.25">
      <c r="F32" s="52"/>
    </row>
    <row r="33" spans="6:6" x14ac:dyDescent="0.25">
      <c r="F33" s="52"/>
    </row>
    <row r="34" spans="6:6" x14ac:dyDescent="0.25">
      <c r="F34" s="52"/>
    </row>
    <row r="35" spans="6:6" x14ac:dyDescent="0.25">
      <c r="F35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5982-6BEA-445F-8A60-F31DEB6ACFD0}">
  <sheetPr>
    <pageSetUpPr fitToPage="1"/>
  </sheetPr>
  <dimension ref="A1:H61"/>
  <sheetViews>
    <sheetView tabSelected="1" zoomScale="90" zoomScaleNormal="90" workbookViewId="0">
      <selection activeCell="I21" sqref="I21"/>
    </sheetView>
  </sheetViews>
  <sheetFormatPr baseColWidth="10" defaultRowHeight="15" x14ac:dyDescent="0.25"/>
  <cols>
    <col min="1" max="1" width="49.140625" bestFit="1" customWidth="1"/>
    <col min="2" max="3" width="12.42578125" customWidth="1"/>
    <col min="4" max="4" width="11.140625" customWidth="1"/>
    <col min="5" max="6" width="10.42578125" customWidth="1"/>
  </cols>
  <sheetData>
    <row r="1" spans="1:8" ht="21" x14ac:dyDescent="0.25">
      <c r="A1" s="19" t="s">
        <v>80</v>
      </c>
      <c r="B1" s="18" t="s">
        <v>48</v>
      </c>
      <c r="C1" s="18" t="s">
        <v>4</v>
      </c>
    </row>
    <row r="2" spans="1:8" x14ac:dyDescent="0.25">
      <c r="A2" s="5" t="s">
        <v>13</v>
      </c>
      <c r="B2" s="70"/>
      <c r="C2" s="60">
        <f>'Datos fabricación real'!B3</f>
        <v>637.55999999999995</v>
      </c>
    </row>
    <row r="3" spans="1:8" x14ac:dyDescent="0.25">
      <c r="A3" s="5" t="s">
        <v>12</v>
      </c>
      <c r="B3" s="11">
        <f>'Estándar técnico'!B4</f>
        <v>0.52</v>
      </c>
      <c r="C3" s="46">
        <f>'Datos fabricación real'!B4</f>
        <v>0.4995</v>
      </c>
    </row>
    <row r="4" spans="1:8" x14ac:dyDescent="0.25">
      <c r="A4" s="23" t="s">
        <v>3</v>
      </c>
      <c r="B4" s="11">
        <f>'Estándar técnico'!B5</f>
        <v>0.27</v>
      </c>
      <c r="C4" s="47">
        <f>'Datos fabricación real'!B5</f>
        <v>0.25459999999999999</v>
      </c>
      <c r="E4" s="1"/>
    </row>
    <row r="5" spans="1:8" x14ac:dyDescent="0.25">
      <c r="A5" s="23" t="s">
        <v>2</v>
      </c>
      <c r="B5" s="11">
        <f>B3-B4</f>
        <v>0.25</v>
      </c>
      <c r="C5" s="11">
        <f>C3-C4</f>
        <v>0.24490000000000001</v>
      </c>
      <c r="E5" s="1"/>
    </row>
    <row r="6" spans="1:8" x14ac:dyDescent="0.25">
      <c r="A6" s="13" t="s">
        <v>11</v>
      </c>
      <c r="B6" s="16">
        <f>(1-B3)/(1-B4)</f>
        <v>0.65753424657534243</v>
      </c>
      <c r="C6" s="16">
        <f>(1-C3)/(1-C4)</f>
        <v>0.67145156962704577</v>
      </c>
    </row>
    <row r="7" spans="1:8" x14ac:dyDescent="0.25">
      <c r="A7" s="3" t="s">
        <v>10</v>
      </c>
      <c r="B7" s="20">
        <f>B4/B3</f>
        <v>0.51923076923076927</v>
      </c>
      <c r="C7" s="20">
        <f>C4/C3</f>
        <v>0.50970970970970975</v>
      </c>
    </row>
    <row r="8" spans="1:8" x14ac:dyDescent="0.25">
      <c r="A8" s="15" t="s">
        <v>21</v>
      </c>
      <c r="B8" s="12">
        <f>B4*1000</f>
        <v>270</v>
      </c>
      <c r="C8" s="12">
        <f>C4*1000</f>
        <v>254.6</v>
      </c>
      <c r="E8" s="1"/>
    </row>
    <row r="9" spans="1:8" x14ac:dyDescent="0.25">
      <c r="A9" s="14" t="s">
        <v>22</v>
      </c>
      <c r="B9" s="12">
        <f>B5*1000</f>
        <v>250</v>
      </c>
      <c r="C9" s="12">
        <f>C5*1000</f>
        <v>244.9</v>
      </c>
      <c r="F9" s="1"/>
    </row>
    <row r="10" spans="1:8" x14ac:dyDescent="0.25">
      <c r="A10" s="3" t="s">
        <v>26</v>
      </c>
      <c r="B10" s="12">
        <f>B8/B9</f>
        <v>1.08</v>
      </c>
      <c r="C10" s="12">
        <f>C8/C9</f>
        <v>1.0396080032666395</v>
      </c>
      <c r="E10" s="48"/>
      <c r="F10" s="1"/>
    </row>
    <row r="11" spans="1:8" x14ac:dyDescent="0.25">
      <c r="A11" s="5" t="s">
        <v>23</v>
      </c>
      <c r="B11" s="2">
        <f>B15/B19*1000</f>
        <v>5079.155672823219</v>
      </c>
      <c r="C11" s="45">
        <f>'Datos fabricación real'!B6</f>
        <v>5025</v>
      </c>
      <c r="E11" s="33"/>
      <c r="F11" s="22"/>
    </row>
    <row r="12" spans="1:8" x14ac:dyDescent="0.25">
      <c r="A12" s="13" t="s">
        <v>28</v>
      </c>
      <c r="B12" s="31">
        <f>'Estándar técnico'!B10</f>
        <v>40.35</v>
      </c>
      <c r="C12" s="31">
        <f>C14/C11*1000</f>
        <v>41.069999999999993</v>
      </c>
    </row>
    <row r="13" spans="1:8" x14ac:dyDescent="0.25">
      <c r="A13" s="13" t="s">
        <v>29</v>
      </c>
      <c r="B13" s="31">
        <f>'Estándar técnico'!B11</f>
        <v>34.11</v>
      </c>
      <c r="C13" s="31">
        <f>C15/C11*1000</f>
        <v>33.950000000000003</v>
      </c>
      <c r="H13" s="1"/>
    </row>
    <row r="14" spans="1:8" x14ac:dyDescent="0.25">
      <c r="A14" s="13" t="s">
        <v>14</v>
      </c>
      <c r="B14" s="31">
        <f>B$4/B$22*C$2</f>
        <v>204.94393139841688</v>
      </c>
      <c r="C14" s="61">
        <f>'Datos fabricación real'!B9</f>
        <v>206.37674999999999</v>
      </c>
      <c r="D14" s="1"/>
    </row>
    <row r="15" spans="1:8" x14ac:dyDescent="0.25">
      <c r="A15" s="13" t="s">
        <v>15</v>
      </c>
      <c r="B15" s="31">
        <f>C$2*B$5/B$23</f>
        <v>173.24999999999997</v>
      </c>
      <c r="C15" s="61">
        <f>'Datos fabricación real'!B10</f>
        <v>170.59875</v>
      </c>
      <c r="D15" s="1"/>
      <c r="H15" s="1"/>
    </row>
    <row r="16" spans="1:8" x14ac:dyDescent="0.25">
      <c r="A16" s="13" t="s">
        <v>25</v>
      </c>
      <c r="B16" s="31">
        <f>B11*B26/1000</f>
        <v>0</v>
      </c>
      <c r="C16" s="61">
        <f>'Datos fabricación real'!B12</f>
        <v>0</v>
      </c>
      <c r="D16" s="29"/>
      <c r="H16" s="24"/>
    </row>
    <row r="17" spans="1:8" x14ac:dyDescent="0.25">
      <c r="A17" s="3" t="s">
        <v>27</v>
      </c>
      <c r="B17" s="21">
        <f>B14/B15</f>
        <v>1.1829375549692174</v>
      </c>
      <c r="C17" s="21">
        <f>C14/C15</f>
        <v>1.2097201767304859</v>
      </c>
    </row>
    <row r="18" spans="1:8" x14ac:dyDescent="0.25">
      <c r="A18" s="15" t="s">
        <v>7</v>
      </c>
      <c r="B18" s="12">
        <f>B12</f>
        <v>40.35</v>
      </c>
      <c r="C18" s="12">
        <f>C31*C2/C11</f>
        <v>41.069999999999993</v>
      </c>
      <c r="D18" s="32"/>
    </row>
    <row r="19" spans="1:8" x14ac:dyDescent="0.25">
      <c r="A19" s="14" t="s">
        <v>16</v>
      </c>
      <c r="B19" s="12">
        <f>B13</f>
        <v>34.11</v>
      </c>
      <c r="C19" s="12">
        <f>C32*C2/C11</f>
        <v>33.950000000000003</v>
      </c>
      <c r="F19" s="22"/>
    </row>
    <row r="20" spans="1:8" x14ac:dyDescent="0.25">
      <c r="A20" s="14" t="s">
        <v>6</v>
      </c>
      <c r="B20" s="12">
        <f>B8/B21</f>
        <v>33.891696000000003</v>
      </c>
      <c r="C20" s="12">
        <f>C8/C21</f>
        <v>32.303040000000003</v>
      </c>
      <c r="F20" s="1"/>
    </row>
    <row r="21" spans="1:8" x14ac:dyDescent="0.25">
      <c r="A21" s="13" t="s">
        <v>8</v>
      </c>
      <c r="B21" s="12">
        <f>(B5*1000/B19)/B23</f>
        <v>7.9665532229487717</v>
      </c>
      <c r="C21" s="12">
        <f>(C5*1000/C19)/C23</f>
        <v>7.8816111424807067</v>
      </c>
      <c r="F21" s="1"/>
    </row>
    <row r="22" spans="1:8" x14ac:dyDescent="0.25">
      <c r="A22" s="5" t="s">
        <v>9</v>
      </c>
      <c r="B22" s="116">
        <f>'Estándar técnico'!B18</f>
        <v>0.83994289962825286</v>
      </c>
      <c r="C22" s="116">
        <f>(C4*C2)/C14</f>
        <v>0.786536157779401</v>
      </c>
      <c r="F22" s="1"/>
    </row>
    <row r="23" spans="1:8" x14ac:dyDescent="0.25">
      <c r="A23" s="3" t="s">
        <v>1</v>
      </c>
      <c r="B23" s="25">
        <f>'Estándar técnico'!B13</f>
        <v>0.92</v>
      </c>
      <c r="C23" s="25">
        <f>C5*C2/C15</f>
        <v>0.91523791352515771</v>
      </c>
    </row>
    <row r="24" spans="1:8" x14ac:dyDescent="0.25">
      <c r="A24" s="5" t="s">
        <v>17</v>
      </c>
      <c r="B24" s="4">
        <f>B18-B20</f>
        <v>6.4583039999999983</v>
      </c>
      <c r="C24" s="4">
        <f>C18-C20</f>
        <v>8.7669599999999903</v>
      </c>
      <c r="F24" s="1"/>
    </row>
    <row r="25" spans="1:8" x14ac:dyDescent="0.25">
      <c r="A25" s="13" t="s">
        <v>18</v>
      </c>
      <c r="B25" s="11">
        <f>B24/B18</f>
        <v>0.16005710037174717</v>
      </c>
      <c r="C25" s="11">
        <f>C24/C18</f>
        <v>0.21346384222059878</v>
      </c>
    </row>
    <row r="26" spans="1:8" x14ac:dyDescent="0.25">
      <c r="A26" s="13" t="s">
        <v>24</v>
      </c>
      <c r="B26" s="12">
        <v>0</v>
      </c>
      <c r="C26" s="12">
        <f>C16*1000/C11</f>
        <v>0</v>
      </c>
      <c r="F26" s="1"/>
    </row>
    <row r="27" spans="1:8" x14ac:dyDescent="0.25">
      <c r="A27" s="13" t="s">
        <v>19</v>
      </c>
      <c r="B27" s="12">
        <f>B24-B26</f>
        <v>6.4583039999999983</v>
      </c>
      <c r="C27" s="12">
        <f>C24-C26</f>
        <v>8.7669599999999903</v>
      </c>
      <c r="F27" s="1"/>
    </row>
    <row r="28" spans="1:8" x14ac:dyDescent="0.25">
      <c r="A28" s="3" t="s">
        <v>20</v>
      </c>
      <c r="B28" s="25">
        <f>B27/B18</f>
        <v>0.16005710037174717</v>
      </c>
      <c r="C28" s="25">
        <f>C27/C18</f>
        <v>0.21346384222059878</v>
      </c>
    </row>
    <row r="29" spans="1:8" x14ac:dyDescent="0.25">
      <c r="A29" s="78"/>
      <c r="B29" s="79"/>
      <c r="C29" s="79"/>
    </row>
    <row r="30" spans="1:8" ht="30" x14ac:dyDescent="0.25">
      <c r="A30" s="109" t="s">
        <v>89</v>
      </c>
      <c r="B30" s="110" t="s">
        <v>40</v>
      </c>
      <c r="C30" s="110" t="s">
        <v>4</v>
      </c>
      <c r="D30" s="111" t="s">
        <v>94</v>
      </c>
      <c r="E30" s="108" t="s">
        <v>93</v>
      </c>
      <c r="F30" s="108" t="s">
        <v>95</v>
      </c>
      <c r="G30" s="1"/>
      <c r="H30" s="1"/>
    </row>
    <row r="31" spans="1:8" x14ac:dyDescent="0.25">
      <c r="A31" s="75" t="s">
        <v>92</v>
      </c>
      <c r="B31" s="9">
        <f>B14/C2*1000</f>
        <v>321.45042254598292</v>
      </c>
      <c r="C31" s="8">
        <f>C14/C2*1000</f>
        <v>323.69776962168265</v>
      </c>
      <c r="D31" s="80">
        <f>(B31-C31)*C2/1000</f>
        <v>-1.4328186015831235</v>
      </c>
      <c r="E31" s="80">
        <f>D31*B34</f>
        <v>-7.9478447829815853</v>
      </c>
      <c r="F31" s="80">
        <f>E31/C2</f>
        <v>-1.2466034228906435E-2</v>
      </c>
      <c r="G31" s="1"/>
      <c r="H31" s="1"/>
    </row>
    <row r="32" spans="1:8" x14ac:dyDescent="0.25">
      <c r="A32" s="40" t="s">
        <v>76</v>
      </c>
      <c r="B32" s="7">
        <f>B15/C2*1000</f>
        <v>271.73913043478257</v>
      </c>
      <c r="C32" s="6">
        <f>C15/C2*1000</f>
        <v>267.58069828722006</v>
      </c>
      <c r="D32" s="21">
        <f>(B32-C32)*C2/1000</f>
        <v>2.6512499999999521</v>
      </c>
      <c r="E32" s="21">
        <f>D32*B35</f>
        <v>26.215559999999527</v>
      </c>
      <c r="F32" s="21">
        <f>E32/C2</f>
        <v>4.1118577075098077E-2</v>
      </c>
      <c r="G32" s="1"/>
      <c r="H32" s="1"/>
    </row>
    <row r="33" spans="1:8" x14ac:dyDescent="0.25">
      <c r="A33" s="63" t="s">
        <v>90</v>
      </c>
      <c r="B33" s="53"/>
      <c r="C33" s="24"/>
      <c r="D33" s="48"/>
      <c r="E33" s="15">
        <f>SUM(E31:E32)</f>
        <v>18.267715217017944</v>
      </c>
      <c r="F33" s="89">
        <f>SUM(F31:F32)</f>
        <v>2.8652542846191641E-2</v>
      </c>
      <c r="G33" s="1"/>
      <c r="H33" s="1"/>
    </row>
    <row r="34" spans="1:8" x14ac:dyDescent="0.25">
      <c r="A34" s="75" t="s">
        <v>77</v>
      </c>
      <c r="B34" s="125">
        <v>5.5469999999999997</v>
      </c>
      <c r="C34" s="127">
        <v>5.6059999999999999</v>
      </c>
      <c r="D34" s="17"/>
      <c r="E34" s="100">
        <f>(B34-C34)*C2</f>
        <v>-37.616040000000098</v>
      </c>
      <c r="F34" s="80">
        <f>E34/C2</f>
        <v>-5.9000000000000156E-2</v>
      </c>
      <c r="G34" s="1"/>
      <c r="H34" s="1"/>
    </row>
    <row r="35" spans="1:8" x14ac:dyDescent="0.25">
      <c r="A35" s="40" t="s">
        <v>78</v>
      </c>
      <c r="B35" s="126">
        <v>9.8879999999999999</v>
      </c>
      <c r="C35" s="128">
        <v>9.7690000000000001</v>
      </c>
      <c r="D35" s="82"/>
      <c r="E35" s="101">
        <f>(B35-C35)*C2</f>
        <v>75.869639999999848</v>
      </c>
      <c r="F35" s="21">
        <f>E35/C2</f>
        <v>0.11899999999999977</v>
      </c>
      <c r="G35" s="1"/>
      <c r="H35" s="1"/>
    </row>
    <row r="36" spans="1:8" x14ac:dyDescent="0.25">
      <c r="A36" s="103" t="s">
        <v>91</v>
      </c>
      <c r="B36" s="10"/>
      <c r="C36" s="10"/>
      <c r="D36" s="102"/>
      <c r="E36" s="89">
        <f>SUM(E34:E35)</f>
        <v>38.25359999999975</v>
      </c>
      <c r="F36" s="89">
        <f>E36/C2</f>
        <v>5.9999999999999616E-2</v>
      </c>
      <c r="G36" s="1"/>
      <c r="H36" s="1"/>
    </row>
    <row r="37" spans="1:8" x14ac:dyDescent="0.25">
      <c r="A37" s="78"/>
      <c r="B37" s="78"/>
      <c r="C37" s="78"/>
      <c r="D37" s="1"/>
      <c r="E37" s="81"/>
      <c r="G37" s="1"/>
      <c r="H37" s="1"/>
    </row>
    <row r="38" spans="1:8" ht="30" x14ac:dyDescent="0.25">
      <c r="A38" s="113" t="s">
        <v>79</v>
      </c>
      <c r="B38" s="114" t="s">
        <v>40</v>
      </c>
      <c r="C38" s="114" t="s">
        <v>4</v>
      </c>
      <c r="D38" s="114" t="s">
        <v>41</v>
      </c>
      <c r="E38" s="115" t="s">
        <v>93</v>
      </c>
      <c r="F38" s="108" t="s">
        <v>95</v>
      </c>
      <c r="G38" s="1"/>
      <c r="H38" s="1"/>
    </row>
    <row r="39" spans="1:8" x14ac:dyDescent="0.25">
      <c r="A39" s="14" t="s">
        <v>45</v>
      </c>
      <c r="B39" s="15">
        <f>B14</f>
        <v>204.94393139841688</v>
      </c>
      <c r="C39" s="15">
        <f>C14</f>
        <v>206.37674999999999</v>
      </c>
      <c r="D39" s="15">
        <f>B39-C39</f>
        <v>-1.4328186015831079</v>
      </c>
      <c r="E39" s="15">
        <f>D39*B34</f>
        <v>-7.9478447829814991</v>
      </c>
      <c r="F39" s="80">
        <f>E39/C2</f>
        <v>-1.2466034228906299E-2</v>
      </c>
      <c r="G39" s="1"/>
      <c r="H39" s="1"/>
    </row>
    <row r="40" spans="1:8" x14ac:dyDescent="0.25">
      <c r="A40" s="82" t="s">
        <v>44</v>
      </c>
      <c r="B40" s="21">
        <f>B15</f>
        <v>173.24999999999997</v>
      </c>
      <c r="C40" s="21">
        <f>C15</f>
        <v>170.59875</v>
      </c>
      <c r="D40" s="21">
        <f>B40-C40</f>
        <v>2.6512499999999761</v>
      </c>
      <c r="E40" s="21">
        <f>D40*B35</f>
        <v>26.215559999999762</v>
      </c>
      <c r="F40" s="21">
        <f>E40/C2</f>
        <v>4.1118577075098445E-2</v>
      </c>
      <c r="G40" s="1"/>
      <c r="H40" s="1"/>
    </row>
    <row r="41" spans="1:8" x14ac:dyDescent="0.25">
      <c r="B41" s="48"/>
      <c r="C41" s="48"/>
      <c r="D41" s="48"/>
      <c r="E41" s="89">
        <f>SUM(E39:E40)</f>
        <v>18.267715217018264</v>
      </c>
      <c r="F41" s="89">
        <f>SUM(F39:F40)</f>
        <v>2.8652542846192147E-2</v>
      </c>
      <c r="G41" s="1"/>
      <c r="H41" s="1"/>
    </row>
    <row r="43" spans="1:8" ht="30" x14ac:dyDescent="0.25">
      <c r="A43" s="112" t="s">
        <v>84</v>
      </c>
      <c r="B43" s="51" t="s">
        <v>40</v>
      </c>
      <c r="C43" s="51" t="s">
        <v>4</v>
      </c>
      <c r="D43" s="51" t="s">
        <v>83</v>
      </c>
      <c r="E43" s="108" t="s">
        <v>93</v>
      </c>
      <c r="F43" s="115" t="s">
        <v>95</v>
      </c>
    </row>
    <row r="44" spans="1:8" x14ac:dyDescent="0.25">
      <c r="A44" s="91" t="s">
        <v>30</v>
      </c>
      <c r="B44" s="80"/>
      <c r="C44" s="80"/>
      <c r="D44" s="92"/>
      <c r="E44" s="80"/>
      <c r="F44" s="17"/>
    </row>
    <row r="45" spans="1:8" x14ac:dyDescent="0.25">
      <c r="A45" s="34" t="s">
        <v>38</v>
      </c>
      <c r="B45" s="15">
        <f>B$4/B$22*C$2</f>
        <v>204.94393139841688</v>
      </c>
      <c r="C45" s="15">
        <f>(C$4/B$22)*C$2</f>
        <v>193.25453679272937</v>
      </c>
      <c r="D45" s="15">
        <f>B45-C45</f>
        <v>11.689394605687511</v>
      </c>
      <c r="E45" s="15">
        <f>D45*B$34</f>
        <v>64.841071877748618</v>
      </c>
      <c r="F45" s="15">
        <f>E45/$C$2</f>
        <v>0.10170191335364299</v>
      </c>
    </row>
    <row r="46" spans="1:8" x14ac:dyDescent="0.25">
      <c r="A46" s="50" t="s">
        <v>31</v>
      </c>
      <c r="B46" s="15">
        <f>B$4/B$22*C$2</f>
        <v>204.94393139841688</v>
      </c>
      <c r="C46" s="85">
        <f>(B$4/C$22)*C$2</f>
        <v>218.85986842105262</v>
      </c>
      <c r="D46" s="15">
        <f>B46-C46</f>
        <v>-13.915937022635745</v>
      </c>
      <c r="E46" s="15">
        <f>D46*B$34</f>
        <v>-77.191702664560481</v>
      </c>
      <c r="F46" s="15">
        <f t="shared" ref="F46:F57" si="0">E46/$C$2</f>
        <v>-0.12107362862249904</v>
      </c>
    </row>
    <row r="47" spans="1:8" x14ac:dyDescent="0.25">
      <c r="A47" s="83" t="s">
        <v>43</v>
      </c>
      <c r="B47" s="15"/>
      <c r="C47" s="15"/>
      <c r="D47" s="15">
        <f>(B22-C22)*(B4-C4)*C2</f>
        <v>0.52437003593057219</v>
      </c>
      <c r="E47" s="15">
        <f>D47*B$34</f>
        <v>2.9086805893068837</v>
      </c>
      <c r="F47" s="15">
        <f t="shared" si="0"/>
        <v>4.562206834347958E-3</v>
      </c>
    </row>
    <row r="48" spans="1:8" x14ac:dyDescent="0.25">
      <c r="A48" s="84" t="s">
        <v>81</v>
      </c>
      <c r="B48" s="86"/>
      <c r="C48" s="86"/>
      <c r="D48" s="86">
        <f>SUM(D45:D47)</f>
        <v>-1.7021723810176623</v>
      </c>
      <c r="E48" s="86">
        <f>SUM(E45:E47)</f>
        <v>-9.4419501975049798</v>
      </c>
      <c r="F48" s="21">
        <f t="shared" si="0"/>
        <v>-1.4809508434508093E-2</v>
      </c>
    </row>
    <row r="49" spans="1:6" x14ac:dyDescent="0.25">
      <c r="A49" s="91" t="s">
        <v>2</v>
      </c>
      <c r="B49" s="80"/>
      <c r="C49" s="80"/>
      <c r="D49" s="92"/>
      <c r="E49" s="80"/>
      <c r="F49" s="15"/>
    </row>
    <row r="50" spans="1:6" x14ac:dyDescent="0.25">
      <c r="A50" s="34" t="s">
        <v>39</v>
      </c>
      <c r="B50" s="15">
        <f>C$2*B$5/B$23</f>
        <v>173.24999999999997</v>
      </c>
      <c r="C50" s="15">
        <f>C2*C5/B23</f>
        <v>169.7157</v>
      </c>
      <c r="D50" s="87">
        <f>B50-C50</f>
        <v>3.5342999999999734</v>
      </c>
      <c r="E50" s="15">
        <f>D50*B$35</f>
        <v>34.947158399999736</v>
      </c>
      <c r="F50" s="15">
        <f t="shared" si="0"/>
        <v>5.4813913043477852E-2</v>
      </c>
    </row>
    <row r="51" spans="1:6" x14ac:dyDescent="0.25">
      <c r="A51" s="34" t="s">
        <v>32</v>
      </c>
      <c r="B51" s="15">
        <f>C$2*B$5/B$23</f>
        <v>173.24999999999997</v>
      </c>
      <c r="C51" s="15">
        <f>C2*B5/C23</f>
        <v>174.1514393630053</v>
      </c>
      <c r="D51" s="87">
        <f>B51-C51</f>
        <v>-0.90143936300532346</v>
      </c>
      <c r="E51" s="15">
        <f>D51*B$35</f>
        <v>-8.9134324213966387</v>
      </c>
      <c r="F51" s="15">
        <f t="shared" si="0"/>
        <v>-1.3980538963229561E-2</v>
      </c>
    </row>
    <row r="52" spans="1:6" x14ac:dyDescent="0.25">
      <c r="A52" s="83" t="s">
        <v>43</v>
      </c>
      <c r="B52" s="15"/>
      <c r="C52" s="48"/>
      <c r="D52" s="15">
        <f>(B23-C23)*(B5-C5)*C2</f>
        <v>1.5484190849792408E-2</v>
      </c>
      <c r="E52" s="15">
        <f>D52*B$35</f>
        <v>0.15310767912274734</v>
      </c>
      <c r="F52" s="15">
        <f t="shared" si="0"/>
        <v>2.4014630642252863E-4</v>
      </c>
    </row>
    <row r="53" spans="1:6" x14ac:dyDescent="0.25">
      <c r="A53" s="90" t="s">
        <v>82</v>
      </c>
      <c r="B53" s="21"/>
      <c r="C53" s="88"/>
      <c r="D53" s="21">
        <f>SUM(D50:D52)</f>
        <v>2.6483448278444421</v>
      </c>
      <c r="E53" s="21">
        <f>SUM(E50:E52)</f>
        <v>26.186833657725845</v>
      </c>
      <c r="F53" s="15">
        <f t="shared" si="0"/>
        <v>4.1073520386670823E-2</v>
      </c>
    </row>
    <row r="54" spans="1:6" x14ac:dyDescent="0.25">
      <c r="A54" s="97" t="s">
        <v>0</v>
      </c>
      <c r="B54" s="57"/>
      <c r="C54" s="98"/>
      <c r="D54" s="99"/>
      <c r="E54" s="57">
        <f>E53+E48</f>
        <v>16.744883460220866</v>
      </c>
      <c r="F54" s="57">
        <f>F53+F48</f>
        <v>2.6264011952162727E-2</v>
      </c>
    </row>
    <row r="55" spans="1:6" x14ac:dyDescent="0.25">
      <c r="A55" s="49" t="s">
        <v>42</v>
      </c>
      <c r="B55" s="93"/>
      <c r="C55" s="93"/>
      <c r="D55" s="93"/>
      <c r="E55" s="80">
        <f>SUM(E45,E50)</f>
        <v>99.788230277748355</v>
      </c>
      <c r="F55" s="15">
        <f t="shared" si="0"/>
        <v>0.15651582639712083</v>
      </c>
    </row>
    <row r="56" spans="1:6" x14ac:dyDescent="0.25">
      <c r="A56" s="27" t="s">
        <v>86</v>
      </c>
      <c r="E56" s="15">
        <f>SUM(E46,E51)</f>
        <v>-86.105135085957116</v>
      </c>
      <c r="F56" s="15">
        <f t="shared" si="0"/>
        <v>-0.13505416758572861</v>
      </c>
    </row>
    <row r="57" spans="1:6" x14ac:dyDescent="0.25">
      <c r="A57" s="27" t="s">
        <v>43</v>
      </c>
      <c r="D57" s="1"/>
      <c r="E57" s="15">
        <f>SUM(E47+E52)</f>
        <v>3.0617882684296309</v>
      </c>
      <c r="F57" s="21">
        <f t="shared" si="0"/>
        <v>4.8023531407704861E-3</v>
      </c>
    </row>
    <row r="58" spans="1:6" x14ac:dyDescent="0.25">
      <c r="A58" s="94" t="s">
        <v>85</v>
      </c>
      <c r="B58" s="95"/>
      <c r="C58" s="95"/>
      <c r="D58" s="95"/>
      <c r="E58" s="96">
        <f>1-ABS(E57/E54)</f>
        <v>0.81715081650444366</v>
      </c>
      <c r="F58" s="96"/>
    </row>
    <row r="61" spans="1:6" x14ac:dyDescent="0.25">
      <c r="C61" s="1"/>
      <c r="D61" s="1"/>
      <c r="E61" s="1"/>
    </row>
  </sheetData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materia prima</vt:lpstr>
      <vt:lpstr>Estándar técnico</vt:lpstr>
      <vt:lpstr>Datos fabricación real</vt:lpstr>
      <vt:lpstr>Desviaciones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2026-02-20T14:54:29Z</dcterms:modified>
</cp:coreProperties>
</file>