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4bf2af71bbc2e43/Documentos/GitHub/master-queseria/website/datos/"/>
    </mc:Choice>
  </mc:AlternateContent>
  <xr:revisionPtr revIDLastSave="52" documentId="8_{3B7945C6-9DAC-46B0-AE41-EA9F33CCC2E9}" xr6:coauthVersionLast="47" xr6:coauthVersionMax="47" xr10:uidLastSave="{1AF88795-F7A6-4AAC-9D35-7DE133550745}"/>
  <bookViews>
    <workbookView xWindow="-120" yWindow="-120" windowWidth="29040" windowHeight="16440" xr2:uid="{8B9CF080-FDD4-4586-B682-2B22866106B1}"/>
  </bookViews>
  <sheets>
    <sheet name="queseria_final_tidy" sheetId="1" r:id="rId1"/>
    <sheet name="TD MG" sheetId="2" r:id="rId2"/>
    <sheet name="TD MP" sheetId="3" r:id="rId3"/>
  </sheets>
  <calcPr calcId="191029"/>
  <pivotCaches>
    <pivotCache cacheId="16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" i="1" l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AB2" i="1"/>
  <c r="AB3" i="1"/>
  <c r="AB4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0" i="1"/>
  <c r="AB131" i="1"/>
  <c r="AB132" i="1"/>
  <c r="AB133" i="1"/>
  <c r="AB134" i="1"/>
  <c r="AB135" i="1"/>
  <c r="AB136" i="1"/>
  <c r="AB137" i="1"/>
  <c r="AB138" i="1"/>
  <c r="AB139" i="1"/>
  <c r="AB140" i="1"/>
  <c r="AB141" i="1"/>
  <c r="AB142" i="1"/>
  <c r="AB143" i="1"/>
  <c r="AB144" i="1"/>
  <c r="AB145" i="1"/>
  <c r="AB146" i="1"/>
  <c r="AB147" i="1"/>
  <c r="AB148" i="1"/>
  <c r="AB149" i="1"/>
  <c r="AB150" i="1"/>
  <c r="AB151" i="1"/>
  <c r="AB152" i="1"/>
  <c r="AB153" i="1"/>
  <c r="AB154" i="1"/>
  <c r="AB155" i="1"/>
  <c r="AB156" i="1"/>
  <c r="AB157" i="1"/>
  <c r="AB158" i="1"/>
  <c r="AB159" i="1"/>
  <c r="AB160" i="1"/>
  <c r="AB161" i="1"/>
  <c r="AB162" i="1"/>
  <c r="AB163" i="1"/>
  <c r="AB164" i="1"/>
  <c r="AB165" i="1"/>
  <c r="AB166" i="1"/>
  <c r="AB167" i="1"/>
  <c r="AB168" i="1"/>
  <c r="AB169" i="1"/>
  <c r="AB170" i="1"/>
  <c r="AB171" i="1"/>
  <c r="AB172" i="1"/>
  <c r="AB173" i="1"/>
  <c r="AB174" i="1"/>
  <c r="AB175" i="1"/>
  <c r="AB176" i="1"/>
  <c r="AB177" i="1"/>
  <c r="AB178" i="1"/>
  <c r="AB179" i="1"/>
  <c r="AB180" i="1"/>
  <c r="AB181" i="1"/>
  <c r="AB182" i="1"/>
  <c r="AB183" i="1"/>
  <c r="AB184" i="1"/>
  <c r="AB185" i="1"/>
  <c r="AB186" i="1"/>
  <c r="AB187" i="1"/>
  <c r="AB188" i="1"/>
  <c r="AB189" i="1"/>
  <c r="AB190" i="1"/>
  <c r="AB191" i="1"/>
  <c r="AB192" i="1"/>
  <c r="AB193" i="1"/>
  <c r="AB194" i="1"/>
  <c r="AB195" i="1"/>
  <c r="AB196" i="1"/>
  <c r="AB197" i="1"/>
  <c r="AB198" i="1"/>
  <c r="AB199" i="1"/>
  <c r="AB200" i="1"/>
  <c r="AB201" i="1"/>
  <c r="AB202" i="1"/>
  <c r="AB203" i="1"/>
  <c r="AB204" i="1"/>
  <c r="AB205" i="1"/>
  <c r="AB206" i="1"/>
  <c r="AB207" i="1"/>
  <c r="AB208" i="1"/>
  <c r="AB209" i="1"/>
  <c r="AB210" i="1"/>
  <c r="AB211" i="1"/>
  <c r="AB212" i="1"/>
  <c r="AB213" i="1"/>
  <c r="AB214" i="1"/>
  <c r="AB215" i="1"/>
  <c r="AB216" i="1"/>
  <c r="AB217" i="1"/>
  <c r="AB218" i="1"/>
  <c r="AB219" i="1"/>
  <c r="AB220" i="1"/>
  <c r="AB221" i="1"/>
  <c r="AB222" i="1"/>
  <c r="AB223" i="1"/>
  <c r="AB224" i="1"/>
  <c r="AB225" i="1"/>
  <c r="AB226" i="1"/>
  <c r="AB227" i="1"/>
  <c r="AB228" i="1"/>
  <c r="AB229" i="1"/>
  <c r="AB230" i="1"/>
  <c r="AB231" i="1"/>
  <c r="AB232" i="1"/>
  <c r="AB233" i="1"/>
  <c r="AB234" i="1"/>
  <c r="AB235" i="1"/>
  <c r="AB236" i="1"/>
  <c r="AB237" i="1"/>
  <c r="AB238" i="1"/>
  <c r="AB239" i="1"/>
  <c r="AB240" i="1"/>
  <c r="AB241" i="1"/>
  <c r="AB242" i="1"/>
  <c r="AB243" i="1"/>
  <c r="AB244" i="1"/>
  <c r="AB245" i="1"/>
  <c r="AB246" i="1"/>
  <c r="AB247" i="1"/>
  <c r="AB248" i="1"/>
  <c r="AB249" i="1"/>
  <c r="AB250" i="1"/>
  <c r="AB251" i="1"/>
  <c r="AB252" i="1"/>
  <c r="AB253" i="1"/>
  <c r="AB254" i="1"/>
  <c r="AB255" i="1"/>
  <c r="AB256" i="1"/>
  <c r="AB257" i="1"/>
  <c r="AB258" i="1"/>
  <c r="AB259" i="1"/>
  <c r="AB260" i="1"/>
  <c r="AB261" i="1"/>
  <c r="AB262" i="1"/>
  <c r="AB263" i="1"/>
  <c r="AB264" i="1"/>
  <c r="AB265" i="1"/>
  <c r="AB266" i="1"/>
  <c r="AB267" i="1"/>
  <c r="AB268" i="1"/>
  <c r="AB269" i="1"/>
  <c r="AB270" i="1"/>
  <c r="AB271" i="1"/>
  <c r="AB272" i="1"/>
  <c r="AB273" i="1"/>
  <c r="AB274" i="1"/>
  <c r="AB275" i="1"/>
  <c r="AB276" i="1"/>
  <c r="AB277" i="1"/>
  <c r="AB278" i="1"/>
  <c r="AB279" i="1"/>
  <c r="AB280" i="1"/>
  <c r="AB281" i="1"/>
  <c r="AB282" i="1"/>
  <c r="AB283" i="1"/>
  <c r="AB284" i="1"/>
  <c r="AB285" i="1"/>
  <c r="AB286" i="1"/>
  <c r="AB287" i="1"/>
  <c r="AB288" i="1"/>
  <c r="AB289" i="1"/>
  <c r="AB290" i="1"/>
  <c r="AB291" i="1"/>
  <c r="AB292" i="1"/>
  <c r="AB293" i="1"/>
  <c r="AB294" i="1"/>
  <c r="AB295" i="1"/>
  <c r="AB296" i="1"/>
  <c r="AB297" i="1"/>
  <c r="AB298" i="1"/>
  <c r="AB299" i="1"/>
  <c r="AB300" i="1"/>
  <c r="AB301" i="1"/>
  <c r="AB302" i="1"/>
  <c r="AB303" i="1"/>
  <c r="AB304" i="1"/>
  <c r="AB305" i="1"/>
  <c r="AB306" i="1"/>
  <c r="AB307" i="1"/>
  <c r="AB308" i="1"/>
  <c r="AB309" i="1"/>
  <c r="AB310" i="1"/>
  <c r="AB311" i="1"/>
  <c r="AB312" i="1"/>
  <c r="AB313" i="1"/>
  <c r="AB314" i="1"/>
  <c r="AB315" i="1"/>
  <c r="AB316" i="1"/>
  <c r="AB317" i="1"/>
  <c r="AB318" i="1"/>
  <c r="AB319" i="1"/>
  <c r="AB320" i="1"/>
  <c r="AB321" i="1"/>
  <c r="AB322" i="1"/>
  <c r="AB323" i="1"/>
  <c r="AB324" i="1"/>
  <c r="AB325" i="1"/>
  <c r="AB326" i="1"/>
  <c r="AB327" i="1"/>
  <c r="AB328" i="1"/>
  <c r="AB329" i="1"/>
  <c r="AB330" i="1"/>
  <c r="AB331" i="1"/>
  <c r="AB332" i="1"/>
  <c r="AB333" i="1"/>
  <c r="AB334" i="1"/>
  <c r="AB335" i="1"/>
  <c r="AB336" i="1"/>
  <c r="AB337" i="1"/>
  <c r="AB338" i="1"/>
  <c r="AB339" i="1"/>
  <c r="AB340" i="1"/>
  <c r="AB341" i="1"/>
  <c r="AB342" i="1"/>
  <c r="AB343" i="1"/>
  <c r="AB344" i="1"/>
  <c r="AB345" i="1"/>
  <c r="AB346" i="1"/>
  <c r="AB347" i="1"/>
  <c r="AB348" i="1"/>
  <c r="AB349" i="1"/>
  <c r="AB350" i="1"/>
  <c r="AB351" i="1"/>
  <c r="AB352" i="1"/>
  <c r="AB353" i="1"/>
  <c r="AB354" i="1"/>
  <c r="AB355" i="1"/>
  <c r="AB356" i="1"/>
  <c r="AB357" i="1"/>
  <c r="AB358" i="1"/>
  <c r="AB359" i="1"/>
  <c r="AB360" i="1"/>
  <c r="AB361" i="1"/>
  <c r="AB362" i="1"/>
  <c r="AB363" i="1"/>
  <c r="AB364" i="1"/>
  <c r="AB365" i="1"/>
  <c r="AA2" i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6" i="1"/>
  <c r="AA107" i="1"/>
  <c r="AA108" i="1"/>
  <c r="AA109" i="1"/>
  <c r="AA110" i="1"/>
  <c r="AA111" i="1"/>
  <c r="AA112" i="1"/>
  <c r="AA113" i="1"/>
  <c r="AA114" i="1"/>
  <c r="AA115" i="1"/>
  <c r="AA116" i="1"/>
  <c r="AA117" i="1"/>
  <c r="AA118" i="1"/>
  <c r="AA119" i="1"/>
  <c r="AA120" i="1"/>
  <c r="AA121" i="1"/>
  <c r="AA122" i="1"/>
  <c r="AA123" i="1"/>
  <c r="AA124" i="1"/>
  <c r="AA125" i="1"/>
  <c r="AA126" i="1"/>
  <c r="AA127" i="1"/>
  <c r="AA128" i="1"/>
  <c r="AA129" i="1"/>
  <c r="AA130" i="1"/>
  <c r="AA131" i="1"/>
  <c r="AA132" i="1"/>
  <c r="AA133" i="1"/>
  <c r="AA134" i="1"/>
  <c r="AA135" i="1"/>
  <c r="AA136" i="1"/>
  <c r="AA137" i="1"/>
  <c r="AA138" i="1"/>
  <c r="AA139" i="1"/>
  <c r="AA140" i="1"/>
  <c r="AA141" i="1"/>
  <c r="AA142" i="1"/>
  <c r="AA143" i="1"/>
  <c r="AA144" i="1"/>
  <c r="AA145" i="1"/>
  <c r="AA146" i="1"/>
  <c r="AA147" i="1"/>
  <c r="AA148" i="1"/>
  <c r="AA149" i="1"/>
  <c r="AA150" i="1"/>
  <c r="AA151" i="1"/>
  <c r="AA152" i="1"/>
  <c r="AA153" i="1"/>
  <c r="AA154" i="1"/>
  <c r="AA155" i="1"/>
  <c r="AA156" i="1"/>
  <c r="AA157" i="1"/>
  <c r="AA158" i="1"/>
  <c r="AA159" i="1"/>
  <c r="AA160" i="1"/>
  <c r="AA161" i="1"/>
  <c r="AA162" i="1"/>
  <c r="AA163" i="1"/>
  <c r="AA164" i="1"/>
  <c r="AA165" i="1"/>
  <c r="AA166" i="1"/>
  <c r="AA167" i="1"/>
  <c r="AA168" i="1"/>
  <c r="AA169" i="1"/>
  <c r="AA170" i="1"/>
  <c r="AA171" i="1"/>
  <c r="AA172" i="1"/>
  <c r="AA173" i="1"/>
  <c r="AA174" i="1"/>
  <c r="AA175" i="1"/>
  <c r="AA176" i="1"/>
  <c r="AA177" i="1"/>
  <c r="AA178" i="1"/>
  <c r="AA179" i="1"/>
  <c r="AA180" i="1"/>
  <c r="AA181" i="1"/>
  <c r="AA182" i="1"/>
  <c r="AA183" i="1"/>
  <c r="AA184" i="1"/>
  <c r="AA185" i="1"/>
  <c r="AA186" i="1"/>
  <c r="AA187" i="1"/>
  <c r="AA188" i="1"/>
  <c r="AA189" i="1"/>
  <c r="AA190" i="1"/>
  <c r="AA191" i="1"/>
  <c r="AA192" i="1"/>
  <c r="AA193" i="1"/>
  <c r="AA194" i="1"/>
  <c r="AA195" i="1"/>
  <c r="AA196" i="1"/>
  <c r="AA197" i="1"/>
  <c r="AA198" i="1"/>
  <c r="AA199" i="1"/>
  <c r="AA200" i="1"/>
  <c r="AA201" i="1"/>
  <c r="AA202" i="1"/>
  <c r="AA203" i="1"/>
  <c r="AA204" i="1"/>
  <c r="AA205" i="1"/>
  <c r="AA206" i="1"/>
  <c r="AA207" i="1"/>
  <c r="AA208" i="1"/>
  <c r="AA209" i="1"/>
  <c r="AA210" i="1"/>
  <c r="AA211" i="1"/>
  <c r="AA212" i="1"/>
  <c r="AA213" i="1"/>
  <c r="AA214" i="1"/>
  <c r="AA215" i="1"/>
  <c r="AA216" i="1"/>
  <c r="AA217" i="1"/>
  <c r="AA218" i="1"/>
  <c r="AA219" i="1"/>
  <c r="AA220" i="1"/>
  <c r="AA221" i="1"/>
  <c r="AA222" i="1"/>
  <c r="AA223" i="1"/>
  <c r="AA224" i="1"/>
  <c r="AA225" i="1"/>
  <c r="AA226" i="1"/>
  <c r="AA227" i="1"/>
  <c r="AA228" i="1"/>
  <c r="AA229" i="1"/>
  <c r="AA230" i="1"/>
  <c r="AA231" i="1"/>
  <c r="AA232" i="1"/>
  <c r="AA233" i="1"/>
  <c r="AA234" i="1"/>
  <c r="AA235" i="1"/>
  <c r="AA236" i="1"/>
  <c r="AA237" i="1"/>
  <c r="AA238" i="1"/>
  <c r="AA239" i="1"/>
  <c r="AA240" i="1"/>
  <c r="AA241" i="1"/>
  <c r="AA242" i="1"/>
  <c r="AA243" i="1"/>
  <c r="AA244" i="1"/>
  <c r="AA245" i="1"/>
  <c r="AA246" i="1"/>
  <c r="AA247" i="1"/>
  <c r="AA248" i="1"/>
  <c r="AA249" i="1"/>
  <c r="AA250" i="1"/>
  <c r="AA251" i="1"/>
  <c r="AA252" i="1"/>
  <c r="AA253" i="1"/>
  <c r="AA254" i="1"/>
  <c r="AA255" i="1"/>
  <c r="AA256" i="1"/>
  <c r="AA257" i="1"/>
  <c r="AA258" i="1"/>
  <c r="AA259" i="1"/>
  <c r="AA260" i="1"/>
  <c r="AA261" i="1"/>
  <c r="AA262" i="1"/>
  <c r="AA263" i="1"/>
  <c r="AA264" i="1"/>
  <c r="AA265" i="1"/>
  <c r="AA266" i="1"/>
  <c r="AA267" i="1"/>
  <c r="AA268" i="1"/>
  <c r="AA269" i="1"/>
  <c r="AA270" i="1"/>
  <c r="AA271" i="1"/>
  <c r="AA272" i="1"/>
  <c r="AA273" i="1"/>
  <c r="AA274" i="1"/>
  <c r="AA275" i="1"/>
  <c r="AA276" i="1"/>
  <c r="AA277" i="1"/>
  <c r="AA278" i="1"/>
  <c r="AA279" i="1"/>
  <c r="AA280" i="1"/>
  <c r="AA281" i="1"/>
  <c r="AA282" i="1"/>
  <c r="AA283" i="1"/>
  <c r="AA284" i="1"/>
  <c r="AA285" i="1"/>
  <c r="AA286" i="1"/>
  <c r="AA287" i="1"/>
  <c r="AA288" i="1"/>
  <c r="AA289" i="1"/>
  <c r="AA290" i="1"/>
  <c r="AA291" i="1"/>
  <c r="AA292" i="1"/>
  <c r="AA293" i="1"/>
  <c r="AA294" i="1"/>
  <c r="AA295" i="1"/>
  <c r="AA296" i="1"/>
  <c r="AA297" i="1"/>
  <c r="AA298" i="1"/>
  <c r="AA299" i="1"/>
  <c r="AA300" i="1"/>
  <c r="AA301" i="1"/>
  <c r="AA302" i="1"/>
  <c r="AA303" i="1"/>
  <c r="AA304" i="1"/>
  <c r="AA305" i="1"/>
  <c r="AA306" i="1"/>
  <c r="AA307" i="1"/>
  <c r="AA308" i="1"/>
  <c r="AA309" i="1"/>
  <c r="AA310" i="1"/>
  <c r="AA311" i="1"/>
  <c r="AA312" i="1"/>
  <c r="AA313" i="1"/>
  <c r="AA314" i="1"/>
  <c r="AA315" i="1"/>
  <c r="AA316" i="1"/>
  <c r="AA317" i="1"/>
  <c r="AA318" i="1"/>
  <c r="AA319" i="1"/>
  <c r="AA320" i="1"/>
  <c r="AA321" i="1"/>
  <c r="AA322" i="1"/>
  <c r="AA323" i="1"/>
  <c r="AA324" i="1"/>
  <c r="AA325" i="1"/>
  <c r="AA326" i="1"/>
  <c r="AA327" i="1"/>
  <c r="AA328" i="1"/>
  <c r="AA329" i="1"/>
  <c r="AA330" i="1"/>
  <c r="AA331" i="1"/>
  <c r="AA332" i="1"/>
  <c r="AA333" i="1"/>
  <c r="AA334" i="1"/>
  <c r="AA335" i="1"/>
  <c r="AA336" i="1"/>
  <c r="AA337" i="1"/>
  <c r="AA338" i="1"/>
  <c r="AA339" i="1"/>
  <c r="AA340" i="1"/>
  <c r="AA341" i="1"/>
  <c r="AA342" i="1"/>
  <c r="AA343" i="1"/>
  <c r="AA344" i="1"/>
  <c r="AA345" i="1"/>
  <c r="AA346" i="1"/>
  <c r="AA347" i="1"/>
  <c r="AA348" i="1"/>
  <c r="AA349" i="1"/>
  <c r="AA350" i="1"/>
  <c r="AA351" i="1"/>
  <c r="AA352" i="1"/>
  <c r="AA353" i="1"/>
  <c r="AA354" i="1"/>
  <c r="AA355" i="1"/>
  <c r="AA356" i="1"/>
  <c r="AA357" i="1"/>
  <c r="AA358" i="1"/>
  <c r="AA359" i="1"/>
  <c r="AA360" i="1"/>
  <c r="AA361" i="1"/>
  <c r="AA362" i="1"/>
  <c r="AA363" i="1"/>
  <c r="AA364" i="1"/>
  <c r="AA365" i="1"/>
  <c r="Z2" i="1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0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166" i="1"/>
  <c r="Z167" i="1"/>
  <c r="Z168" i="1"/>
  <c r="Z169" i="1"/>
  <c r="Z170" i="1"/>
  <c r="Z171" i="1"/>
  <c r="Z172" i="1"/>
  <c r="Z173" i="1"/>
  <c r="Z174" i="1"/>
  <c r="Z175" i="1"/>
  <c r="Z176" i="1"/>
  <c r="Z177" i="1"/>
  <c r="Z178" i="1"/>
  <c r="Z179" i="1"/>
  <c r="Z180" i="1"/>
  <c r="Z181" i="1"/>
  <c r="Z182" i="1"/>
  <c r="Z183" i="1"/>
  <c r="Z184" i="1"/>
  <c r="Z185" i="1"/>
  <c r="Z186" i="1"/>
  <c r="Z187" i="1"/>
  <c r="Z188" i="1"/>
  <c r="Z189" i="1"/>
  <c r="Z190" i="1"/>
  <c r="Z191" i="1"/>
  <c r="Z192" i="1"/>
  <c r="Z193" i="1"/>
  <c r="Z194" i="1"/>
  <c r="Z195" i="1"/>
  <c r="Z196" i="1"/>
  <c r="Z197" i="1"/>
  <c r="Z198" i="1"/>
  <c r="Z199" i="1"/>
  <c r="Z200" i="1"/>
  <c r="Z201" i="1"/>
  <c r="Z202" i="1"/>
  <c r="Z203" i="1"/>
  <c r="Z204" i="1"/>
  <c r="Z205" i="1"/>
  <c r="Z206" i="1"/>
  <c r="Z207" i="1"/>
  <c r="Z208" i="1"/>
  <c r="Z209" i="1"/>
  <c r="Z210" i="1"/>
  <c r="Z211" i="1"/>
  <c r="Z212" i="1"/>
  <c r="Z213" i="1"/>
  <c r="Z214" i="1"/>
  <c r="Z215" i="1"/>
  <c r="Z216" i="1"/>
  <c r="Z217" i="1"/>
  <c r="Z218" i="1"/>
  <c r="Z219" i="1"/>
  <c r="Z220" i="1"/>
  <c r="Z221" i="1"/>
  <c r="Z222" i="1"/>
  <c r="Z223" i="1"/>
  <c r="Z224" i="1"/>
  <c r="Z225" i="1"/>
  <c r="Z226" i="1"/>
  <c r="Z227" i="1"/>
  <c r="Z228" i="1"/>
  <c r="Z229" i="1"/>
  <c r="Z230" i="1"/>
  <c r="Z231" i="1"/>
  <c r="Z232" i="1"/>
  <c r="Z233" i="1"/>
  <c r="Z234" i="1"/>
  <c r="Z235" i="1"/>
  <c r="Z236" i="1"/>
  <c r="Z237" i="1"/>
  <c r="Z238" i="1"/>
  <c r="Z239" i="1"/>
  <c r="Z240" i="1"/>
  <c r="Z241" i="1"/>
  <c r="Z242" i="1"/>
  <c r="Z243" i="1"/>
  <c r="Z244" i="1"/>
  <c r="Z245" i="1"/>
  <c r="Z246" i="1"/>
  <c r="Z247" i="1"/>
  <c r="Z248" i="1"/>
  <c r="Z249" i="1"/>
  <c r="Z250" i="1"/>
  <c r="Z251" i="1"/>
  <c r="Z252" i="1"/>
  <c r="Z253" i="1"/>
  <c r="Z254" i="1"/>
  <c r="Z255" i="1"/>
  <c r="Z256" i="1"/>
  <c r="Z257" i="1"/>
  <c r="Z258" i="1"/>
  <c r="Z259" i="1"/>
  <c r="Z260" i="1"/>
  <c r="Z261" i="1"/>
  <c r="Z262" i="1"/>
  <c r="Z263" i="1"/>
  <c r="Z264" i="1"/>
  <c r="Z265" i="1"/>
  <c r="Z266" i="1"/>
  <c r="Z267" i="1"/>
  <c r="Z268" i="1"/>
  <c r="Z269" i="1"/>
  <c r="Z270" i="1"/>
  <c r="Z271" i="1"/>
  <c r="Z272" i="1"/>
  <c r="Z273" i="1"/>
  <c r="Z274" i="1"/>
  <c r="Z275" i="1"/>
  <c r="Z276" i="1"/>
  <c r="Z277" i="1"/>
  <c r="Z278" i="1"/>
  <c r="Z279" i="1"/>
  <c r="Z280" i="1"/>
  <c r="Z281" i="1"/>
  <c r="Z282" i="1"/>
  <c r="Z283" i="1"/>
  <c r="Z284" i="1"/>
  <c r="Z285" i="1"/>
  <c r="Z286" i="1"/>
  <c r="Z287" i="1"/>
  <c r="Z288" i="1"/>
  <c r="Z289" i="1"/>
  <c r="Z290" i="1"/>
  <c r="Z291" i="1"/>
  <c r="Z292" i="1"/>
  <c r="Z293" i="1"/>
  <c r="Z294" i="1"/>
  <c r="Z295" i="1"/>
  <c r="Z296" i="1"/>
  <c r="Z297" i="1"/>
  <c r="Z298" i="1"/>
  <c r="Z299" i="1"/>
  <c r="Z300" i="1"/>
  <c r="Z301" i="1"/>
  <c r="Z302" i="1"/>
  <c r="Z303" i="1"/>
  <c r="Z304" i="1"/>
  <c r="Z305" i="1"/>
  <c r="Z306" i="1"/>
  <c r="Z307" i="1"/>
  <c r="Z308" i="1"/>
  <c r="Z309" i="1"/>
  <c r="Z310" i="1"/>
  <c r="Z311" i="1"/>
  <c r="Z312" i="1"/>
  <c r="Z313" i="1"/>
  <c r="Z314" i="1"/>
  <c r="Z315" i="1"/>
  <c r="Z316" i="1"/>
  <c r="Z317" i="1"/>
  <c r="Z318" i="1"/>
  <c r="Z319" i="1"/>
  <c r="Z320" i="1"/>
  <c r="Z321" i="1"/>
  <c r="Z322" i="1"/>
  <c r="Z323" i="1"/>
  <c r="Z324" i="1"/>
  <c r="Z325" i="1"/>
  <c r="Z326" i="1"/>
  <c r="Z327" i="1"/>
  <c r="Z328" i="1"/>
  <c r="Z329" i="1"/>
  <c r="Z330" i="1"/>
  <c r="Z331" i="1"/>
  <c r="Z332" i="1"/>
  <c r="Z333" i="1"/>
  <c r="Z334" i="1"/>
  <c r="Z335" i="1"/>
  <c r="Z336" i="1"/>
  <c r="Z337" i="1"/>
  <c r="Z338" i="1"/>
  <c r="Z339" i="1"/>
  <c r="Z340" i="1"/>
  <c r="Z341" i="1"/>
  <c r="Z342" i="1"/>
  <c r="Z343" i="1"/>
  <c r="Z344" i="1"/>
  <c r="Z345" i="1"/>
  <c r="Z346" i="1"/>
  <c r="Z347" i="1"/>
  <c r="Z348" i="1"/>
  <c r="Z349" i="1"/>
  <c r="Z350" i="1"/>
  <c r="Z351" i="1"/>
  <c r="Z352" i="1"/>
  <c r="Z353" i="1"/>
  <c r="Z354" i="1"/>
  <c r="Z355" i="1"/>
  <c r="Z356" i="1"/>
  <c r="Z357" i="1"/>
  <c r="Z358" i="1"/>
  <c r="Z359" i="1"/>
  <c r="Z360" i="1"/>
  <c r="Z361" i="1"/>
  <c r="Z362" i="1"/>
  <c r="Z363" i="1"/>
  <c r="Z364" i="1"/>
  <c r="Z365" i="1"/>
  <c r="R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Q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T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S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X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319" i="1"/>
  <c r="X320" i="1"/>
  <c r="X321" i="1"/>
  <c r="X322" i="1"/>
  <c r="X323" i="1"/>
  <c r="X324" i="1"/>
  <c r="X325" i="1"/>
  <c r="X326" i="1"/>
  <c r="X327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V2" i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U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</calcChain>
</file>

<file path=xl/sharedStrings.xml><?xml version="1.0" encoding="utf-8"?>
<sst xmlns="http://schemas.openxmlformats.org/spreadsheetml/2006/main" count="70" uniqueCount="53">
  <si>
    <t>fecha</t>
  </si>
  <si>
    <t>entrada_kg</t>
  </si>
  <si>
    <t>entrada_litros</t>
  </si>
  <si>
    <t>entrada_grasa_g_l</t>
  </si>
  <si>
    <t>entrada_prot_g_l</t>
  </si>
  <si>
    <t>cuba_fab_litros</t>
  </si>
  <si>
    <t>cuba_fab_grasa_g_l</t>
  </si>
  <si>
    <t>cuba_fab_prot_g_l</t>
  </si>
  <si>
    <t>stock_cierre_litros</t>
  </si>
  <si>
    <t>queso_kg</t>
  </si>
  <si>
    <t>queso_est_pct</t>
  </si>
  <si>
    <t>queso_mg_pct</t>
  </si>
  <si>
    <t>entrada_grasa_kg</t>
  </si>
  <si>
    <t>entrada_prot_kg</t>
  </si>
  <si>
    <t>cuba_fab_grasa_kg</t>
  </si>
  <si>
    <t>cuba_fab_prot_kg</t>
  </si>
  <si>
    <t>queso_est_kg</t>
  </si>
  <si>
    <t>queso_mg_kg</t>
  </si>
  <si>
    <t>semanaISO</t>
  </si>
  <si>
    <t>semana</t>
  </si>
  <si>
    <t>Etiquetas de fila</t>
  </si>
  <si>
    <t>Total general</t>
  </si>
  <si>
    <t>2023</t>
  </si>
  <si>
    <t>2024</t>
  </si>
  <si>
    <t>Suma de entrada_grasa_kg</t>
  </si>
  <si>
    <t>Suma de cuba_fab_grasa_kg</t>
  </si>
  <si>
    <t>Suma de queso_kg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</si>
  <si>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</si>
  <si>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</si>
  <si>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</si>
  <si>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</si>
  <si>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</si>
  <si>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</si>
  <si>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</si>
  <si>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</si>
  <si>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</si>
  <si>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</si>
  <si>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</si>
  <si>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</si>
  <si>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Suma de entrada_prot_kg</t>
  </si>
  <si>
    <t>Suma de cuba_fab_prot_kg</t>
  </si>
  <si>
    <t>suero_litros</t>
  </si>
  <si>
    <t>suero_grasa_g_l</t>
  </si>
  <si>
    <t>suero_prot_g_l</t>
  </si>
  <si>
    <t>suero_grasa_kg</t>
  </si>
  <si>
    <t>suero_prot_kg</t>
  </si>
  <si>
    <t>suero_est_kg</t>
  </si>
  <si>
    <t>Suma de suero_grasa_kg</t>
  </si>
  <si>
    <t>Suma de queso_mg_kg</t>
  </si>
  <si>
    <t>Suma de suero_prot_kg</t>
  </si>
  <si>
    <t>queso_esm_kg</t>
  </si>
  <si>
    <t>Suma de queso_esm_kg</t>
  </si>
  <si>
    <t>suero_est_g_l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</si>
</sst>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#,##0_ ;[Red]\-#,##0\ 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8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0" fontId="0" fillId="0" borderId="0" xfId="0" applyAlignment="1">
      <alignment horizontal="left" indent="1"/>
    </xf>
    <xf numFmtId="10" fontId="0" fillId="0" borderId="0" xfId="42" applyNumberFormat="1" applyFont="1"/>
    <xf numFmtId="0" fontId="0" fillId="0" borderId="0" xfId="0" applyNumberFormat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Porcentaje" xfId="42" builtinId="5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13"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1" defaultTableStyle="TableStyleMedium2" defaultPivotStyle="PivotStyleLight16">
    <tableStyle name="Invisible" pivot="0" table="0" count="0" xr9:uid="{66C34F11-D1DC-4C74-901C-5EFBB3C9BD38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an Riera" refreshedDate="46065.559909722222" createdVersion="8" refreshedVersion="8" minRefreshableVersion="3" recordCount="364" xr:uid="{F136B4C7-17E7-40DA-BBEB-C8F1A1299B7F}">
  <cacheSource type="worksheet">
    <worksheetSource name="Tabla1"/>
  </cacheSource>
  <cacheFields count="31">
    <cacheField name="fecha" numFmtId="14">
      <sharedItems containsSemiMixedTypes="0" containsNonDate="0" containsDate="1" containsString="0" minDate="2023-12-31T00:00:00" maxDate="2024-12-29T00:00:00" count="364">
        <d v="2023-12-31T00:00:00"/>
        <d v="2024-01-01T00:00:00"/>
        <d v="2024-01-02T00:00:00"/>
        <d v="2024-01-03T00:00:00"/>
        <d v="2024-01-04T00:00:00"/>
        <d v="2024-01-05T00:00:00"/>
        <d v="2024-01-06T00:00:00"/>
        <d v="2024-01-07T00:00:00"/>
        <d v="2024-01-08T00:00:00"/>
        <d v="2024-01-09T00:00:00"/>
        <d v="2024-01-10T00:00:00"/>
        <d v="2024-01-11T00:00:00"/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  <d v="2024-02-20T00:00:00"/>
        <d v="2024-02-21T00:00:00"/>
        <d v="2024-02-22T00:00:00"/>
        <d v="2024-02-23T00:00:00"/>
        <d v="2024-02-24T00:00:00"/>
        <d v="2024-02-25T00:00:00"/>
        <d v="2024-02-26T00:00:00"/>
        <d v="2024-02-27T00:00:00"/>
        <d v="2024-02-28T00:00:00"/>
        <d v="2024-02-29T00:00:00"/>
        <d v="2024-03-01T00:00:00"/>
        <d v="2024-03-02T00:00:00"/>
        <d v="2024-03-03T00:00:00"/>
        <d v="2024-03-04T00:00:00"/>
        <d v="2024-03-05T00:00:00"/>
        <d v="2024-03-06T00:00:00"/>
        <d v="2024-03-07T00:00:00"/>
        <d v="2024-03-08T00:00:00"/>
        <d v="2024-03-09T00:00:00"/>
        <d v="2024-03-10T00:00:00"/>
        <d v="2024-03-11T00:00:00"/>
        <d v="2024-03-12T00:00:00"/>
        <d v="2024-03-13T00:00:00"/>
        <d v="2024-03-14T00:00:00"/>
        <d v="2024-03-15T00:00:00"/>
        <d v="2024-03-16T00:00:00"/>
        <d v="2024-03-17T00:00:00"/>
        <d v="2024-03-18T00:00:00"/>
        <d v="2024-03-19T00:00:00"/>
        <d v="2024-03-20T00:00:00"/>
        <d v="2024-03-21T00:00:00"/>
        <d v="2024-03-22T00:00:00"/>
        <d v="2024-03-23T00:00:00"/>
        <d v="2024-03-24T00:00:00"/>
        <d v="2024-03-25T00:00:00"/>
        <d v="2024-03-26T00:00:00"/>
        <d v="2024-03-27T00:00:00"/>
        <d v="2024-03-28T00:00:00"/>
        <d v="2024-03-29T00:00:00"/>
        <d v="2024-03-30T00:00:00"/>
        <d v="2024-03-31T00:00:00"/>
        <d v="2024-04-01T00:00:00"/>
        <d v="2024-04-02T00:00:00"/>
        <d v="2024-04-03T00:00:00"/>
        <d v="2024-04-04T00:00:00"/>
        <d v="2024-04-05T00:00:00"/>
        <d v="2024-04-06T00:00:00"/>
        <d v="2024-04-07T00:00:00"/>
        <d v="2024-04-08T00:00:00"/>
        <d v="2024-04-09T00:00:00"/>
        <d v="2024-04-10T00:00:00"/>
        <d v="2024-04-11T00:00:00"/>
        <d v="2024-04-12T00:00:00"/>
        <d v="2024-04-13T00:00:00"/>
        <d v="2024-04-14T00:00:00"/>
        <d v="2024-04-15T00:00:00"/>
        <d v="2024-04-16T00:00:00"/>
        <d v="2024-04-17T00:00:00"/>
        <d v="2024-04-18T00:00:00"/>
        <d v="2024-04-19T00:00:00"/>
        <d v="2024-04-20T00:00:00"/>
        <d v="2024-04-21T00:00:00"/>
        <d v="2024-04-22T00:00:00"/>
        <d v="2024-04-23T00:00:00"/>
        <d v="2024-04-24T00:00:00"/>
        <d v="2024-04-25T00:00:00"/>
        <d v="2024-04-26T00:00:00"/>
        <d v="2024-04-27T00:00:00"/>
        <d v="2024-04-28T00:00:00"/>
        <d v="2024-04-29T00:00:00"/>
        <d v="2024-04-30T00:00:00"/>
        <d v="2024-05-01T00:00:00"/>
        <d v="2024-05-02T00:00:00"/>
        <d v="2024-05-03T00:00:00"/>
        <d v="2024-05-04T00:00:00"/>
        <d v="2024-05-05T00:00:00"/>
        <d v="2024-05-06T00:00:00"/>
        <d v="2024-05-07T00:00:00"/>
        <d v="2024-05-08T00:00:00"/>
        <d v="2024-05-09T00:00:00"/>
        <d v="2024-05-10T00:00:00"/>
        <d v="2024-05-11T00:00:00"/>
        <d v="2024-05-12T00:00:00"/>
        <d v="2024-05-13T00:00:00"/>
        <d v="2024-05-14T00:00:00"/>
        <d v="2024-05-15T00:00:00"/>
        <d v="2024-05-16T00:00:00"/>
        <d v="2024-05-17T00:00:00"/>
        <d v="2024-05-18T00:00:00"/>
        <d v="2024-05-19T00:00:00"/>
        <d v="2024-05-20T00:00:00"/>
        <d v="2024-05-21T00:00:00"/>
        <d v="2024-05-22T00:00:00"/>
        <d v="2024-05-23T00:00:00"/>
        <d v="2024-05-24T00:00:00"/>
        <d v="2024-05-25T00:00:00"/>
        <d v="2024-05-26T00:00:00"/>
        <d v="2024-05-27T00:00:00"/>
        <d v="2024-05-28T00:00:00"/>
        <d v="2024-05-29T00:00:00"/>
        <d v="2024-05-30T00:00:00"/>
        <d v="2024-05-31T00:00:00"/>
        <d v="2024-06-01T00:00:00"/>
        <d v="2024-06-02T00:00:00"/>
        <d v="2024-06-03T00:00:00"/>
        <d v="2024-06-04T00:00:00"/>
        <d v="2024-06-05T00:00:00"/>
        <d v="2024-06-06T00:00:00"/>
        <d v="2024-06-07T00:00:00"/>
        <d v="2024-06-08T00:00:00"/>
        <d v="2024-06-09T00:00:00"/>
        <d v="2024-06-10T00:00:00"/>
        <d v="2024-06-11T00:00:00"/>
        <d v="2024-06-12T00:00:00"/>
        <d v="2024-06-13T00:00:00"/>
        <d v="2024-06-14T00:00:00"/>
        <d v="2024-06-15T00:00:00"/>
        <d v="2024-06-16T00:00:00"/>
        <d v="2024-06-17T00:00:00"/>
        <d v="2024-06-18T00:00:00"/>
        <d v="2024-06-19T00:00:00"/>
        <d v="2024-06-20T00:00:00"/>
        <d v="2024-06-21T00:00:00"/>
        <d v="2024-06-22T00:00:00"/>
        <d v="2024-06-23T00:00:00"/>
        <d v="2024-06-24T00:00:00"/>
        <d v="2024-06-25T00:00:00"/>
        <d v="2024-06-26T00:00:00"/>
        <d v="2024-06-27T00:00:00"/>
        <d v="2024-06-28T00:00:00"/>
        <d v="2024-06-29T00:00:00"/>
        <d v="2024-06-30T00:00:00"/>
        <d v="2024-07-01T00:00:00"/>
        <d v="2024-07-02T00:00:00"/>
        <d v="2024-07-03T00:00:00"/>
        <d v="2024-07-04T00:00:00"/>
        <d v="2024-07-05T00:00:00"/>
        <d v="2024-07-06T00:00:00"/>
        <d v="2024-07-07T00:00:00"/>
        <d v="2024-07-08T00:00:00"/>
        <d v="2024-07-09T00:00:00"/>
        <d v="2024-07-10T00:00:00"/>
        <d v="2024-07-11T00:00:00"/>
        <d v="2024-07-12T00:00:00"/>
        <d v="2024-07-13T00:00:00"/>
        <d v="2024-07-14T00:00:00"/>
        <d v="2024-07-15T00:00:00"/>
        <d v="2024-07-16T00:00:00"/>
        <d v="2024-07-17T00:00:00"/>
        <d v="2024-07-18T00:00:00"/>
        <d v="2024-07-19T00:00:00"/>
        <d v="2024-07-20T00:00:00"/>
        <d v="2024-07-21T00:00:00"/>
        <d v="2024-07-22T00:00:00"/>
        <d v="2024-07-23T00:00:00"/>
        <d v="2024-07-24T00:00:00"/>
        <d v="2024-07-25T00:00:00"/>
        <d v="2024-07-26T00:00:00"/>
        <d v="2024-07-27T00:00:00"/>
        <d v="2024-07-28T00:00:00"/>
        <d v="2024-07-29T00:00:00"/>
        <d v="2024-07-30T00:00:00"/>
        <d v="2024-07-31T00:00:00"/>
        <d v="2024-08-01T00:00:00"/>
        <d v="2024-08-02T00:00:00"/>
        <d v="2024-08-03T00:00:00"/>
        <d v="2024-08-04T00:00:00"/>
        <d v="2024-08-05T00:00:00"/>
        <d v="2024-08-06T00:00:00"/>
        <d v="2024-08-07T00:00:00"/>
        <d v="2024-08-08T00:00:00"/>
        <d v="2024-08-09T00:00:00"/>
        <d v="2024-08-10T00:00:00"/>
        <d v="2024-08-11T00:00:00"/>
        <d v="2024-08-12T00:00:00"/>
        <d v="2024-08-13T00:00:00"/>
        <d v="2024-08-14T00:00:00"/>
        <d v="2024-08-15T00:00:00"/>
        <d v="2024-08-16T00:00:00"/>
        <d v="2024-08-17T00:00:00"/>
        <d v="2024-08-18T00:00:00"/>
        <d v="2024-08-19T00:00:00"/>
        <d v="2024-08-20T00:00:00"/>
        <d v="2024-08-21T00:00:00"/>
        <d v="2024-08-22T00:00:00"/>
        <d v="2024-08-23T00:00:00"/>
        <d v="2024-08-24T00:00:00"/>
        <d v="2024-08-25T00:00:00"/>
        <d v="2024-08-26T00:00:00"/>
        <d v="2024-08-27T00:00:00"/>
        <d v="2024-08-28T00:00:00"/>
        <d v="2024-08-29T00:00:00"/>
        <d v="2024-08-30T00:00:00"/>
        <d v="2024-08-31T00:00:00"/>
        <d v="2024-09-01T00:00:00"/>
        <d v="2024-09-02T00:00:00"/>
        <d v="2024-09-03T00:00:00"/>
        <d v="2024-09-04T00:00:00"/>
        <d v="2024-09-05T00:00:00"/>
        <d v="2024-09-06T00:00:00"/>
        <d v="2024-09-07T00:00:00"/>
        <d v="2024-09-08T00:00:00"/>
        <d v="2024-09-09T00:00:00"/>
        <d v="2024-09-10T00:00:00"/>
        <d v="2024-09-11T00:00:00"/>
        <d v="2024-09-12T00:00:00"/>
        <d v="2024-09-13T00:00:00"/>
        <d v="2024-09-14T00:00:00"/>
        <d v="2024-09-15T00:00:00"/>
        <d v="2024-09-16T00:00:00"/>
        <d v="2024-09-17T00:00:00"/>
        <d v="2024-09-18T00:00:00"/>
        <d v="2024-09-19T00:00:00"/>
        <d v="2024-09-20T00:00:00"/>
        <d v="2024-09-21T00:00:00"/>
        <d v="2024-09-22T00:00:00"/>
        <d v="2024-09-23T00:00:00"/>
        <d v="2024-09-24T00:00:00"/>
        <d v="2024-09-25T00:00:00"/>
        <d v="2024-09-26T00:00:00"/>
        <d v="2024-09-27T00:00:00"/>
        <d v="2024-09-28T00:00:00"/>
        <d v="2024-09-29T00:00:00"/>
        <d v="2024-09-30T00:00:00"/>
        <d v="2024-10-01T00:00:00"/>
        <d v="2024-10-02T00:00:00"/>
        <d v="2024-10-03T00:00:00"/>
        <d v="2024-10-04T00:00:00"/>
        <d v="2024-10-05T00:00:00"/>
        <d v="2024-10-06T00:00:00"/>
        <d v="2024-10-07T00:00:00"/>
        <d v="2024-10-08T00:00:00"/>
        <d v="2024-10-09T00:00:00"/>
        <d v="2024-10-10T00:00:00"/>
        <d v="2024-10-11T00:00:00"/>
        <d v="2024-10-12T00:00:00"/>
        <d v="2024-10-13T00:00:00"/>
        <d v="2024-10-14T00:00:00"/>
        <d v="2024-10-15T00:00:00"/>
        <d v="2024-10-16T00:00:00"/>
        <d v="2024-10-17T00:00:00"/>
        <d v="2024-10-18T00:00:00"/>
        <d v="2024-10-19T00:00:00"/>
        <d v="2024-10-20T00:00:00"/>
        <d v="2024-10-21T00:00:00"/>
        <d v="2024-10-22T00:00:00"/>
        <d v="2024-10-23T00:00:00"/>
        <d v="2024-10-24T00:00:00"/>
        <d v="2024-10-25T00:00:00"/>
        <d v="2024-10-26T00:00:00"/>
        <d v="2024-10-27T00:00:00"/>
        <d v="2024-10-28T00:00:00"/>
        <d v="2024-10-29T00:00:00"/>
        <d v="2024-10-30T00:00:00"/>
        <d v="2024-10-31T00:00:00"/>
        <d v="2024-11-01T00:00:00"/>
        <d v="2024-11-02T00:00:00"/>
        <d v="2024-11-03T00:00:00"/>
        <d v="2024-11-04T00:00:00"/>
        <d v="2024-11-05T00:00:00"/>
        <d v="2024-11-06T00:00:00"/>
        <d v="2024-11-07T00:00:00"/>
        <d v="2024-11-08T00:00:00"/>
        <d v="2024-11-09T00:00:00"/>
        <d v="2024-11-10T00:00:00"/>
        <d v="2024-11-11T00:00:00"/>
        <d v="2024-11-12T00:00:00"/>
        <d v="2024-11-13T00:00:00"/>
        <d v="2024-11-14T00:00:00"/>
        <d v="2024-11-15T00:00:00"/>
        <d v="2024-11-16T00:00:00"/>
        <d v="2024-11-17T00:00:00"/>
        <d v="2024-11-18T00:00:00"/>
        <d v="2024-11-19T00:00:00"/>
        <d v="2024-11-20T00:00:00"/>
        <d v="2024-11-21T00:00:00"/>
        <d v="2024-11-22T00:00:00"/>
        <d v="2024-11-23T00:00:00"/>
        <d v="2024-11-24T00:00:00"/>
        <d v="2024-11-25T00:00:00"/>
        <d v="2024-11-26T00:00:00"/>
        <d v="2024-11-27T00:00:00"/>
        <d v="2024-11-28T00:00:00"/>
        <d v="2024-11-29T00:00:00"/>
        <d v="2024-11-30T00:00:00"/>
        <d v="2024-12-01T00:00:00"/>
        <d v="2024-12-02T00:00:00"/>
        <d v="2024-12-03T00:00:00"/>
        <d v="2024-12-04T00:00:00"/>
        <d v="2024-12-05T00:00:00"/>
        <d v="2024-12-06T00:00:00"/>
        <d v="2024-12-07T00:00:00"/>
        <d v="2024-12-08T00:00:00"/>
        <d v="2024-12-09T00:00:00"/>
        <d v="2024-12-10T00:00:00"/>
        <d v="2024-12-11T00:00:00"/>
        <d v="2024-12-12T00:00:00"/>
        <d v="2024-12-13T00:00:00"/>
        <d v="2024-12-14T00:00:00"/>
        <d v="2024-12-15T00:00:00"/>
        <d v="2024-12-16T00:00:00"/>
        <d v="2024-12-17T00:00:00"/>
        <d v="2024-12-18T00:00:00"/>
        <d v="2024-12-19T00:00:00"/>
        <d v="2024-12-20T00:00:00"/>
        <d v="2024-12-21T00:00:00"/>
        <d v="2024-12-22T00:00:00"/>
        <d v="2024-12-23T00:00:00"/>
        <d v="2024-12-24T00:00:00"/>
        <d v="2024-12-25T00:00:00"/>
        <d v="2024-12-26T00:00:00"/>
        <d v="2024-12-27T00:00:00"/>
        <d v="2024-12-28T00:00:00"/>
      </sharedItems>
      <fieldGroup par="30"/>
    </cacheField>
    <cacheField name="entrada_kg" numFmtId="0">
      <sharedItems containsSemiMixedTypes="0" containsString="0" containsNumber="1" containsInteger="1" minValue="0" maxValue="5972"/>
    </cacheField>
    <cacheField name="entrada_litros" numFmtId="0">
      <sharedItems containsSemiMixedTypes="0" containsString="0" containsNumber="1" containsInteger="1" minValue="0" maxValue="5798"/>
    </cacheField>
    <cacheField name="entrada_grasa_g_l" numFmtId="0">
      <sharedItems containsSemiMixedTypes="0" containsString="0" containsNumber="1" minValue="0" maxValue="46.77"/>
    </cacheField>
    <cacheField name="entrada_prot_g_l" numFmtId="0">
      <sharedItems containsSemiMixedTypes="0" containsString="0" containsNumber="1" minValue="0" maxValue="37.97"/>
    </cacheField>
    <cacheField name="cuba_fab_litros" numFmtId="0">
      <sharedItems containsSemiMixedTypes="0" containsString="0" containsNumber="1" containsInteger="1" minValue="0" maxValue="7107"/>
    </cacheField>
    <cacheField name="cuba_fab_grasa_g_l" numFmtId="0">
      <sharedItems containsSemiMixedTypes="0" containsString="0" containsNumber="1" minValue="0" maxValue="42.6"/>
    </cacheField>
    <cacheField name="cuba_fab_prot_g_l" numFmtId="0">
      <sharedItems containsSemiMixedTypes="0" containsString="0" containsNumber="1" minValue="0" maxValue="35.590000000000003"/>
    </cacheField>
    <cacheField name="stock_cierre_litros" numFmtId="0">
      <sharedItems containsSemiMixedTypes="0" containsString="0" containsNumber="1" containsInteger="1" minValue="0" maxValue="7077"/>
    </cacheField>
    <cacheField name="queso_kg" numFmtId="0">
      <sharedItems containsSemiMixedTypes="0" containsString="0" containsNumber="1" minValue="0" maxValue="864.66"/>
    </cacheField>
    <cacheField name="queso_est_pct" numFmtId="0">
      <sharedItems containsSemiMixedTypes="0" containsString="0" containsNumber="1" minValue="0" maxValue="55.48"/>
    </cacheField>
    <cacheField name="queso_mg_pct" numFmtId="0">
      <sharedItems containsSemiMixedTypes="0" containsString="0" containsNumber="1" minValue="0" maxValue="29.23"/>
    </cacheField>
    <cacheField name="suero_litros" numFmtId="0">
      <sharedItems containsSemiMixedTypes="0" containsString="0" containsNumber="1" containsInteger="1" minValue="0" maxValue="6298"/>
    </cacheField>
    <cacheField name="suero_grasa_g_l" numFmtId="0">
      <sharedItems containsSemiMixedTypes="0" containsString="0" containsNumber="1" minValue="0" maxValue="12.49"/>
    </cacheField>
    <cacheField name="suero_prot_g_l" numFmtId="0">
      <sharedItems containsSemiMixedTypes="0" containsString="0" containsNumber="1" minValue="0" maxValue="9.6999999999999993"/>
    </cacheField>
    <cacheField name="suero_est_g_l" numFmtId="0">
      <sharedItems containsSemiMixedTypes="0" containsString="0" containsNumber="1" minValue="0" maxValue="72.16"/>
    </cacheField>
    <cacheField name="entrada_grasa_kg" numFmtId="0">
      <sharedItems containsSemiMixedTypes="0" containsString="0" containsNumber="1" minValue="0" maxValue="250.87946000000002"/>
    </cacheField>
    <cacheField name="entrada_prot_kg" numFmtId="0">
      <sharedItems containsSemiMixedTypes="0" containsString="0" containsNumber="1" minValue="0" maxValue="206.04921999999999"/>
    </cacheField>
    <cacheField name="cuba_fab_grasa_kg" numFmtId="0">
      <sharedItems containsSemiMixedTypes="0" containsString="0" containsNumber="1" minValue="0" maxValue="287.54922000000005"/>
    </cacheField>
    <cacheField name="cuba_fab_prot_kg" numFmtId="0">
      <sharedItems containsSemiMixedTypes="0" containsString="0" containsNumber="1" minValue="0" maxValue="246.25754999999998"/>
    </cacheField>
    <cacheField name="queso_est_kg" numFmtId="0">
      <sharedItems containsSemiMixedTypes="0" containsString="0" containsNumber="1" minValue="0" maxValue="458.97239999999999"/>
    </cacheField>
    <cacheField name="queso_mg_kg" numFmtId="0">
      <sharedItems containsSemiMixedTypes="0" containsString="0" containsNumber="1" minValue="0" maxValue="236.59703999999999"/>
    </cacheField>
    <cacheField name="queso_esm_kg" numFmtId="0">
      <sharedItems containsSemiMixedTypes="0" containsString="0" containsNumber="1" minValue="0" maxValue="222.37536"/>
    </cacheField>
    <cacheField name="semanaISO" numFmtId="0">
      <sharedItems containsSemiMixedTypes="0" containsString="0" containsNumber="1" containsInteger="1" minValue="1" maxValue="52"/>
    </cacheField>
    <cacheField name="semana" numFmtId="0">
      <sharedItems containsSemiMixedTypes="0" containsString="0" containsNumber="1" containsInteger="1" minValue="1" maxValue="52"/>
    </cacheField>
    <cacheField name="suero_grasa_kg" numFmtId="0">
      <sharedItems containsSemiMixedTypes="0" containsString="0" containsNumber="1" minValue="0" maxValue="55.667929999999998"/>
    </cacheField>
    <cacheField name="suero_prot_kg" numFmtId="0">
      <sharedItems containsSemiMixedTypes="0" containsString="0" containsNumber="1" minValue="0" maxValue="52.65128"/>
    </cacheField>
    <cacheField name="suero_est_kg" numFmtId="0">
      <sharedItems containsSemiMixedTypes="0" containsString="0" containsNumber="1" minValue="0" maxValue="427.00439999999998"/>
    </cacheField>
    <cacheField name="Meses (fecha)" numFmtId="0" databaseField="0">
      <fieldGroup base="0">
        <rangePr groupBy="months" startDate="2023-12-31T00:00:00" endDate="2024-12-29T00:00:00"/>
        <groupItems count="14">
          <s v="&lt;31/12/2023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29/12/2024"/>
        </groupItems>
      </fieldGroup>
    </cacheField>
    <cacheField name="Trimestres (fecha)" numFmtId="0" databaseField="0">
      <fieldGroup base="0">
        <rangePr groupBy="quarters" startDate="2023-12-31T00:00:00" endDate="2024-12-29T00:00:00"/>
        <groupItems count="6">
          <s v="&lt;31/12/2023"/>
          <s v="Trim.1"/>
          <s v="Trim.2"/>
          <s v="Trim.3"/>
          <s v="Trim.4"/>
          <s v="&gt;29/12/2024"/>
        </groupItems>
      </fieldGroup>
    </cacheField>
    <cacheField name="Años (fecha)" numFmtId="0" databaseField="0">
      <fieldGroup base="0">
        <rangePr groupBy="years" startDate="2023-12-31T00:00:00" endDate="2024-12-29T00:00:00"/>
        <groupItems count="4">
          <s v="&lt;31/12/2023"/>
          <s v="2023"/>
          <s v="2024"/>
          <s v="&gt;29/12/2024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4">
  <r>
    <x v="0"/>
    <n v="5654"/>
    <n v="5489"/>
    <n v="41.47"/>
    <n v="35.83"/>
    <n v="0"/>
    <n v="0"/>
    <n v="0"/>
    <n v="5489"/>
    <n v="0"/>
    <n v="0"/>
    <n v="0"/>
    <n v="0"/>
    <n v="0"/>
    <n v="0"/>
    <n v="0"/>
    <n v="227.62882999999999"/>
    <n v="196.67087000000001"/>
    <n v="0"/>
    <n v="0"/>
    <n v="0"/>
    <n v="0"/>
    <n v="0"/>
    <n v="52"/>
    <n v="1"/>
    <n v="0"/>
    <n v="0"/>
    <n v="0"/>
  </r>
  <r>
    <x v="1"/>
    <n v="5077"/>
    <n v="4929"/>
    <n v="42.7"/>
    <n v="35.9"/>
    <n v="5023"/>
    <n v="40.68"/>
    <n v="34.51"/>
    <n v="5418"/>
    <n v="595.12"/>
    <n v="52.8"/>
    <n v="27.91"/>
    <n v="4467"/>
    <n v="8.4499999999999993"/>
    <n v="6.96"/>
    <n v="66.73"/>
    <n v="210.46830000000003"/>
    <n v="176.9511"/>
    <n v="204.33563999999998"/>
    <n v="173.34372999999999"/>
    <n v="314.22336000000001"/>
    <n v="166.097992"/>
    <n v="148.12536800000001"/>
    <n v="1"/>
    <n v="1"/>
    <n v="37.746149999999993"/>
    <n v="31.090319999999998"/>
    <n v="298.08291000000003"/>
  </r>
  <r>
    <x v="2"/>
    <n v="5339"/>
    <n v="5183"/>
    <n v="42.53"/>
    <n v="37.01"/>
    <n v="5027"/>
    <n v="40.299999999999997"/>
    <n v="34.840000000000003"/>
    <n v="5601"/>
    <n v="602.30999999999995"/>
    <n v="52.42"/>
    <n v="28.15"/>
    <n v="4464"/>
    <n v="7.26"/>
    <n v="7.55"/>
    <n v="66.489999999999995"/>
    <n v="220.43299000000002"/>
    <n v="191.82282999999998"/>
    <n v="202.58809999999997"/>
    <n v="175.14068000000003"/>
    <n v="315.73090200000001"/>
    <n v="169.55026499999997"/>
    <n v="146.18063700000005"/>
    <n v="1"/>
    <n v="1"/>
    <n v="32.408639999999998"/>
    <n v="33.703199999999995"/>
    <n v="296.81135999999998"/>
  </r>
  <r>
    <x v="3"/>
    <n v="5075"/>
    <n v="4927"/>
    <n v="39.5"/>
    <n v="37.85"/>
    <n v="5022"/>
    <n v="39.020000000000003"/>
    <n v="35.590000000000003"/>
    <n v="5528"/>
    <n v="606.9"/>
    <n v="51.68"/>
    <n v="27.7"/>
    <n v="4454"/>
    <n v="6.11"/>
    <n v="8.44"/>
    <n v="65.599999999999994"/>
    <n v="194.6165"/>
    <n v="186.48695000000001"/>
    <n v="195.95844"/>
    <n v="178.73298"/>
    <n v="313.64591999999999"/>
    <n v="168.11129999999997"/>
    <n v="145.53462000000002"/>
    <n v="1"/>
    <n v="1"/>
    <n v="27.213940000000001"/>
    <n v="37.591759999999994"/>
    <n v="292.18239999999997"/>
  </r>
  <r>
    <x v="4"/>
    <n v="5675"/>
    <n v="5510"/>
    <n v="42.63"/>
    <n v="34.28"/>
    <n v="5031"/>
    <n v="39.729999999999997"/>
    <n v="33.78"/>
    <n v="6038"/>
    <n v="612.98"/>
    <n v="52.41"/>
    <n v="27.77"/>
    <n v="4458"/>
    <n v="6.47"/>
    <n v="7.96"/>
    <n v="65.69"/>
    <n v="234.89130000000003"/>
    <n v="188.88280000000003"/>
    <n v="199.88162999999997"/>
    <n v="169.94718"/>
    <n v="321.26281799999998"/>
    <n v="170.224546"/>
    <n v="151.03827199999998"/>
    <n v="1"/>
    <n v="1"/>
    <n v="28.843259999999997"/>
    <n v="35.485680000000002"/>
    <n v="292.84602000000001"/>
  </r>
  <r>
    <x v="5"/>
    <n v="0"/>
    <n v="0"/>
    <n v="0"/>
    <n v="0"/>
    <n v="6055"/>
    <n v="39.85"/>
    <n v="34.61"/>
    <n v="0"/>
    <n v="739.59"/>
    <n v="51.57"/>
    <n v="27.12"/>
    <n v="5363"/>
    <n v="7.49"/>
    <n v="7.34"/>
    <n v="65.53"/>
    <n v="0"/>
    <n v="0"/>
    <n v="241.29175000000001"/>
    <n v="209.56354999999999"/>
    <n v="381.40656300000001"/>
    <n v="200.57680800000003"/>
    <n v="180.82975499999998"/>
    <n v="1"/>
    <n v="1"/>
    <n v="40.168870000000005"/>
    <n v="39.364419999999996"/>
    <n v="351.43738999999999"/>
  </r>
  <r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1"/>
    <n v="0"/>
    <n v="0"/>
    <n v="0"/>
  </r>
  <r>
    <x v="7"/>
    <n v="5276"/>
    <n v="5122"/>
    <n v="42.73"/>
    <n v="35.61"/>
    <n v="0"/>
    <n v="0"/>
    <n v="0"/>
    <n v="5122"/>
    <n v="0"/>
    <n v="0"/>
    <n v="0"/>
    <n v="0"/>
    <n v="0"/>
    <n v="0"/>
    <n v="0"/>
    <n v="218.86305999999999"/>
    <n v="182.39442"/>
    <n v="0"/>
    <n v="0"/>
    <n v="0"/>
    <n v="0"/>
    <n v="0"/>
    <n v="1"/>
    <n v="2"/>
    <n v="0"/>
    <n v="0"/>
    <n v="0"/>
  </r>
  <r>
    <x v="8"/>
    <n v="5220"/>
    <n v="5068"/>
    <n v="43.1"/>
    <n v="35.299999999999997"/>
    <n v="5023"/>
    <n v="40.69"/>
    <n v="33.79"/>
    <n v="5190"/>
    <n v="666.77"/>
    <n v="52.51"/>
    <n v="26.94"/>
    <n v="4397"/>
    <n v="5.55"/>
    <n v="3.1"/>
    <n v="57.33"/>
    <n v="218.4308"/>
    <n v="178.90039999999999"/>
    <n v="204.38586999999998"/>
    <n v="169.72716999999997"/>
    <n v="350.12092699999999"/>
    <n v="179.627838"/>
    <n v="170.493089"/>
    <n v="2"/>
    <n v="2"/>
    <n v="24.40335"/>
    <n v="13.630700000000001"/>
    <n v="252.08000999999999"/>
  </r>
  <r>
    <x v="9"/>
    <n v="4733"/>
    <n v="4595"/>
    <n v="43.37"/>
    <n v="35.770000000000003"/>
    <n v="5030"/>
    <n v="41.49"/>
    <n v="33.979999999999997"/>
    <n v="4785"/>
    <n v="599.49"/>
    <n v="52.45"/>
    <n v="27.1"/>
    <n v="4470"/>
    <n v="10.19"/>
    <n v="6.65"/>
    <n v="67.27"/>
    <n v="199.28514999999999"/>
    <n v="164.36315000000002"/>
    <n v="208.69470000000001"/>
    <n v="170.9194"/>
    <n v="314.43250499999999"/>
    <n v="162.46179000000001"/>
    <n v="151.97071499999998"/>
    <n v="2"/>
    <n v="2"/>
    <n v="45.549299999999995"/>
    <n v="29.7255"/>
    <n v="300.69689999999997"/>
  </r>
  <r>
    <x v="10"/>
    <n v="4819"/>
    <n v="4679"/>
    <n v="41.81"/>
    <n v="34.909999999999997"/>
    <n v="5030"/>
    <n v="40.6"/>
    <n v="33.590000000000003"/>
    <n v="4464"/>
    <n v="608.41999999999996"/>
    <n v="52.84"/>
    <n v="27.34"/>
    <n v="4461"/>
    <n v="8.33"/>
    <n v="6.52"/>
    <n v="65.959999999999994"/>
    <n v="195.62899000000002"/>
    <n v="163.34388999999999"/>
    <n v="204.21799999999999"/>
    <n v="168.95770000000002"/>
    <n v="321.48912799999999"/>
    <n v="166.342028"/>
    <n v="155.14709999999999"/>
    <n v="2"/>
    <n v="2"/>
    <n v="37.160129999999995"/>
    <n v="29.085719999999998"/>
    <n v="294.24756000000002"/>
  </r>
  <r>
    <x v="11"/>
    <n v="4898"/>
    <n v="4755"/>
    <n v="42.5"/>
    <n v="35.51"/>
    <n v="5014"/>
    <n v="40.97"/>
    <n v="33.85"/>
    <n v="4219"/>
    <n v="613.08000000000004"/>
    <n v="53.21"/>
    <n v="27.65"/>
    <n v="4440"/>
    <n v="8"/>
    <n v="5.99"/>
    <n v="66.3"/>
    <n v="202.08750000000001"/>
    <n v="168.85004999999998"/>
    <n v="205.42357999999999"/>
    <n v="169.72389999999999"/>
    <n v="326.21986800000002"/>
    <n v="169.51661999999999"/>
    <n v="156.70324800000003"/>
    <n v="2"/>
    <n v="2"/>
    <n v="35.520000000000003"/>
    <n v="26.595600000000001"/>
    <n v="294.37200000000001"/>
  </r>
  <r>
    <x v="12"/>
    <n v="0"/>
    <n v="0"/>
    <n v="0"/>
    <n v="0"/>
    <n v="4236"/>
    <n v="40.68"/>
    <n v="34.22"/>
    <n v="0"/>
    <n v="527.29"/>
    <n v="50.83"/>
    <n v="26.01"/>
    <n v="3742"/>
    <n v="9.1199999999999992"/>
    <n v="6.48"/>
    <n v="66.45"/>
    <n v="0"/>
    <n v="0"/>
    <n v="172.32048"/>
    <n v="144.95591999999999"/>
    <n v="268.02150699999999"/>
    <n v="137.14812899999998"/>
    <n v="130.873378"/>
    <n v="2"/>
    <n v="2"/>
    <n v="34.127039999999994"/>
    <n v="24.248159999999999"/>
    <n v="248.65590000000003"/>
  </r>
  <r>
    <x v="1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2"/>
    <n v="0"/>
    <n v="0"/>
    <n v="0"/>
  </r>
  <r>
    <x v="14"/>
    <n v="5157"/>
    <n v="5007"/>
    <n v="41.61"/>
    <n v="37.01"/>
    <n v="0"/>
    <n v="0"/>
    <n v="0"/>
    <n v="5007"/>
    <n v="0"/>
    <n v="0"/>
    <n v="0"/>
    <n v="0"/>
    <n v="0"/>
    <n v="0"/>
    <n v="0"/>
    <n v="208.34126999999998"/>
    <n v="185.30906999999999"/>
    <n v="0"/>
    <n v="0"/>
    <n v="0"/>
    <n v="0"/>
    <n v="0"/>
    <n v="2"/>
    <n v="3"/>
    <n v="0"/>
    <n v="0"/>
    <n v="0"/>
  </r>
  <r>
    <x v="15"/>
    <n v="4731"/>
    <n v="4593"/>
    <n v="41.78"/>
    <n v="35.78"/>
    <n v="5020"/>
    <n v="39.51"/>
    <n v="34.67"/>
    <n v="4600"/>
    <n v="639.62"/>
    <n v="53.05"/>
    <n v="27.64"/>
    <n v="4420"/>
    <n v="4.8"/>
    <n v="5.52"/>
    <n v="61.02"/>
    <n v="191.89554000000001"/>
    <n v="164.33754000000002"/>
    <n v="198.34019999999998"/>
    <n v="174.04339999999999"/>
    <n v="339.31841000000003"/>
    <n v="176.79096799999999"/>
    <n v="162.52744200000004"/>
    <n v="3"/>
    <n v="3"/>
    <n v="21.216000000000001"/>
    <n v="24.398399999999999"/>
    <n v="269.70840000000004"/>
  </r>
  <r>
    <x v="16"/>
    <n v="5018"/>
    <n v="4872"/>
    <n v="43.23"/>
    <n v="36.130000000000003"/>
    <n v="5015"/>
    <n v="40.58"/>
    <n v="34.71"/>
    <n v="4472"/>
    <n v="624.45000000000005"/>
    <n v="51.01"/>
    <n v="26.27"/>
    <n v="4430"/>
    <n v="8.67"/>
    <n v="6.83"/>
    <n v="64.61"/>
    <n v="210.61655999999999"/>
    <n v="176.02536000000001"/>
    <n v="203.50869999999998"/>
    <n v="174.07065"/>
    <n v="318.53194500000001"/>
    <n v="164.04301500000003"/>
    <n v="154.48892999999998"/>
    <n v="3"/>
    <n v="3"/>
    <n v="38.408099999999997"/>
    <n v="30.256900000000002"/>
    <n v="286.22229999999996"/>
  </r>
  <r>
    <x v="17"/>
    <n v="5535"/>
    <n v="5374"/>
    <n v="40.46"/>
    <n v="36.47"/>
    <n v="5023"/>
    <n v="39.32"/>
    <n v="34.69"/>
    <n v="4846"/>
    <n v="645.55999999999995"/>
    <n v="51.76"/>
    <n v="27.55"/>
    <n v="4418"/>
    <n v="4.3600000000000003"/>
    <n v="6.21"/>
    <n v="63.07"/>
    <n v="217.43204"/>
    <n v="195.98978"/>
    <n v="197.50436000000002"/>
    <n v="174.24787000000001"/>
    <n v="334.14185599999996"/>
    <n v="177.85177999999999"/>
    <n v="156.29007599999997"/>
    <n v="3"/>
    <n v="3"/>
    <n v="19.262480000000004"/>
    <n v="27.435779999999998"/>
    <n v="278.64326"/>
  </r>
  <r>
    <x v="18"/>
    <n v="5364"/>
    <n v="5208"/>
    <n v="43.34"/>
    <n v="34.880000000000003"/>
    <n v="5023"/>
    <n v="40.65"/>
    <n v="34.08"/>
    <n v="5054"/>
    <n v="599.72"/>
    <n v="50.07"/>
    <n v="26.12"/>
    <n v="4462"/>
    <n v="10.51"/>
    <n v="6.36"/>
    <n v="66.260000000000005"/>
    <n v="225.71472000000003"/>
    <n v="181.65504000000001"/>
    <n v="204.18494999999999"/>
    <n v="171.18384"/>
    <n v="300.27980400000001"/>
    <n v="156.64686399999999"/>
    <n v="143.63294000000002"/>
    <n v="3"/>
    <n v="3"/>
    <n v="46.895620000000001"/>
    <n v="28.378319999999999"/>
    <n v="295.65211999999997"/>
  </r>
  <r>
    <x v="19"/>
    <n v="0"/>
    <n v="0"/>
    <n v="0"/>
    <n v="0"/>
    <n v="5086"/>
    <n v="40.43"/>
    <n v="34.28"/>
    <n v="0"/>
    <n v="647.78"/>
    <n v="51.36"/>
    <n v="26.31"/>
    <n v="4479"/>
    <n v="7.7"/>
    <n v="4.67"/>
    <n v="64.27"/>
    <n v="0"/>
    <n v="0"/>
    <n v="205.62698"/>
    <n v="174.34808000000001"/>
    <n v="332.69980799999996"/>
    <n v="170.43091799999999"/>
    <n v="162.26888999999997"/>
    <n v="3"/>
    <n v="3"/>
    <n v="34.488300000000002"/>
    <n v="20.916930000000001"/>
    <n v="287.86532999999997"/>
  </r>
  <r>
    <x v="2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"/>
    <n v="3"/>
    <n v="0"/>
    <n v="0"/>
    <n v="0"/>
  </r>
  <r>
    <x v="21"/>
    <n v="4846"/>
    <n v="4705"/>
    <n v="42.02"/>
    <n v="35.83"/>
    <n v="0"/>
    <n v="0"/>
    <n v="0"/>
    <n v="4705"/>
    <n v="0"/>
    <n v="0"/>
    <n v="0"/>
    <n v="0"/>
    <n v="0"/>
    <n v="0"/>
    <n v="0"/>
    <n v="197.70410000000001"/>
    <n v="168.58015"/>
    <n v="0"/>
    <n v="0"/>
    <n v="0"/>
    <n v="0"/>
    <n v="0"/>
    <n v="3"/>
    <n v="4"/>
    <n v="0"/>
    <n v="0"/>
    <n v="0"/>
  </r>
  <r>
    <x v="22"/>
    <n v="5228"/>
    <n v="5076"/>
    <n v="46.77"/>
    <n v="35.49"/>
    <n v="5024"/>
    <n v="42.6"/>
    <n v="34.200000000000003"/>
    <n v="4781"/>
    <n v="614.11"/>
    <n v="53.06"/>
    <n v="28.3"/>
    <n v="4449"/>
    <n v="8.86"/>
    <n v="6.25"/>
    <n v="68.040000000000006"/>
    <n v="237.40452000000002"/>
    <n v="180.14724000000001"/>
    <n v="214.0224"/>
    <n v="171.82080000000002"/>
    <n v="325.846766"/>
    <n v="173.79313000000002"/>
    <n v="152.05363599999998"/>
    <n v="4"/>
    <n v="4"/>
    <n v="39.418140000000001"/>
    <n v="27.806249999999999"/>
    <n v="302.70996000000002"/>
  </r>
  <r>
    <x v="23"/>
    <n v="4899"/>
    <n v="4756"/>
    <n v="40.299999999999997"/>
    <n v="36.71"/>
    <n v="5022"/>
    <n v="40.56"/>
    <n v="34.520000000000003"/>
    <n v="4537"/>
    <n v="616.08000000000004"/>
    <n v="53.14"/>
    <n v="27.9"/>
    <n v="4445"/>
    <n v="7.07"/>
    <n v="7.12"/>
    <n v="65.400000000000006"/>
    <n v="191.66679999999999"/>
    <n v="174.59276"/>
    <n v="203.69232"/>
    <n v="173.35944000000001"/>
    <n v="327.38491200000004"/>
    <n v="171.88632000000001"/>
    <n v="155.49859200000003"/>
    <n v="4"/>
    <n v="4"/>
    <n v="31.42615"/>
    <n v="31.648400000000002"/>
    <n v="290.70299999999997"/>
  </r>
  <r>
    <x v="24"/>
    <n v="5189"/>
    <n v="5038"/>
    <n v="43.83"/>
    <n v="35.200000000000003"/>
    <n v="5023"/>
    <n v="41.07"/>
    <n v="34.06"/>
    <n v="4575"/>
    <n v="626.76"/>
    <n v="53.6"/>
    <n v="27.58"/>
    <n v="4436"/>
    <n v="7.4"/>
    <n v="5.36"/>
    <n v="64.209999999999994"/>
    <n v="220.81553999999997"/>
    <n v="177.33760000000001"/>
    <n v="206.29461000000001"/>
    <n v="171.08338000000001"/>
    <n v="335.94336000000004"/>
    <n v="172.86040799999998"/>
    <n v="163.08295200000006"/>
    <n v="4"/>
    <n v="4"/>
    <n v="32.8264"/>
    <n v="23.776960000000003"/>
    <n v="284.83555999999999"/>
  </r>
  <r>
    <x v="25"/>
    <n v="5358"/>
    <n v="5202"/>
    <n v="41.55"/>
    <n v="35.630000000000003"/>
    <n v="5027"/>
    <n v="40.67"/>
    <n v="33.68"/>
    <n v="4777"/>
    <n v="657.54"/>
    <n v="51.58"/>
    <n v="26.13"/>
    <n v="4410"/>
    <n v="7.23"/>
    <n v="3.64"/>
    <n v="62.52"/>
    <n v="216.14309999999998"/>
    <n v="185.34726000000001"/>
    <n v="204.44809000000001"/>
    <n v="169.30936"/>
    <n v="339.15913199999994"/>
    <n v="171.815202"/>
    <n v="167.34392999999994"/>
    <n v="4"/>
    <n v="4"/>
    <n v="31.884300000000003"/>
    <n v="16.052400000000002"/>
    <n v="275.71320000000003"/>
  </r>
  <r>
    <x v="26"/>
    <n v="0"/>
    <n v="0"/>
    <n v="0"/>
    <n v="0"/>
    <n v="4796"/>
    <n v="40.32"/>
    <n v="34.39"/>
    <n v="0"/>
    <n v="618.37"/>
    <n v="50.59"/>
    <n v="26.7"/>
    <n v="4216"/>
    <n v="6.6"/>
    <n v="5.46"/>
    <n v="63.81"/>
    <n v="0"/>
    <n v="0"/>
    <n v="193.37472"/>
    <n v="164.93444"/>
    <n v="312.83338300000003"/>
    <n v="165.10478999999998"/>
    <n v="147.72859300000005"/>
    <n v="4"/>
    <n v="4"/>
    <n v="27.825599999999998"/>
    <n v="23.019359999999999"/>
    <n v="269.02296000000001"/>
  </r>
  <r>
    <x v="2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"/>
    <n v="4"/>
    <n v="0"/>
    <n v="0"/>
    <n v="0"/>
  </r>
  <r>
    <x v="28"/>
    <n v="5972"/>
    <n v="5798"/>
    <n v="43.27"/>
    <n v="35.380000000000003"/>
    <n v="0"/>
    <n v="0"/>
    <n v="0"/>
    <n v="5798"/>
    <n v="0"/>
    <n v="0"/>
    <n v="0"/>
    <n v="0"/>
    <n v="0"/>
    <n v="0"/>
    <n v="0"/>
    <n v="250.87946000000002"/>
    <n v="205.13324000000003"/>
    <n v="0"/>
    <n v="0"/>
    <n v="0"/>
    <n v="0"/>
    <n v="0"/>
    <n v="4"/>
    <n v="5"/>
    <n v="0"/>
    <n v="0"/>
    <n v="0"/>
  </r>
  <r>
    <x v="29"/>
    <n v="5301"/>
    <n v="5147"/>
    <n v="41.76"/>
    <n v="37.229999999999997"/>
    <n v="5028"/>
    <n v="40.61"/>
    <n v="34.46"/>
    <n v="5945"/>
    <n v="640.54999999999995"/>
    <n v="51.76"/>
    <n v="27.28"/>
    <n v="4428"/>
    <n v="6.51"/>
    <n v="5.14"/>
    <n v="62.19"/>
    <n v="214.93871999999999"/>
    <n v="191.62280999999999"/>
    <n v="204.18707999999998"/>
    <n v="173.26488000000001"/>
    <n v="331.54867999999993"/>
    <n v="174.74203999999997"/>
    <n v="156.80663999999996"/>
    <n v="5"/>
    <n v="5"/>
    <n v="28.826280000000001"/>
    <n v="22.759919999999997"/>
    <n v="275.37732"/>
  </r>
  <r>
    <x v="30"/>
    <n v="5557"/>
    <n v="5395"/>
    <n v="42.27"/>
    <n v="34.75"/>
    <n v="5026"/>
    <n v="40.49"/>
    <n v="33.549999999999997"/>
    <n v="6340"/>
    <n v="666.51"/>
    <n v="51.75"/>
    <n v="27.2"/>
    <n v="4400"/>
    <n v="4.99"/>
    <n v="4.01"/>
    <n v="59.58"/>
    <n v="228.04665000000003"/>
    <n v="187.47624999999999"/>
    <n v="203.50274000000002"/>
    <n v="168.6223"/>
    <n v="344.918925"/>
    <n v="181.29071999999999"/>
    <n v="163.62820500000001"/>
    <n v="5"/>
    <n v="5"/>
    <n v="21.956"/>
    <n v="17.643999999999998"/>
    <n v="262.15199999999999"/>
  </r>
  <r>
    <x v="31"/>
    <n v="5324"/>
    <n v="5169"/>
    <n v="42.86"/>
    <n v="33.4"/>
    <n v="5029"/>
    <n v="40.549999999999997"/>
    <n v="33.24"/>
    <n v="6509"/>
    <n v="662.04"/>
    <n v="50.4"/>
    <n v="25.84"/>
    <n v="4408"/>
    <n v="7.38"/>
    <n v="3.69"/>
    <n v="61.58"/>
    <n v="221.54334"/>
    <n v="172.6446"/>
    <n v="203.92594999999997"/>
    <n v="167.16396000000003"/>
    <n v="333.66816"/>
    <n v="171.071136"/>
    <n v="162.597024"/>
    <n v="5"/>
    <n v="5"/>
    <n v="32.531040000000004"/>
    <n v="16.265520000000002"/>
    <n v="271.44463999999999"/>
  </r>
  <r>
    <x v="32"/>
    <n v="5446"/>
    <n v="5287"/>
    <n v="44.34"/>
    <n v="34.67"/>
    <n v="5030"/>
    <n v="41.26"/>
    <n v="33.11"/>
    <n v="6796"/>
    <n v="601.17999999999995"/>
    <n v="51.97"/>
    <n v="27.84"/>
    <n v="4468"/>
    <n v="8.85"/>
    <n v="5.81"/>
    <n v="65.739999999999995"/>
    <n v="234.42558000000002"/>
    <n v="183.30029000000002"/>
    <n v="207.53779999999998"/>
    <n v="166.54329999999999"/>
    <n v="312.43324599999994"/>
    <n v="167.36851199999998"/>
    <n v="145.06473399999996"/>
    <n v="5"/>
    <n v="5"/>
    <n v="39.541799999999995"/>
    <n v="25.959079999999997"/>
    <n v="293.72631999999993"/>
  </r>
  <r>
    <x v="33"/>
    <n v="0"/>
    <n v="0"/>
    <n v="0"/>
    <n v="0"/>
    <n v="6827"/>
    <n v="41.77"/>
    <n v="33.06"/>
    <n v="0"/>
    <n v="861.92"/>
    <n v="53.25"/>
    <n v="27.45"/>
    <n v="6019"/>
    <n v="8.01"/>
    <n v="4.09"/>
    <n v="64.040000000000006"/>
    <n v="0"/>
    <n v="0"/>
    <n v="285.16379000000006"/>
    <n v="225.70062000000001"/>
    <n v="458.97239999999999"/>
    <n v="236.59703999999999"/>
    <n v="222.37536"/>
    <n v="5"/>
    <n v="5"/>
    <n v="48.21219"/>
    <n v="24.617709999999999"/>
    <n v="385.45676000000003"/>
  </r>
  <r>
    <x v="3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"/>
    <n v="5"/>
    <n v="0"/>
    <n v="0"/>
    <n v="0"/>
  </r>
  <r>
    <x v="35"/>
    <n v="4994"/>
    <n v="4849"/>
    <n v="44.74"/>
    <n v="36.700000000000003"/>
    <n v="0"/>
    <n v="0"/>
    <n v="0"/>
    <n v="4849"/>
    <n v="0"/>
    <n v="0"/>
    <n v="0"/>
    <n v="0"/>
    <n v="0"/>
    <n v="0"/>
    <n v="0"/>
    <n v="216.94426000000001"/>
    <n v="177.95830000000001"/>
    <n v="0"/>
    <n v="0"/>
    <n v="0"/>
    <n v="0"/>
    <n v="0"/>
    <n v="5"/>
    <n v="6"/>
    <n v="0"/>
    <n v="0"/>
    <n v="0"/>
  </r>
  <r>
    <x v="36"/>
    <n v="5428"/>
    <n v="5270"/>
    <n v="41.25"/>
    <n v="35.89"/>
    <n v="5020"/>
    <n v="41.22"/>
    <n v="34.770000000000003"/>
    <n v="5119"/>
    <n v="623.04999999999995"/>
    <n v="54.53"/>
    <n v="27.7"/>
    <n v="4437"/>
    <n v="7.53"/>
    <n v="6.58"/>
    <n v="65.819999999999993"/>
    <n v="217.38749999999999"/>
    <n v="189.14030000000002"/>
    <n v="206.92439999999999"/>
    <n v="174.54540000000003"/>
    <n v="339.749165"/>
    <n v="172.58484999999996"/>
    <n v="167.16431500000004"/>
    <n v="6"/>
    <n v="6"/>
    <n v="33.410609999999998"/>
    <n v="29.195460000000001"/>
    <n v="292.04333999999994"/>
  </r>
  <r>
    <x v="37"/>
    <n v="4771"/>
    <n v="4632"/>
    <n v="40.869999999999997"/>
    <n v="36.33"/>
    <n v="5027"/>
    <n v="40.03"/>
    <n v="34.47"/>
    <n v="4751"/>
    <n v="638.84"/>
    <n v="50.52"/>
    <n v="26.28"/>
    <n v="4428"/>
    <n v="7.39"/>
    <n v="5.33"/>
    <n v="64.44"/>
    <n v="189.30984000000001"/>
    <n v="168.28056000000001"/>
    <n v="201.23080999999999"/>
    <n v="173.28068999999999"/>
    <n v="322.74196800000004"/>
    <n v="167.88715200000001"/>
    <n v="154.85481600000003"/>
    <n v="6"/>
    <n v="6"/>
    <n v="32.722919999999995"/>
    <n v="23.601240000000001"/>
    <n v="285.34032000000002"/>
  </r>
  <r>
    <x v="38"/>
    <n v="4823"/>
    <n v="4683"/>
    <n v="44.6"/>
    <n v="34.729999999999997"/>
    <n v="5034"/>
    <n v="41.46"/>
    <n v="33.880000000000003"/>
    <n v="4434"/>
    <n v="614.52"/>
    <n v="52.44"/>
    <n v="26.62"/>
    <n v="4459"/>
    <n v="9.89"/>
    <n v="6.06"/>
    <n v="67.459999999999994"/>
    <n v="208.86180000000002"/>
    <n v="162.64059"/>
    <n v="208.70964000000001"/>
    <n v="170.55192000000002"/>
    <n v="322.25428799999997"/>
    <n v="163.58522400000001"/>
    <n v="158.66906399999996"/>
    <n v="6"/>
    <n v="6"/>
    <n v="44.099510000000002"/>
    <n v="27.021539999999998"/>
    <n v="300.80413999999996"/>
  </r>
  <r>
    <x v="39"/>
    <n v="5276"/>
    <n v="5122"/>
    <n v="42.11"/>
    <n v="36.159999999999997"/>
    <n v="5016"/>
    <n v="40.619999999999997"/>
    <n v="34.32"/>
    <n v="4556"/>
    <n v="599.02"/>
    <n v="55.19"/>
    <n v="28.65"/>
    <n v="4456"/>
    <n v="7.11"/>
    <n v="7.52"/>
    <n v="65.739999999999995"/>
    <n v="215.68741999999997"/>
    <n v="185.21151999999998"/>
    <n v="203.74991999999997"/>
    <n v="172.14911999999998"/>
    <n v="330.59913799999993"/>
    <n v="171.61922999999999"/>
    <n v="158.97990799999994"/>
    <n v="6"/>
    <n v="6"/>
    <n v="31.68216"/>
    <n v="33.509119999999996"/>
    <n v="292.93743999999998"/>
  </r>
  <r>
    <x v="40"/>
    <n v="0"/>
    <n v="0"/>
    <n v="0"/>
    <n v="0"/>
    <n v="4578"/>
    <n v="40.869999999999997"/>
    <n v="34.39"/>
    <n v="0"/>
    <n v="578.47"/>
    <n v="51.97"/>
    <n v="27.14"/>
    <n v="4036"/>
    <n v="7.36"/>
    <n v="6.39"/>
    <n v="64.150000000000006"/>
    <n v="0"/>
    <n v="0"/>
    <n v="187.10285999999999"/>
    <n v="157.43742"/>
    <n v="300.63085900000004"/>
    <n v="156.996758"/>
    <n v="143.63410100000004"/>
    <n v="6"/>
    <n v="6"/>
    <n v="29.704960000000003"/>
    <n v="25.790039999999998"/>
    <n v="258.90940000000001"/>
  </r>
  <r>
    <x v="4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"/>
    <n v="6"/>
    <n v="0"/>
    <n v="0"/>
    <n v="0"/>
  </r>
  <r>
    <x v="42"/>
    <n v="4999"/>
    <n v="4853"/>
    <n v="40.75"/>
    <n v="35.700000000000003"/>
    <n v="0"/>
    <n v="0"/>
    <n v="0"/>
    <n v="4853"/>
    <n v="0"/>
    <n v="0"/>
    <n v="0"/>
    <n v="0"/>
    <n v="0"/>
    <n v="0"/>
    <n v="0"/>
    <n v="197.75975"/>
    <n v="173.25210000000001"/>
    <n v="0"/>
    <n v="0"/>
    <n v="0"/>
    <n v="0"/>
    <n v="0"/>
    <n v="6"/>
    <n v="7"/>
    <n v="0"/>
    <n v="0"/>
    <n v="0"/>
  </r>
  <r>
    <x v="43"/>
    <n v="5048"/>
    <n v="4901"/>
    <n v="41.73"/>
    <n v="36.33"/>
    <n v="5022"/>
    <n v="39"/>
    <n v="34.36"/>
    <n v="4754"/>
    <n v="581.61"/>
    <n v="52.82"/>
    <n v="27.39"/>
    <n v="4479"/>
    <n v="7.96"/>
    <n v="8.14"/>
    <n v="67.75"/>
    <n v="204.51872999999998"/>
    <n v="178.05332999999999"/>
    <n v="195.858"/>
    <n v="172.55591999999999"/>
    <n v="307.20640200000003"/>
    <n v="159.30297900000002"/>
    <n v="147.903423"/>
    <n v="7"/>
    <n v="7"/>
    <n v="35.652839999999998"/>
    <n v="36.459060000000008"/>
    <n v="303.45224999999999"/>
  </r>
  <r>
    <x v="44"/>
    <n v="5086"/>
    <n v="4938"/>
    <n v="44.36"/>
    <n v="34.96"/>
    <n v="5020"/>
    <n v="41.08"/>
    <n v="33.880000000000003"/>
    <n v="4692"/>
    <n v="589.35"/>
    <n v="53.89"/>
    <n v="27.87"/>
    <n v="4470"/>
    <n v="9.26"/>
    <n v="6.9"/>
    <n v="66.66"/>
    <n v="219.04968"/>
    <n v="172.63248000000002"/>
    <n v="206.2216"/>
    <n v="170.07760000000002"/>
    <n v="317.60071500000004"/>
    <n v="164.25184500000003"/>
    <n v="153.34887000000001"/>
    <n v="7"/>
    <n v="7"/>
    <n v="41.392199999999995"/>
    <n v="30.843"/>
    <n v="297.97020000000003"/>
  </r>
  <r>
    <x v="45"/>
    <n v="4919"/>
    <n v="4776"/>
    <n v="41.72"/>
    <n v="35.18"/>
    <n v="5030"/>
    <n v="40.729999999999997"/>
    <n v="33.659999999999997"/>
    <n v="4468"/>
    <n v="641.27"/>
    <n v="50.92"/>
    <n v="26.89"/>
    <n v="4429"/>
    <n v="7.17"/>
    <n v="4.17"/>
    <n v="62.88"/>
    <n v="199.25471999999999"/>
    <n v="168.01967999999999"/>
    <n v="204.87189999999998"/>
    <n v="169.3098"/>
    <n v="326.53468400000003"/>
    <n v="172.43750299999999"/>
    <n v="154.09718100000003"/>
    <n v="7"/>
    <n v="7"/>
    <n v="31.755929999999999"/>
    <n v="18.46893"/>
    <n v="278.49552"/>
  </r>
  <r>
    <x v="46"/>
    <n v="5442"/>
    <n v="5283"/>
    <n v="42.78"/>
    <n v="35.81"/>
    <n v="5018"/>
    <n v="40.5"/>
    <n v="33.979999999999997"/>
    <n v="4751"/>
    <n v="633.54"/>
    <n v="51.17"/>
    <n v="27.29"/>
    <n v="4424"/>
    <n v="6.77"/>
    <n v="6.29"/>
    <n v="64.459999999999994"/>
    <n v="226.00674000000001"/>
    <n v="189.18423000000001"/>
    <n v="203.22900000000001"/>
    <n v="170.51163999999997"/>
    <n v="324.18241799999998"/>
    <n v="172.893066"/>
    <n v="151.28935199999998"/>
    <n v="7"/>
    <n v="7"/>
    <n v="29.950479999999999"/>
    <n v="27.82696"/>
    <n v="285.17104"/>
  </r>
  <r>
    <x v="47"/>
    <n v="0"/>
    <n v="0"/>
    <n v="0"/>
    <n v="0"/>
    <n v="4770"/>
    <n v="40.29"/>
    <n v="34.22"/>
    <n v="0"/>
    <n v="591.99"/>
    <n v="52.03"/>
    <n v="26.39"/>
    <n v="4216"/>
    <n v="8.31"/>
    <n v="6.59"/>
    <n v="65.540000000000006"/>
    <n v="0"/>
    <n v="0"/>
    <n v="192.18329999999997"/>
    <n v="163.2294"/>
    <n v="308.01239700000002"/>
    <n v="156.22616100000002"/>
    <n v="151.786236"/>
    <n v="7"/>
    <n v="7"/>
    <n v="35.034959999999998"/>
    <n v="27.783439999999999"/>
    <n v="276.31664000000001"/>
  </r>
  <r>
    <x v="4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"/>
    <n v="7"/>
    <n v="0"/>
    <n v="0"/>
    <n v="0"/>
  </r>
  <r>
    <x v="49"/>
    <n v="5268"/>
    <n v="5115"/>
    <n v="43.41"/>
    <n v="34.729999999999997"/>
    <n v="0"/>
    <n v="0"/>
    <n v="0"/>
    <n v="5115"/>
    <n v="0"/>
    <n v="0"/>
    <n v="0"/>
    <n v="0"/>
    <n v="0"/>
    <n v="0"/>
    <n v="0"/>
    <n v="222.04214999999999"/>
    <n v="177.64394999999999"/>
    <n v="0"/>
    <n v="0"/>
    <n v="0"/>
    <n v="0"/>
    <n v="0"/>
    <n v="7"/>
    <n v="8"/>
    <n v="0"/>
    <n v="0"/>
    <n v="0"/>
  </r>
  <r>
    <x v="50"/>
    <n v="4937"/>
    <n v="4793"/>
    <n v="43.97"/>
    <n v="35.25"/>
    <n v="5015"/>
    <n v="41.88"/>
    <n v="33.54"/>
    <n v="4908"/>
    <n v="638.91999999999996"/>
    <n v="51.31"/>
    <n v="26.61"/>
    <n v="4416"/>
    <n v="8.9"/>
    <n v="5"/>
    <n v="65.099999999999994"/>
    <n v="210.74821"/>
    <n v="168.95325"/>
    <n v="210.0282"/>
    <n v="168.20310000000001"/>
    <n v="327.82985200000002"/>
    <n v="170.01661199999998"/>
    <n v="157.81324000000004"/>
    <n v="8"/>
    <n v="8"/>
    <n v="39.302399999999999"/>
    <n v="22.08"/>
    <n v="287.48159999999996"/>
  </r>
  <r>
    <x v="51"/>
    <n v="4831"/>
    <n v="4690"/>
    <n v="43.14"/>
    <n v="36.6"/>
    <n v="5023"/>
    <n v="41.66"/>
    <n v="34.36"/>
    <n v="4598"/>
    <n v="593.51"/>
    <n v="51.33"/>
    <n v="26.45"/>
    <n v="4468"/>
    <n v="11.41"/>
    <n v="7.56"/>
    <n v="71.790000000000006"/>
    <n v="202.32660000000001"/>
    <n v="171.654"/>
    <n v="209.25817999999998"/>
    <n v="172.59028000000001"/>
    <n v="304.64868300000001"/>
    <n v="156.983395"/>
    <n v="147.665288"/>
    <n v="8"/>
    <n v="8"/>
    <n v="50.979879999999994"/>
    <n v="33.778080000000003"/>
    <n v="320.75772000000001"/>
  </r>
  <r>
    <x v="52"/>
    <n v="5016"/>
    <n v="4870"/>
    <n v="41.34"/>
    <n v="35.020000000000003"/>
    <n v="5018"/>
    <n v="40.4"/>
    <n v="33.78"/>
    <n v="4468"/>
    <n v="595.37"/>
    <n v="53.19"/>
    <n v="28.15"/>
    <n v="4462"/>
    <n v="7.73"/>
    <n v="7.1"/>
    <n v="64.92"/>
    <n v="201.32580000000002"/>
    <n v="170.54740000000001"/>
    <n v="202.72719999999998"/>
    <n v="169.50803999999999"/>
    <n v="316.67730299999999"/>
    <n v="167.596655"/>
    <n v="149.080648"/>
    <n v="8"/>
    <n v="8"/>
    <n v="34.491260000000004"/>
    <n v="31.680199999999996"/>
    <n v="289.67303999999996"/>
  </r>
  <r>
    <x v="53"/>
    <n v="5215"/>
    <n v="5063"/>
    <n v="41.41"/>
    <n v="36.72"/>
    <n v="5025"/>
    <n v="39.86"/>
    <n v="34.380000000000003"/>
    <n v="4531"/>
    <n v="680.39"/>
    <n v="50.56"/>
    <n v="26.25"/>
    <n v="4386"/>
    <n v="4.84"/>
    <n v="3.66"/>
    <n v="59.92"/>
    <n v="209.65882999999999"/>
    <n v="185.91335999999998"/>
    <n v="200.29650000000001"/>
    <n v="172.7595"/>
    <n v="344.00518399999999"/>
    <n v="178.60237499999999"/>
    <n v="165.40280899999999"/>
    <n v="8"/>
    <n v="8"/>
    <n v="21.22824"/>
    <n v="16.052759999999999"/>
    <n v="262.80912000000001"/>
  </r>
  <r>
    <x v="54"/>
    <n v="0"/>
    <n v="0"/>
    <n v="0"/>
    <n v="0"/>
    <n v="4557"/>
    <n v="40.24"/>
    <n v="34.4"/>
    <n v="0"/>
    <n v="572.38"/>
    <n v="52.14"/>
    <n v="27.93"/>
    <n v="4021"/>
    <n v="5.71"/>
    <n v="6.91"/>
    <n v="64.73"/>
    <n v="0"/>
    <n v="0"/>
    <n v="183.37368000000004"/>
    <n v="156.76079999999999"/>
    <n v="298.43893199999997"/>
    <n v="159.865734"/>
    <n v="138.57319799999996"/>
    <n v="8"/>
    <n v="8"/>
    <n v="22.959910000000001"/>
    <n v="27.78511"/>
    <n v="260.27933000000002"/>
  </r>
  <r>
    <x v="5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"/>
    <n v="8"/>
    <n v="0"/>
    <n v="0"/>
    <n v="0"/>
  </r>
  <r>
    <x v="56"/>
    <n v="4872"/>
    <n v="4730"/>
    <n v="43.03"/>
    <n v="37.74"/>
    <n v="0"/>
    <n v="0"/>
    <n v="0"/>
    <n v="4730"/>
    <n v="0"/>
    <n v="0"/>
    <n v="0"/>
    <n v="0"/>
    <n v="0"/>
    <n v="0"/>
    <n v="0"/>
    <n v="203.53190000000001"/>
    <n v="178.5102"/>
    <n v="0"/>
    <n v="0"/>
    <n v="0"/>
    <n v="0"/>
    <n v="0"/>
    <n v="8"/>
    <n v="9"/>
    <n v="0"/>
    <n v="0"/>
    <n v="0"/>
  </r>
  <r>
    <x v="57"/>
    <n v="5475"/>
    <n v="5316"/>
    <n v="42.33"/>
    <n v="34.840000000000003"/>
    <n v="5022"/>
    <n v="40.799999999999997"/>
    <n v="34.6"/>
    <n v="5046"/>
    <n v="647.38"/>
    <n v="50.37"/>
    <n v="26.27"/>
    <n v="4415"/>
    <n v="7.71"/>
    <n v="6.28"/>
    <n v="66.16"/>
    <n v="225.02627999999999"/>
    <n v="185.20944000000003"/>
    <n v="204.89759999999998"/>
    <n v="173.7612"/>
    <n v="326.085306"/>
    <n v="170.06672599999999"/>
    <n v="156.01858000000001"/>
    <n v="9"/>
    <n v="9"/>
    <n v="34.039650000000002"/>
    <n v="27.726200000000002"/>
    <n v="292.09639999999996"/>
  </r>
  <r>
    <x v="58"/>
    <n v="4514"/>
    <n v="4383"/>
    <n v="44.31"/>
    <n v="35.979999999999997"/>
    <n v="5033"/>
    <n v="41.23"/>
    <n v="34.130000000000003"/>
    <n v="4429"/>
    <n v="642.91"/>
    <n v="50.91"/>
    <n v="27.01"/>
    <n v="4430"/>
    <n v="7.56"/>
    <n v="4.04"/>
    <n v="62.17"/>
    <n v="194.21073000000001"/>
    <n v="157.70033999999998"/>
    <n v="207.51059000000001"/>
    <n v="171.77629000000002"/>
    <n v="327.30548099999999"/>
    <n v="173.649991"/>
    <n v="153.65548999999999"/>
    <n v="9"/>
    <n v="9"/>
    <n v="33.490799999999993"/>
    <n v="17.897200000000002"/>
    <n v="275.41310000000004"/>
  </r>
  <r>
    <x v="59"/>
    <n v="5195"/>
    <n v="5044"/>
    <n v="43.11"/>
    <n v="35.96"/>
    <n v="5022"/>
    <n v="41.11"/>
    <n v="34.630000000000003"/>
    <n v="4473"/>
    <n v="604.96"/>
    <n v="54.48"/>
    <n v="27.67"/>
    <n v="4456"/>
    <n v="8.56"/>
    <n v="8.14"/>
    <n v="66.819999999999993"/>
    <n v="217.44684000000001"/>
    <n v="181.38224"/>
    <n v="206.45441999999997"/>
    <n v="173.91186000000002"/>
    <n v="329.58220800000004"/>
    <n v="167.39243200000001"/>
    <n v="162.18977600000002"/>
    <n v="9"/>
    <n v="9"/>
    <n v="38.143360000000001"/>
    <n v="36.271840000000005"/>
    <n v="297.74991999999997"/>
  </r>
  <r>
    <x v="60"/>
    <n v="5030"/>
    <n v="4883"/>
    <n v="42.05"/>
    <n v="35.03"/>
    <n v="5021"/>
    <n v="40.53"/>
    <n v="34.049999999999997"/>
    <n v="4356"/>
    <n v="629.22"/>
    <n v="50.29"/>
    <n v="27.03"/>
    <n v="4432"/>
    <n v="7.35"/>
    <n v="6.31"/>
    <n v="64.41"/>
    <n v="205.33015"/>
    <n v="171.05149000000003"/>
    <n v="203.50113000000002"/>
    <n v="170.96504999999999"/>
    <n v="316.43473799999998"/>
    <n v="170.07816600000001"/>
    <n v="146.35657199999997"/>
    <n v="9"/>
    <n v="9"/>
    <n v="32.575199999999995"/>
    <n v="27.965919999999997"/>
    <n v="285.46512000000001"/>
  </r>
  <r>
    <x v="61"/>
    <n v="0"/>
    <n v="0"/>
    <n v="0"/>
    <n v="0"/>
    <n v="4377"/>
    <n v="40.85"/>
    <n v="33.64"/>
    <n v="0"/>
    <n v="536.41"/>
    <n v="50.87"/>
    <n v="26.71"/>
    <n v="3875"/>
    <n v="8.9600000000000009"/>
    <n v="5.66"/>
    <n v="64.7"/>
    <n v="0"/>
    <n v="0"/>
    <n v="178.80045000000001"/>
    <n v="147.24227999999999"/>
    <n v="272.87176699999998"/>
    <n v="143.27511100000001"/>
    <n v="129.59665599999997"/>
    <n v="9"/>
    <n v="9"/>
    <n v="34.72"/>
    <n v="21.932500000000001"/>
    <n v="250.71250000000001"/>
  </r>
  <r>
    <x v="6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"/>
    <n v="9"/>
    <n v="0"/>
    <n v="0"/>
    <n v="0"/>
  </r>
  <r>
    <x v="63"/>
    <n v="5315"/>
    <n v="5160"/>
    <n v="41.77"/>
    <n v="34.25"/>
    <n v="0"/>
    <n v="0"/>
    <n v="0"/>
    <n v="5160"/>
    <n v="0"/>
    <n v="0"/>
    <n v="0"/>
    <n v="0"/>
    <n v="0"/>
    <n v="0"/>
    <n v="0"/>
    <n v="215.53320000000002"/>
    <n v="176.73"/>
    <n v="0"/>
    <n v="0"/>
    <n v="0"/>
    <n v="0"/>
    <n v="0"/>
    <n v="9"/>
    <n v="10"/>
    <n v="0"/>
    <n v="0"/>
    <n v="0"/>
  </r>
  <r>
    <x v="64"/>
    <n v="5330"/>
    <n v="5175"/>
    <n v="40.61"/>
    <n v="36.11"/>
    <n v="5026"/>
    <n v="39.25"/>
    <n v="33.68"/>
    <n v="5335"/>
    <n v="575.91999999999996"/>
    <n v="51.26"/>
    <n v="26.72"/>
    <n v="4489"/>
    <n v="9.4"/>
    <n v="7.48"/>
    <n v="68.84"/>
    <n v="210.15674999999999"/>
    <n v="186.86924999999999"/>
    <n v="197.2705"/>
    <n v="169.27567999999999"/>
    <n v="295.21659199999999"/>
    <n v="153.88582399999999"/>
    <n v="141.33076800000001"/>
    <n v="10"/>
    <n v="10"/>
    <n v="42.196599999999997"/>
    <n v="33.577719999999999"/>
    <n v="309.02276000000001"/>
  </r>
  <r>
    <x v="65"/>
    <n v="4780"/>
    <n v="4641"/>
    <n v="42.35"/>
    <n v="35.090000000000003"/>
    <n v="5025"/>
    <n v="39.840000000000003"/>
    <n v="33.53"/>
    <n v="4976"/>
    <n v="646.94000000000005"/>
    <n v="51.14"/>
    <n v="26.09"/>
    <n v="4418"/>
    <n v="6.96"/>
    <n v="4.05"/>
    <n v="61.08"/>
    <n v="196.54635000000002"/>
    <n v="162.85269"/>
    <n v="200.19600000000003"/>
    <n v="168.48824999999999"/>
    <n v="330.84511600000008"/>
    <n v="168.78664599999999"/>
    <n v="162.05847000000009"/>
    <n v="10"/>
    <n v="10"/>
    <n v="30.749279999999999"/>
    <n v="17.892899999999997"/>
    <n v="269.85144000000003"/>
  </r>
  <r>
    <x v="66"/>
    <n v="4870"/>
    <n v="4728"/>
    <n v="41.84"/>
    <n v="36.4"/>
    <n v="5022"/>
    <n v="39.729999999999997"/>
    <n v="33.97"/>
    <n v="4704"/>
    <n v="631.08000000000004"/>
    <n v="50.7"/>
    <n v="27.18"/>
    <n v="4431"/>
    <n v="6.17"/>
    <n v="5.68"/>
    <n v="64.44"/>
    <n v="197.81952000000001"/>
    <n v="172.0992"/>
    <n v="199.52405999999999"/>
    <n v="170.59734"/>
    <n v="319.95756000000006"/>
    <n v="171.52754400000001"/>
    <n v="148.43001600000005"/>
    <n v="10"/>
    <n v="10"/>
    <n v="27.339269999999999"/>
    <n v="25.16808"/>
    <n v="285.53363999999999"/>
  </r>
  <r>
    <x v="67"/>
    <n v="5395"/>
    <n v="5238"/>
    <n v="41.07"/>
    <n v="35.68"/>
    <n v="5034"/>
    <n v="39.65"/>
    <n v="34.159999999999997"/>
    <n v="4942"/>
    <n v="619.66999999999996"/>
    <n v="52.77"/>
    <n v="27.46"/>
    <n v="4454"/>
    <n v="6.45"/>
    <n v="6.66"/>
    <n v="64.37"/>
    <n v="215.12466000000001"/>
    <n v="186.89184"/>
    <n v="199.59810000000002"/>
    <n v="171.96143999999998"/>
    <n v="326.99985900000001"/>
    <n v="170.16138199999997"/>
    <n v="156.83847700000004"/>
    <n v="10"/>
    <n v="10"/>
    <n v="28.728300000000001"/>
    <n v="29.663640000000001"/>
    <n v="286.70398000000006"/>
  </r>
  <r>
    <x v="68"/>
    <n v="0"/>
    <n v="0"/>
    <n v="0"/>
    <n v="0"/>
    <n v="4967"/>
    <n v="39.28"/>
    <n v="34.22"/>
    <n v="0"/>
    <n v="578.86"/>
    <n v="52.64"/>
    <n v="27.91"/>
    <n v="4426"/>
    <n v="7.38"/>
    <n v="8.11"/>
    <n v="65.680000000000007"/>
    <n v="0"/>
    <n v="0"/>
    <n v="195.10376000000002"/>
    <n v="169.97073999999998"/>
    <n v="304.711904"/>
    <n v="161.55982600000002"/>
    <n v="143.15207799999999"/>
    <n v="10"/>
    <n v="10"/>
    <n v="32.663879999999999"/>
    <n v="35.894860000000001"/>
    <n v="290.69968000000006"/>
  </r>
  <r>
    <x v="6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"/>
    <n v="10"/>
    <n v="0"/>
    <n v="0"/>
    <n v="0"/>
  </r>
  <r>
    <x v="70"/>
    <n v="5384"/>
    <n v="5227"/>
    <n v="44.54"/>
    <n v="35.229999999999997"/>
    <n v="0"/>
    <n v="0"/>
    <n v="0"/>
    <n v="5227"/>
    <n v="0"/>
    <n v="0"/>
    <n v="0"/>
    <n v="0"/>
    <n v="0"/>
    <n v="0"/>
    <n v="0"/>
    <n v="232.81057999999999"/>
    <n v="184.14721"/>
    <n v="0"/>
    <n v="0"/>
    <n v="0"/>
    <n v="0"/>
    <n v="0"/>
    <n v="10"/>
    <n v="11"/>
    <n v="0"/>
    <n v="0"/>
    <n v="0"/>
  </r>
  <r>
    <x v="71"/>
    <n v="5420"/>
    <n v="5262"/>
    <n v="39.299999999999997"/>
    <n v="34.89"/>
    <n v="5030"/>
    <n v="40.06"/>
    <n v="33.549999999999997"/>
    <n v="5489"/>
    <n v="603.74"/>
    <n v="52.09"/>
    <n v="27.46"/>
    <n v="4466"/>
    <n v="7.87"/>
    <n v="7.54"/>
    <n v="65.22"/>
    <n v="206.79659999999998"/>
    <n v="183.59117999999998"/>
    <n v="201.50180000000003"/>
    <n v="168.75649999999999"/>
    <n v="314.48816600000004"/>
    <n v="165.78700400000002"/>
    <n v="148.70116200000001"/>
    <n v="11"/>
    <n v="11"/>
    <n v="35.147419999999997"/>
    <n v="33.673639999999999"/>
    <n v="291.27252000000004"/>
  </r>
  <r>
    <x v="72"/>
    <n v="5364"/>
    <n v="5208"/>
    <n v="43.18"/>
    <n v="32.46"/>
    <n v="5028"/>
    <n v="40.450000000000003"/>
    <n v="32.29"/>
    <n v="5697"/>
    <n v="615.71"/>
    <n v="50.72"/>
    <n v="26.76"/>
    <n v="4452"/>
    <n v="8.49"/>
    <n v="3.34"/>
    <n v="63.04"/>
    <n v="224.88144"/>
    <n v="169.05168"/>
    <n v="203.3826"/>
    <n v="162.35411999999999"/>
    <n v="312.28811200000001"/>
    <n v="164.76399600000002"/>
    <n v="147.52411599999999"/>
    <n v="11"/>
    <n v="11"/>
    <n v="37.79748"/>
    <n v="14.869679999999999"/>
    <n v="280.65408000000002"/>
  </r>
  <r>
    <x v="73"/>
    <n v="5592"/>
    <n v="5429"/>
    <n v="45.29"/>
    <n v="36.39"/>
    <n v="5016"/>
    <n v="41.87"/>
    <n v="33.630000000000003"/>
    <n v="6126"/>
    <n v="619.52"/>
    <n v="49.94"/>
    <n v="26.61"/>
    <n v="4436"/>
    <n v="9.94"/>
    <n v="5.35"/>
    <n v="67.16"/>
    <n v="245.87941000000001"/>
    <n v="197.56130999999999"/>
    <n v="210.01991999999998"/>
    <n v="168.68808000000001"/>
    <n v="309.38828799999999"/>
    <n v="164.85427199999998"/>
    <n v="144.53401600000001"/>
    <n v="11"/>
    <n v="11"/>
    <n v="44.093839999999993"/>
    <n v="23.732599999999998"/>
    <n v="297.92176000000001"/>
  </r>
  <r>
    <x v="74"/>
    <n v="4792"/>
    <n v="4652"/>
    <n v="38.200000000000003"/>
    <n v="34.159999999999997"/>
    <n v="5015"/>
    <n v="40.020000000000003"/>
    <n v="33.130000000000003"/>
    <n v="5778"/>
    <n v="672.64"/>
    <n v="51.93"/>
    <n v="26.6"/>
    <n v="4383"/>
    <n v="4.83"/>
    <n v="2.5499999999999998"/>
    <n v="59.23"/>
    <n v="177.70640000000003"/>
    <n v="158.91231999999997"/>
    <n v="200.70030000000003"/>
    <n v="166.14695"/>
    <n v="349.30195200000003"/>
    <n v="178.92224000000002"/>
    <n v="170.37971200000001"/>
    <n v="11"/>
    <n v="11"/>
    <n v="21.169889999999999"/>
    <n v="11.17665"/>
    <n v="259.60509000000002"/>
  </r>
  <r>
    <x v="75"/>
    <n v="0"/>
    <n v="0"/>
    <n v="0"/>
    <n v="0"/>
    <n v="5798"/>
    <n v="39.36"/>
    <n v="33.15"/>
    <n v="0"/>
    <n v="740.09"/>
    <n v="50.72"/>
    <n v="25.96"/>
    <n v="5104"/>
    <n v="6.89"/>
    <n v="4.6100000000000003"/>
    <n v="63.62"/>
    <n v="0"/>
    <n v="0"/>
    <n v="228.20928000000001"/>
    <n v="192.20369999999997"/>
    <n v="375.373648"/>
    <n v="192.12736400000003"/>
    <n v="183.24628399999997"/>
    <n v="11"/>
    <n v="11"/>
    <n v="35.166559999999997"/>
    <n v="23.529440000000001"/>
    <n v="324.71647999999999"/>
  </r>
  <r>
    <x v="7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1"/>
    <n v="11"/>
    <n v="0"/>
    <n v="0"/>
    <n v="0"/>
  </r>
  <r>
    <x v="77"/>
    <n v="4944"/>
    <n v="4800"/>
    <n v="42.59"/>
    <n v="37.78"/>
    <n v="0"/>
    <n v="0"/>
    <n v="0"/>
    <n v="4800"/>
    <n v="0"/>
    <n v="0"/>
    <n v="0"/>
    <n v="0"/>
    <n v="0"/>
    <n v="0"/>
    <n v="0"/>
    <n v="204.43200000000002"/>
    <n v="181.34399999999999"/>
    <n v="0"/>
    <n v="0"/>
    <n v="0"/>
    <n v="0"/>
    <n v="0"/>
    <n v="11"/>
    <n v="12"/>
    <n v="0"/>
    <n v="0"/>
    <n v="0"/>
  </r>
  <r>
    <x v="78"/>
    <n v="5356"/>
    <n v="5200"/>
    <n v="42.26"/>
    <n v="34.75"/>
    <n v="5024"/>
    <n v="39.880000000000003"/>
    <n v="34.51"/>
    <n v="5000"/>
    <n v="637.34"/>
    <n v="51.96"/>
    <n v="27.09"/>
    <n v="4427"/>
    <n v="6.15"/>
    <n v="5.57"/>
    <n v="63.35"/>
    <n v="219.75200000000001"/>
    <n v="180.7"/>
    <n v="200.35712000000004"/>
    <n v="173.37823999999998"/>
    <n v="331.16186399999998"/>
    <n v="172.655406"/>
    <n v="158.50645799999998"/>
    <n v="12"/>
    <n v="12"/>
    <n v="27.226050000000004"/>
    <n v="24.658390000000004"/>
    <n v="280.45044999999999"/>
  </r>
  <r>
    <x v="79"/>
    <n v="4520"/>
    <n v="4388"/>
    <n v="42.96"/>
    <n v="35"/>
    <n v="5023"/>
    <n v="40.380000000000003"/>
    <n v="34.07"/>
    <n v="4388"/>
    <n v="653.54999999999995"/>
    <n v="51.43"/>
    <n v="27.21"/>
    <n v="4410"/>
    <n v="5.57"/>
    <n v="5"/>
    <n v="60.94"/>
    <n v="188.50848000000002"/>
    <n v="153.58000000000001"/>
    <n v="202.82874000000001"/>
    <n v="171.13361"/>
    <n v="336.12076499999995"/>
    <n v="177.83095499999999"/>
    <n v="158.28980999999996"/>
    <n v="12"/>
    <n v="12"/>
    <n v="24.563700000000001"/>
    <n v="22.05"/>
    <n v="268.74539999999996"/>
  </r>
  <r>
    <x v="80"/>
    <n v="5134"/>
    <n v="4984"/>
    <n v="40.380000000000003"/>
    <n v="34.99"/>
    <n v="5028"/>
    <n v="39.47"/>
    <n v="33.909999999999997"/>
    <n v="4372"/>
    <n v="629.33000000000004"/>
    <n v="52.26"/>
    <n v="27.57"/>
    <n v="4439"/>
    <n v="5.51"/>
    <n v="5.84"/>
    <n v="61.87"/>
    <n v="201.25392000000002"/>
    <n v="174.39016000000001"/>
    <n v="198.45516000000001"/>
    <n v="170.49947999999998"/>
    <n v="328.88785799999999"/>
    <n v="173.50628100000003"/>
    <n v="155.38157699999996"/>
    <n v="12"/>
    <n v="12"/>
    <n v="24.45889"/>
    <n v="25.923759999999998"/>
    <n v="274.64092999999997"/>
  </r>
  <r>
    <x v="81"/>
    <n v="5212"/>
    <n v="5060"/>
    <n v="42.75"/>
    <n v="35.200000000000003"/>
    <n v="5030"/>
    <n v="40.409999999999997"/>
    <n v="33.86"/>
    <n v="4432"/>
    <n v="593.70000000000005"/>
    <n v="52.04"/>
    <n v="27.42"/>
    <n v="4475"/>
    <n v="8.74"/>
    <n v="7.64"/>
    <n v="67.36"/>
    <n v="216.315"/>
    <n v="178.11199999999999"/>
    <n v="203.26229999999998"/>
    <n v="170.3158"/>
    <n v="308.96147999999999"/>
    <n v="162.79254000000003"/>
    <n v="146.16893999999996"/>
    <n v="12"/>
    <n v="12"/>
    <n v="39.111499999999999"/>
    <n v="34.189"/>
    <n v="301.43599999999998"/>
  </r>
  <r>
    <x v="82"/>
    <n v="0"/>
    <n v="0"/>
    <n v="0"/>
    <n v="0"/>
    <n v="4456"/>
    <n v="40.58"/>
    <n v="33.58"/>
    <n v="0"/>
    <n v="558.94000000000005"/>
    <n v="51.59"/>
    <n v="26.9"/>
    <n v="3932"/>
    <n v="7.6"/>
    <n v="5.86"/>
    <n v="62.43"/>
    <n v="0"/>
    <n v="0"/>
    <n v="180.82447999999999"/>
    <n v="149.63247999999999"/>
    <n v="288.35714600000006"/>
    <n v="150.35486"/>
    <n v="138.00228600000005"/>
    <n v="12"/>
    <n v="12"/>
    <n v="29.883199999999999"/>
    <n v="23.041520000000002"/>
    <n v="245.47476"/>
  </r>
  <r>
    <x v="8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"/>
    <n v="12"/>
    <n v="0"/>
    <n v="0"/>
    <n v="0"/>
  </r>
  <r>
    <x v="84"/>
    <n v="4801"/>
    <n v="4661"/>
    <n v="44.02"/>
    <n v="36.31"/>
    <n v="0"/>
    <n v="0"/>
    <n v="0"/>
    <n v="4661"/>
    <n v="0"/>
    <n v="0"/>
    <n v="0"/>
    <n v="0"/>
    <n v="0"/>
    <n v="0"/>
    <n v="0"/>
    <n v="205.17722000000001"/>
    <n v="169.24091000000001"/>
    <n v="0"/>
    <n v="0"/>
    <n v="0"/>
    <n v="0"/>
    <n v="0"/>
    <n v="12"/>
    <n v="13"/>
    <n v="0"/>
    <n v="0"/>
    <n v="0"/>
  </r>
  <r>
    <x v="85"/>
    <n v="5111"/>
    <n v="4962"/>
    <n v="43.38"/>
    <n v="34.97"/>
    <n v="5026"/>
    <n v="41.76"/>
    <n v="33.909999999999997"/>
    <n v="4623"/>
    <n v="647.04999999999995"/>
    <n v="52.18"/>
    <n v="27.33"/>
    <n v="4419"/>
    <n v="7.37"/>
    <n v="5.89"/>
    <n v="64.849999999999994"/>
    <n v="215.25156000000004"/>
    <n v="173.52113999999997"/>
    <n v="209.88575999999998"/>
    <n v="170.43165999999997"/>
    <n v="337.63068999999996"/>
    <n v="176.838765"/>
    <n v="160.79192499999996"/>
    <n v="13"/>
    <n v="13"/>
    <n v="32.56803"/>
    <n v="26.027909999999999"/>
    <n v="286.57214999999997"/>
  </r>
  <r>
    <x v="86"/>
    <n v="5428"/>
    <n v="5270"/>
    <n v="40.78"/>
    <n v="36.44"/>
    <n v="5027"/>
    <n v="40.24"/>
    <n v="34.56"/>
    <n v="4893"/>
    <n v="643.04"/>
    <n v="51.07"/>
    <n v="25.92"/>
    <n v="4424"/>
    <n v="7.91"/>
    <n v="5.21"/>
    <n v="63.37"/>
    <n v="214.91060000000002"/>
    <n v="192.03879999999998"/>
    <n v="202.28648000000001"/>
    <n v="173.73312000000001"/>
    <n v="328.40052799999995"/>
    <n v="166.67596799999998"/>
    <n v="161.72455999999997"/>
    <n v="13"/>
    <n v="13"/>
    <n v="34.993840000000006"/>
    <n v="23.049040000000002"/>
    <n v="280.34888000000001"/>
  </r>
  <r>
    <x v="87"/>
    <n v="4925"/>
    <n v="4782"/>
    <n v="44.62"/>
    <n v="36.29"/>
    <n v="5030"/>
    <n v="40.98"/>
    <n v="34.43"/>
    <n v="4675"/>
    <n v="610.47"/>
    <n v="54.53"/>
    <n v="28.01"/>
    <n v="4459"/>
    <n v="7.7"/>
    <n v="6.76"/>
    <n v="65.78"/>
    <n v="213.37284"/>
    <n v="173.53878"/>
    <n v="206.1294"/>
    <n v="173.18289999999999"/>
    <n v="332.88929100000001"/>
    <n v="170.99264700000003"/>
    <n v="161.89664399999998"/>
    <n v="13"/>
    <n v="13"/>
    <n v="34.334300000000006"/>
    <n v="30.14284"/>
    <n v="293.31301999999999"/>
  </r>
  <r>
    <x v="88"/>
    <n v="5409"/>
    <n v="5251"/>
    <n v="44.24"/>
    <n v="35.06"/>
    <n v="5024"/>
    <n v="41.77"/>
    <n v="34.22"/>
    <n v="4926"/>
    <n v="591.67999999999995"/>
    <n v="53.63"/>
    <n v="27.93"/>
    <n v="4471"/>
    <n v="9.6999999999999993"/>
    <n v="8.27"/>
    <n v="69.27"/>
    <n v="232.30424000000002"/>
    <n v="184.10005999999998"/>
    <n v="209.85248000000001"/>
    <n v="171.92128"/>
    <n v="317.31798400000002"/>
    <n v="165.256224"/>
    <n v="152.06176000000002"/>
    <n v="13"/>
    <n v="13"/>
    <n v="43.368699999999997"/>
    <n v="36.975169999999999"/>
    <n v="309.70616999999999"/>
  </r>
  <r>
    <x v="89"/>
    <n v="0"/>
    <n v="0"/>
    <n v="0"/>
    <n v="0"/>
    <n v="4947"/>
    <n v="42.45"/>
    <n v="34.01"/>
    <n v="0"/>
    <n v="636.23"/>
    <n v="52.99"/>
    <n v="27.04"/>
    <n v="4350"/>
    <n v="8.4600000000000009"/>
    <n v="4.22"/>
    <n v="62.69"/>
    <n v="0"/>
    <n v="0"/>
    <n v="210.00015000000002"/>
    <n v="168.24746999999999"/>
    <n v="337.13827700000002"/>
    <n v="172.03659199999998"/>
    <n v="165.10168500000003"/>
    <n v="13"/>
    <n v="13"/>
    <n v="36.801000000000009"/>
    <n v="18.356999999999999"/>
    <n v="272.70150000000001"/>
  </r>
  <r>
    <x v="9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"/>
    <n v="13"/>
    <n v="0"/>
    <n v="0"/>
    <n v="0"/>
  </r>
  <r>
    <x v="91"/>
    <n v="5410"/>
    <n v="5252"/>
    <n v="39.619999999999997"/>
    <n v="36.450000000000003"/>
    <n v="0"/>
    <n v="0"/>
    <n v="0"/>
    <n v="5252"/>
    <n v="0"/>
    <n v="0"/>
    <n v="0"/>
    <n v="0"/>
    <n v="0"/>
    <n v="0"/>
    <n v="0"/>
    <n v="208.08423999999999"/>
    <n v="191.43540000000002"/>
    <n v="0"/>
    <n v="0"/>
    <n v="0"/>
    <n v="0"/>
    <n v="0"/>
    <n v="13"/>
    <n v="14"/>
    <n v="0"/>
    <n v="0"/>
    <n v="0"/>
  </r>
  <r>
    <x v="92"/>
    <n v="4987"/>
    <n v="4842"/>
    <n v="41.43"/>
    <n v="36.94"/>
    <n v="5015"/>
    <n v="38.479999999999997"/>
    <n v="35.25"/>
    <n v="5094"/>
    <n v="649.04999999999995"/>
    <n v="51.78"/>
    <n v="25.9"/>
    <n v="4406"/>
    <n v="5.52"/>
    <n v="5.84"/>
    <n v="62.11"/>
    <n v="200.60406"/>
    <n v="178.86347999999998"/>
    <n v="192.97719999999998"/>
    <n v="176.77875"/>
    <n v="336.07809000000003"/>
    <n v="168.10394999999997"/>
    <n v="167.97414000000006"/>
    <n v="14"/>
    <n v="14"/>
    <n v="24.321120000000001"/>
    <n v="25.73104"/>
    <n v="273.65665999999999"/>
  </r>
  <r>
    <x v="93"/>
    <n v="5514"/>
    <n v="5353"/>
    <n v="38.51"/>
    <n v="34.270000000000003"/>
    <n v="5029"/>
    <n v="37.479999999999997"/>
    <n v="33.78"/>
    <n v="5447"/>
    <n v="615.94000000000005"/>
    <n v="51.89"/>
    <n v="27.08"/>
    <n v="4453"/>
    <n v="4.7699999999999996"/>
    <n v="6.52"/>
    <n v="62.52"/>
    <n v="206.14402999999999"/>
    <n v="183.44731000000002"/>
    <n v="188.48692"/>
    <n v="169.87961999999999"/>
    <n v="319.61126600000006"/>
    <n v="166.79655200000002"/>
    <n v="152.81471400000004"/>
    <n v="14"/>
    <n v="14"/>
    <n v="21.240809999999996"/>
    <n v="29.033559999999998"/>
    <n v="278.40156000000002"/>
  </r>
  <r>
    <x v="94"/>
    <n v="5381"/>
    <n v="5224"/>
    <n v="42.86"/>
    <n v="35.020000000000003"/>
    <n v="5018"/>
    <n v="39.380000000000003"/>
    <n v="33.94"/>
    <n v="5671"/>
    <n v="658.2"/>
    <n v="50.19"/>
    <n v="25.19"/>
    <n v="4400"/>
    <n v="7.06"/>
    <n v="4.68"/>
    <n v="63.79"/>
    <n v="223.90063999999998"/>
    <n v="182.94448"/>
    <n v="197.60884000000001"/>
    <n v="170.31091999999998"/>
    <n v="330.35057999999998"/>
    <n v="165.80058"/>
    <n v="164.54999999999998"/>
    <n v="14"/>
    <n v="14"/>
    <n v="31.064"/>
    <n v="20.591999999999999"/>
    <n v="280.67599999999999"/>
  </r>
  <r>
    <x v="95"/>
    <n v="4774"/>
    <n v="4635"/>
    <n v="39.229999999999997"/>
    <n v="36.99"/>
    <n v="5026"/>
    <n v="38.33"/>
    <n v="34.380000000000003"/>
    <n v="5306"/>
    <n v="619.24"/>
    <n v="52.03"/>
    <n v="27.42"/>
    <n v="4446"/>
    <n v="5.0599999999999996"/>
    <n v="6.87"/>
    <n v="61.36"/>
    <n v="181.83104999999998"/>
    <n v="171.44865000000001"/>
    <n v="192.64658"/>
    <n v="172.79388"/>
    <n v="322.19057200000003"/>
    <n v="169.79560800000002"/>
    <n v="152.39496400000002"/>
    <n v="14"/>
    <n v="14"/>
    <n v="22.496759999999998"/>
    <n v="30.54402"/>
    <n v="272.80655999999999"/>
  </r>
  <r>
    <x v="96"/>
    <n v="0"/>
    <n v="0"/>
    <n v="0"/>
    <n v="0"/>
    <n v="5332"/>
    <n v="38.19"/>
    <n v="34.340000000000003"/>
    <n v="0"/>
    <n v="630.23"/>
    <n v="51.65"/>
    <n v="26.31"/>
    <n v="4743"/>
    <n v="7.82"/>
    <n v="7.55"/>
    <n v="67.930000000000007"/>
    <n v="0"/>
    <n v="0"/>
    <n v="203.62907999999999"/>
    <n v="183.10088000000002"/>
    <n v="325.51379500000002"/>
    <n v="165.81351299999997"/>
    <n v="159.70028200000004"/>
    <n v="14"/>
    <n v="14"/>
    <n v="37.090260000000001"/>
    <n v="35.809650000000005"/>
    <n v="322.19199000000003"/>
  </r>
  <r>
    <x v="9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4"/>
    <n v="14"/>
    <n v="0"/>
    <n v="0"/>
    <n v="0"/>
  </r>
  <r>
    <x v="98"/>
    <n v="5012"/>
    <n v="4866"/>
    <n v="42.31"/>
    <n v="37.56"/>
    <n v="0"/>
    <n v="0"/>
    <n v="0"/>
    <n v="4866"/>
    <n v="0"/>
    <n v="0"/>
    <n v="0"/>
    <n v="0"/>
    <n v="0"/>
    <n v="0"/>
    <n v="0"/>
    <n v="205.88046000000003"/>
    <n v="182.76696000000001"/>
    <n v="0"/>
    <n v="0"/>
    <n v="0"/>
    <n v="0"/>
    <n v="0"/>
    <n v="14"/>
    <n v="15"/>
    <n v="0"/>
    <n v="0"/>
    <n v="0"/>
  </r>
  <r>
    <x v="99"/>
    <n v="5539"/>
    <n v="5378"/>
    <n v="41.31"/>
    <n v="35.94"/>
    <n v="5022"/>
    <n v="39.85"/>
    <n v="35.15"/>
    <n v="5244"/>
    <n v="647.11"/>
    <n v="52.03"/>
    <n v="26.88"/>
    <n v="4415"/>
    <n v="5.81"/>
    <n v="5.33"/>
    <n v="60.9"/>
    <n v="222.16518000000002"/>
    <n v="193.28531999999998"/>
    <n v="200.1267"/>
    <n v="176.52329999999998"/>
    <n v="336.69133299999999"/>
    <n v="173.94316800000001"/>
    <n v="162.74816499999997"/>
    <n v="15"/>
    <n v="15"/>
    <n v="25.651149999999998"/>
    <n v="23.531950000000002"/>
    <n v="268.87349999999998"/>
  </r>
  <r>
    <x v="100"/>
    <n v="4864"/>
    <n v="4722"/>
    <n v="42.11"/>
    <n v="35.090000000000003"/>
    <n v="5027"/>
    <n v="40.06"/>
    <n v="34.1"/>
    <n v="4966"/>
    <n v="591.02"/>
    <n v="52.51"/>
    <n v="27.37"/>
    <n v="4475"/>
    <n v="8.69"/>
    <n v="8.27"/>
    <n v="67.39"/>
    <n v="198.84341999999998"/>
    <n v="165.69498000000002"/>
    <n v="201.38162000000003"/>
    <n v="171.42070000000001"/>
    <n v="310.34460199999995"/>
    <n v="161.76217399999999"/>
    <n v="148.58242799999996"/>
    <n v="15"/>
    <n v="15"/>
    <n v="38.887749999999997"/>
    <n v="37.008249999999997"/>
    <n v="301.57024999999999"/>
  </r>
  <r>
    <x v="101"/>
    <n v="5101"/>
    <n v="4952"/>
    <n v="42.22"/>
    <n v="35.630000000000003"/>
    <n v="5028"/>
    <n v="40.11"/>
    <n v="34.26"/>
    <n v="4918"/>
    <n v="601.05999999999995"/>
    <n v="51.52"/>
    <n v="26.51"/>
    <n v="4466"/>
    <n v="9.2899999999999991"/>
    <n v="6.89"/>
    <n v="68.069999999999993"/>
    <n v="209.07344000000001"/>
    <n v="176.43976000000001"/>
    <n v="201.67308"/>
    <n v="172.25927999999999"/>
    <n v="309.666112"/>
    <n v="159.34100599999999"/>
    <n v="150.32510600000001"/>
    <n v="15"/>
    <n v="15"/>
    <n v="41.489139999999999"/>
    <n v="30.770739999999996"/>
    <n v="304.00061999999997"/>
  </r>
  <r>
    <x v="102"/>
    <n v="5076"/>
    <n v="4928"/>
    <n v="43.63"/>
    <n v="36.96"/>
    <n v="5028"/>
    <n v="41.15"/>
    <n v="34.64"/>
    <n v="4846"/>
    <n v="617.21"/>
    <n v="54.93"/>
    <n v="28.58"/>
    <n v="4450"/>
    <n v="6.71"/>
    <n v="7.49"/>
    <n v="64.89"/>
    <n v="215.00864000000001"/>
    <n v="182.13888"/>
    <n v="206.90219999999999"/>
    <n v="174.16992000000002"/>
    <n v="339.03345300000001"/>
    <n v="176.398618"/>
    <n v="162.63483500000001"/>
    <n v="15"/>
    <n v="15"/>
    <n v="29.859500000000001"/>
    <n v="33.330500000000001"/>
    <n v="288.76049999999998"/>
  </r>
  <r>
    <x v="103"/>
    <n v="0"/>
    <n v="0"/>
    <n v="0"/>
    <n v="0"/>
    <n v="4868"/>
    <n v="40.89"/>
    <n v="34.68"/>
    <n v="0"/>
    <n v="623.70000000000005"/>
    <n v="53.32"/>
    <n v="27.65"/>
    <n v="4283"/>
    <n v="6.08"/>
    <n v="5.17"/>
    <n v="63.49"/>
    <n v="0"/>
    <n v="0"/>
    <n v="199.05251999999999"/>
    <n v="168.82223999999999"/>
    <n v="332.55684000000002"/>
    <n v="172.45304999999999"/>
    <n v="160.10379000000003"/>
    <n v="15"/>
    <n v="15"/>
    <n v="26.04064"/>
    <n v="22.14311"/>
    <n v="271.92766999999998"/>
  </r>
  <r>
    <x v="10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5"/>
    <n v="15"/>
    <n v="0"/>
    <n v="0"/>
    <n v="0"/>
  </r>
  <r>
    <x v="105"/>
    <n v="5426"/>
    <n v="5268"/>
    <n v="43.6"/>
    <n v="34.57"/>
    <n v="0"/>
    <n v="0"/>
    <n v="0"/>
    <n v="5268"/>
    <n v="0"/>
    <n v="0"/>
    <n v="0"/>
    <n v="0"/>
    <n v="0"/>
    <n v="0"/>
    <n v="0"/>
    <n v="229.68480000000002"/>
    <n v="182.11476000000002"/>
    <n v="0"/>
    <n v="0"/>
    <n v="0"/>
    <n v="0"/>
    <n v="0"/>
    <n v="15"/>
    <n v="16"/>
    <n v="0"/>
    <n v="0"/>
    <n v="0"/>
  </r>
  <r>
    <x v="106"/>
    <n v="5304"/>
    <n v="5150"/>
    <n v="42.92"/>
    <n v="36.39"/>
    <n v="5026"/>
    <n v="41.53"/>
    <n v="34.049999999999997"/>
    <n v="5418"/>
    <n v="608.29999999999995"/>
    <n v="53.99"/>
    <n v="28.03"/>
    <n v="4457"/>
    <n v="8.36"/>
    <n v="7.95"/>
    <n v="66.36"/>
    <n v="221.03800000000001"/>
    <n v="187.4085"/>
    <n v="208.72978000000001"/>
    <n v="171.1353"/>
    <n v="328.42116999999996"/>
    <n v="170.50648999999999"/>
    <n v="157.91467999999998"/>
    <n v="16"/>
    <n v="16"/>
    <n v="37.26052"/>
    <n v="35.433150000000005"/>
    <n v="295.76652000000001"/>
  </r>
  <r>
    <x v="107"/>
    <n v="4960"/>
    <n v="4816"/>
    <n v="40.57"/>
    <n v="34.5"/>
    <n v="5025"/>
    <n v="39.99"/>
    <n v="33.39"/>
    <n v="5234"/>
    <n v="631.14"/>
    <n v="52.27"/>
    <n v="26.72"/>
    <n v="4434"/>
    <n v="7.15"/>
    <n v="5.59"/>
    <n v="63.45"/>
    <n v="195.38512"/>
    <n v="166.15199999999999"/>
    <n v="200.94974999999999"/>
    <n v="167.78475"/>
    <n v="329.89687800000002"/>
    <n v="168.64060799999999"/>
    <n v="161.25627000000003"/>
    <n v="16"/>
    <n v="16"/>
    <n v="31.703100000000003"/>
    <n v="24.786059999999999"/>
    <n v="281.33729999999997"/>
  </r>
  <r>
    <x v="108"/>
    <n v="5309"/>
    <n v="5154"/>
    <n v="40.950000000000003"/>
    <n v="36.979999999999997"/>
    <n v="5018"/>
    <n v="39.81"/>
    <n v="34.299999999999997"/>
    <n v="5388"/>
    <n v="665.3"/>
    <n v="50.53"/>
    <n v="26"/>
    <n v="4393"/>
    <n v="5.98"/>
    <n v="3.77"/>
    <n v="60.87"/>
    <n v="211.05630000000002"/>
    <n v="190.59491999999997"/>
    <n v="199.76658"/>
    <n v="172.1174"/>
    <n v="336.17608999999999"/>
    <n v="172.97799999999998"/>
    <n v="163.19809000000001"/>
    <n v="16"/>
    <n v="16"/>
    <n v="26.270140000000001"/>
    <n v="16.561610000000002"/>
    <n v="267.40190999999999"/>
  </r>
  <r>
    <x v="109"/>
    <n v="5335"/>
    <n v="5180"/>
    <n v="40.590000000000003"/>
    <n v="36.659999999999997"/>
    <n v="5031"/>
    <n v="39.090000000000003"/>
    <n v="34.520000000000003"/>
    <n v="5568"/>
    <n v="610.86"/>
    <n v="51.82"/>
    <n v="27.5"/>
    <n v="4460"/>
    <n v="6.27"/>
    <n v="6.76"/>
    <n v="64.2"/>
    <n v="210.25620000000001"/>
    <n v="189.89879999999999"/>
    <n v="196.66179"/>
    <n v="173.67012000000003"/>
    <n v="316.54765200000003"/>
    <n v="167.98650000000001"/>
    <n v="148.56115200000002"/>
    <n v="16"/>
    <n v="16"/>
    <n v="27.964199999999998"/>
    <n v="30.1496"/>
    <n v="286.33199999999999"/>
  </r>
  <r>
    <x v="110"/>
    <n v="0"/>
    <n v="0"/>
    <n v="0"/>
    <n v="0"/>
    <n v="5589"/>
    <n v="39.35"/>
    <n v="34.81"/>
    <n v="0"/>
    <n v="688.41"/>
    <n v="51.4"/>
    <n v="27.68"/>
    <n v="4945"/>
    <n v="5.82"/>
    <n v="7.94"/>
    <n v="64.81"/>
    <n v="0"/>
    <n v="0"/>
    <n v="219.92714999999998"/>
    <n v="194.55309000000003"/>
    <n v="353.84273999999999"/>
    <n v="190.55188799999999"/>
    <n v="163.290852"/>
    <n v="16"/>
    <n v="16"/>
    <n v="28.779900000000001"/>
    <n v="39.263300000000001"/>
    <n v="320.48545000000001"/>
  </r>
  <r>
    <x v="11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6"/>
    <n v="16"/>
    <n v="0"/>
    <n v="0"/>
    <n v="0"/>
  </r>
  <r>
    <x v="112"/>
    <n v="4751"/>
    <n v="4613"/>
    <n v="41.41"/>
    <n v="34.81"/>
    <n v="0"/>
    <n v="0"/>
    <n v="0"/>
    <n v="4613"/>
    <n v="0"/>
    <n v="0"/>
    <n v="0"/>
    <n v="0"/>
    <n v="0"/>
    <n v="0"/>
    <n v="0"/>
    <n v="191.02432999999999"/>
    <n v="160.57853"/>
    <n v="0"/>
    <n v="0"/>
    <n v="0"/>
    <n v="0"/>
    <n v="0"/>
    <n v="16"/>
    <n v="17"/>
    <n v="0"/>
    <n v="0"/>
    <n v="0"/>
  </r>
  <r>
    <x v="113"/>
    <n v="5635"/>
    <n v="5471"/>
    <n v="39.57"/>
    <n v="35.869999999999997"/>
    <n v="5028"/>
    <n v="38.65"/>
    <n v="33.72"/>
    <n v="5084"/>
    <n v="636.80999999999995"/>
    <n v="51.18"/>
    <n v="26.67"/>
    <n v="4431"/>
    <n v="5.47"/>
    <n v="6.81"/>
    <n v="62.68"/>
    <n v="216.48747"/>
    <n v="196.24476999999999"/>
    <n v="194.33219999999997"/>
    <n v="169.54416000000001"/>
    <n v="325.91935799999993"/>
    <n v="169.83722699999998"/>
    <n v="156.08213099999995"/>
    <n v="17"/>
    <n v="17"/>
    <n v="24.237569999999998"/>
    <n v="30.175109999999997"/>
    <n v="277.73508000000004"/>
  </r>
  <r>
    <x v="114"/>
    <n v="5183"/>
    <n v="5032"/>
    <n v="42.95"/>
    <n v="37"/>
    <n v="5020"/>
    <n v="39.92"/>
    <n v="34.69"/>
    <n v="5116"/>
    <n v="614.67999999999995"/>
    <n v="54.34"/>
    <n v="28.51"/>
    <n v="4445"/>
    <n v="5.53"/>
    <n v="6.67"/>
    <n v="62.6"/>
    <n v="216.12440000000004"/>
    <n v="186.184"/>
    <n v="200.39839999999998"/>
    <n v="174.1438"/>
    <n v="334.017112"/>
    <n v="175.24526800000001"/>
    <n v="158.77184399999999"/>
    <n v="17"/>
    <n v="17"/>
    <n v="24.580850000000002"/>
    <n v="29.648150000000001"/>
    <n v="278.25700000000001"/>
  </r>
  <r>
    <x v="115"/>
    <n v="5354"/>
    <n v="5198"/>
    <n v="42.58"/>
    <n v="34.46"/>
    <n v="5020"/>
    <n v="40.14"/>
    <n v="34.08"/>
    <n v="5314"/>
    <n v="565.74"/>
    <n v="53.48"/>
    <n v="27.87"/>
    <n v="4493"/>
    <n v="9.6199999999999992"/>
    <n v="8.86"/>
    <n v="68.36"/>
    <n v="221.33083999999999"/>
    <n v="179.12308000000002"/>
    <n v="201.50279999999998"/>
    <n v="171.08160000000001"/>
    <n v="302.55775199999999"/>
    <n v="157.671738"/>
    <n v="144.88601399999999"/>
    <n v="17"/>
    <n v="17"/>
    <n v="43.222659999999998"/>
    <n v="39.807979999999993"/>
    <n v="307.14148"/>
  </r>
  <r>
    <x v="116"/>
    <n v="5364"/>
    <n v="5208"/>
    <n v="42.94"/>
    <n v="35.880000000000003"/>
    <n v="5021"/>
    <n v="40.79"/>
    <n v="34.21"/>
    <n v="5522"/>
    <n v="613.16999999999996"/>
    <n v="50.88"/>
    <n v="26.93"/>
    <n v="4447"/>
    <n v="8.69"/>
    <n v="7.35"/>
    <n v="66.709999999999994"/>
    <n v="223.63151999999999"/>
    <n v="186.86304000000001"/>
    <n v="204.80659"/>
    <n v="171.76841000000002"/>
    <n v="311.98089599999997"/>
    <n v="165.12668099999999"/>
    <n v="146.85421499999998"/>
    <n v="17"/>
    <n v="17"/>
    <n v="38.64443"/>
    <n v="32.685449999999996"/>
    <n v="296.65936999999997"/>
  </r>
  <r>
    <x v="117"/>
    <n v="0"/>
    <n v="0"/>
    <n v="0"/>
    <n v="0"/>
    <n v="5537"/>
    <n v="40.92"/>
    <n v="34.409999999999997"/>
    <n v="0"/>
    <n v="676.1"/>
    <n v="52.22"/>
    <n v="26.54"/>
    <n v="4904"/>
    <n v="9.48"/>
    <n v="6.16"/>
    <n v="67.55"/>
    <n v="0"/>
    <n v="0"/>
    <n v="226.57404"/>
    <n v="190.52816999999999"/>
    <n v="353.05942000000005"/>
    <n v="179.43693999999999"/>
    <n v="173.62248000000005"/>
    <n v="17"/>
    <n v="17"/>
    <n v="46.489920000000005"/>
    <n v="30.208639999999999"/>
    <n v="331.26519999999999"/>
  </r>
  <r>
    <x v="11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7"/>
    <n v="17"/>
    <n v="0"/>
    <n v="0"/>
    <n v="0"/>
  </r>
  <r>
    <x v="119"/>
    <n v="5078"/>
    <n v="4930"/>
    <n v="43"/>
    <n v="35.56"/>
    <n v="0"/>
    <n v="0"/>
    <n v="0"/>
    <n v="4930"/>
    <n v="0"/>
    <n v="0"/>
    <n v="0"/>
    <n v="0"/>
    <n v="0"/>
    <n v="0"/>
    <n v="0"/>
    <n v="211.99"/>
    <n v="175.31080000000003"/>
    <n v="0"/>
    <n v="0"/>
    <n v="0"/>
    <n v="0"/>
    <n v="0"/>
    <n v="17"/>
    <n v="18"/>
    <n v="0"/>
    <n v="0"/>
    <n v="0"/>
  </r>
  <r>
    <x v="120"/>
    <n v="5791"/>
    <n v="5622"/>
    <n v="42.87"/>
    <n v="36.29"/>
    <n v="5020"/>
    <n v="41.23"/>
    <n v="34.450000000000003"/>
    <n v="5552"/>
    <n v="617.42999999999995"/>
    <n v="50.63"/>
    <n v="25.89"/>
    <n v="4442"/>
    <n v="10.32"/>
    <n v="6.55"/>
    <n v="67.87"/>
    <n v="241.01513999999997"/>
    <n v="204.02238"/>
    <n v="206.97459999999998"/>
    <n v="172.93899999999999"/>
    <n v="312.60480899999999"/>
    <n v="159.85262699999998"/>
    <n v="152.752182"/>
    <n v="18"/>
    <n v="18"/>
    <n v="45.841440000000006"/>
    <n v="29.095099999999999"/>
    <n v="301.47854000000001"/>
  </r>
  <r>
    <x v="121"/>
    <n v="5106"/>
    <n v="4957"/>
    <n v="40.770000000000003"/>
    <n v="35.799999999999997"/>
    <n v="5026"/>
    <n v="40.06"/>
    <n v="34.520000000000003"/>
    <n v="5509"/>
    <n v="625.26"/>
    <n v="51.33"/>
    <n v="27.9"/>
    <n v="4441"/>
    <n v="5.87"/>
    <n v="7.66"/>
    <n v="64.17"/>
    <n v="202.09689"/>
    <n v="177.46059999999997"/>
    <n v="201.34155999999999"/>
    <n v="173.49752000000001"/>
    <n v="320.94595800000002"/>
    <n v="174.44753999999998"/>
    <n v="146.49841800000004"/>
    <n v="18"/>
    <n v="18"/>
    <n v="26.068670000000001"/>
    <n v="34.018059999999998"/>
    <n v="284.97897"/>
  </r>
  <r>
    <x v="122"/>
    <n v="5234"/>
    <n v="5082"/>
    <n v="39.630000000000003"/>
    <n v="35.520000000000003"/>
    <n v="5030"/>
    <n v="38.700000000000003"/>
    <n v="34.22"/>
    <n v="5591"/>
    <n v="660.75"/>
    <n v="51.7"/>
    <n v="26.48"/>
    <n v="4410"/>
    <n v="4.3499999999999996"/>
    <n v="4.7699999999999996"/>
    <n v="58.83"/>
    <n v="201.39966000000001"/>
    <n v="180.51264"/>
    <n v="194.661"/>
    <n v="172.1266"/>
    <n v="341.60775000000001"/>
    <n v="174.9666"/>
    <n v="166.64115000000001"/>
    <n v="18"/>
    <n v="18"/>
    <n v="19.183499999999999"/>
    <n v="21.035699999999999"/>
    <n v="259.44029999999998"/>
  </r>
  <r>
    <x v="123"/>
    <n v="4550"/>
    <n v="4417"/>
    <n v="43.97"/>
    <n v="35.86"/>
    <n v="5019"/>
    <n v="40.29"/>
    <n v="34.25"/>
    <n v="5008"/>
    <n v="619.69000000000005"/>
    <n v="52.62"/>
    <n v="27.6"/>
    <n v="4439"/>
    <n v="6.87"/>
    <n v="6.41"/>
    <n v="65.040000000000006"/>
    <n v="194.21548999999999"/>
    <n v="158.39362"/>
    <n v="202.21551000000002"/>
    <n v="171.90074999999999"/>
    <n v="326.08087799999998"/>
    <n v="171.03444000000002"/>
    <n v="155.04643799999997"/>
    <n v="18"/>
    <n v="18"/>
    <n v="30.495930000000001"/>
    <n v="28.453990000000001"/>
    <n v="288.71256000000005"/>
  </r>
  <r>
    <x v="124"/>
    <n v="0"/>
    <n v="0"/>
    <n v="0"/>
    <n v="0"/>
    <n v="5028"/>
    <n v="40.36"/>
    <n v="34.630000000000003"/>
    <n v="0"/>
    <n v="670.1"/>
    <n v="51.67"/>
    <n v="27.02"/>
    <n v="4399"/>
    <n v="4.8600000000000003"/>
    <n v="3.56"/>
    <n v="59.11"/>
    <n v="0"/>
    <n v="0"/>
    <n v="202.93007999999998"/>
    <n v="174.11964"/>
    <n v="346.24067000000002"/>
    <n v="181.06101999999998"/>
    <n v="165.17965000000004"/>
    <n v="18"/>
    <n v="18"/>
    <n v="21.379140000000003"/>
    <n v="15.660440000000001"/>
    <n v="260.02488999999997"/>
  </r>
  <r>
    <x v="12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8"/>
    <n v="18"/>
    <n v="0"/>
    <n v="0"/>
    <n v="0"/>
  </r>
  <r>
    <x v="126"/>
    <n v="5162"/>
    <n v="5012"/>
    <n v="44.86"/>
    <n v="36.29"/>
    <n v="0"/>
    <n v="0"/>
    <n v="0"/>
    <n v="5012"/>
    <n v="0"/>
    <n v="0"/>
    <n v="0"/>
    <n v="0"/>
    <n v="0"/>
    <n v="0"/>
    <n v="0"/>
    <n v="224.83832000000001"/>
    <n v="181.88547999999997"/>
    <n v="0"/>
    <n v="0"/>
    <n v="0"/>
    <n v="0"/>
    <n v="0"/>
    <n v="18"/>
    <n v="19"/>
    <n v="0"/>
    <n v="0"/>
    <n v="0"/>
  </r>
  <r>
    <x v="127"/>
    <n v="5171"/>
    <n v="5020"/>
    <n v="42.73"/>
    <n v="35.29"/>
    <n v="5027"/>
    <n v="41.66"/>
    <n v="34.54"/>
    <n v="5032"/>
    <n v="600.6"/>
    <n v="54.18"/>
    <n v="27.43"/>
    <n v="4466"/>
    <n v="9.8699999999999992"/>
    <n v="8.19"/>
    <n v="68.83"/>
    <n v="214.50459999999998"/>
    <n v="177.1558"/>
    <n v="209.42481999999998"/>
    <n v="173.63257999999999"/>
    <n v="325.40508"/>
    <n v="164.74457999999998"/>
    <n v="160.66050000000001"/>
    <n v="19"/>
    <n v="19"/>
    <n v="44.079419999999999"/>
    <n v="36.576540000000001"/>
    <n v="307.39477999999997"/>
  </r>
  <r>
    <x v="128"/>
    <n v="4868"/>
    <n v="4726"/>
    <n v="39.6"/>
    <n v="36.950000000000003"/>
    <n v="5025"/>
    <n v="39.880000000000003"/>
    <n v="34.69"/>
    <n v="4758"/>
    <n v="608.79"/>
    <n v="53.03"/>
    <n v="28.04"/>
    <n v="4456"/>
    <n v="6.52"/>
    <n v="6.68"/>
    <n v="64.77"/>
    <n v="187.14959999999999"/>
    <n v="174.62570000000002"/>
    <n v="200.39699999999999"/>
    <n v="174.31725"/>
    <n v="322.84133700000001"/>
    <n v="170.70471599999996"/>
    <n v="152.13662100000005"/>
    <n v="19"/>
    <n v="19"/>
    <n v="29.05312"/>
    <n v="29.766079999999999"/>
    <n v="288.61511999999999"/>
  </r>
  <r>
    <x v="129"/>
    <n v="5193"/>
    <n v="5042"/>
    <n v="42.86"/>
    <n v="35.21"/>
    <n v="5018"/>
    <n v="40.619999999999997"/>
    <n v="33.99"/>
    <n v="4800"/>
    <n v="632.05999999999995"/>
    <n v="51.01"/>
    <n v="27.21"/>
    <n v="4426"/>
    <n v="7.03"/>
    <n v="5.9"/>
    <n v="63.8"/>
    <n v="216.10012"/>
    <n v="177.52882"/>
    <n v="203.83115999999998"/>
    <n v="170.56182000000001"/>
    <n v="322.41380599999997"/>
    <n v="171.98352599999998"/>
    <n v="150.43027999999998"/>
    <n v="19"/>
    <n v="19"/>
    <n v="31.114780000000003"/>
    <n v="26.113400000000002"/>
    <n v="282.37880000000001"/>
  </r>
  <r>
    <x v="130"/>
    <n v="4502"/>
    <n v="4371"/>
    <n v="39.31"/>
    <n v="36.03"/>
    <n v="5022"/>
    <n v="39.369999999999997"/>
    <n v="34.26"/>
    <n v="4171"/>
    <n v="635.69000000000005"/>
    <n v="49.18"/>
    <n v="25.71"/>
    <n v="4426"/>
    <n v="7.58"/>
    <n v="6.15"/>
    <n v="64.56"/>
    <n v="171.82401000000002"/>
    <n v="157.48713000000001"/>
    <n v="197.71614"/>
    <n v="172.05372"/>
    <n v="312.63234200000005"/>
    <n v="163.43589900000003"/>
    <n v="149.19644300000002"/>
    <n v="19"/>
    <n v="19"/>
    <n v="33.549080000000004"/>
    <n v="27.219900000000003"/>
    <n v="285.74256000000003"/>
  </r>
  <r>
    <x v="131"/>
    <n v="0"/>
    <n v="0"/>
    <n v="0"/>
    <n v="0"/>
    <n v="4189"/>
    <n v="39.06"/>
    <n v="34.44"/>
    <n v="0"/>
    <n v="525"/>
    <n v="52.02"/>
    <n v="26.78"/>
    <n v="3697"/>
    <n v="6.08"/>
    <n v="4.8499999999999996"/>
    <n v="61.58"/>
    <n v="0"/>
    <n v="0"/>
    <n v="163.62234000000001"/>
    <n v="144.26916"/>
    <n v="273.10500000000002"/>
    <n v="140.595"/>
    <n v="132.51000000000002"/>
    <n v="19"/>
    <n v="19"/>
    <n v="22.477760000000004"/>
    <n v="17.930449999999997"/>
    <n v="227.66125999999997"/>
  </r>
  <r>
    <x v="13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9"/>
    <n v="19"/>
    <n v="0"/>
    <n v="0"/>
    <n v="0"/>
  </r>
  <r>
    <x v="133"/>
    <n v="5013"/>
    <n v="4867"/>
    <n v="41.72"/>
    <n v="35.479999999999997"/>
    <n v="0"/>
    <n v="0"/>
    <n v="0"/>
    <n v="4867"/>
    <n v="0"/>
    <n v="0"/>
    <n v="0"/>
    <n v="0"/>
    <n v="0"/>
    <n v="0"/>
    <n v="0"/>
    <n v="203.05123999999998"/>
    <n v="172.68115999999998"/>
    <n v="0"/>
    <n v="0"/>
    <n v="0"/>
    <n v="0"/>
    <n v="0"/>
    <n v="19"/>
    <n v="20"/>
    <n v="0"/>
    <n v="0"/>
    <n v="0"/>
  </r>
  <r>
    <x v="134"/>
    <n v="5692"/>
    <n v="5526"/>
    <n v="41.65"/>
    <n v="36.56"/>
    <n v="5020"/>
    <n v="39.76"/>
    <n v="34.46"/>
    <n v="5393"/>
    <n v="633.84"/>
    <n v="51.11"/>
    <n v="26.93"/>
    <n v="4426"/>
    <n v="6.42"/>
    <n v="5.5"/>
    <n v="63.57"/>
    <n v="230.15789999999998"/>
    <n v="202.03056000000004"/>
    <n v="199.59519999999998"/>
    <n v="172.98920000000001"/>
    <n v="323.955624"/>
    <n v="170.69311200000001"/>
    <n v="153.26251199999999"/>
    <n v="20"/>
    <n v="20"/>
    <n v="28.414919999999999"/>
    <n v="24.343"/>
    <n v="281.36081999999999"/>
  </r>
  <r>
    <x v="135"/>
    <n v="4935"/>
    <n v="4791"/>
    <n v="40.74"/>
    <n v="33.89"/>
    <n v="5031"/>
    <n v="39.64"/>
    <n v="33.200000000000003"/>
    <n v="5184"/>
    <n v="636.63"/>
    <n v="50.74"/>
    <n v="26.92"/>
    <n v="4434"/>
    <n v="6.21"/>
    <n v="6.05"/>
    <n v="63.2"/>
    <n v="195.18534"/>
    <n v="162.36698999999999"/>
    <n v="199.42884000000001"/>
    <n v="167.0292"/>
    <n v="323.02606200000002"/>
    <n v="171.380796"/>
    <n v="151.64526600000002"/>
    <n v="20"/>
    <n v="20"/>
    <n v="27.535139999999998"/>
    <n v="26.825700000000001"/>
    <n v="280.22879999999998"/>
  </r>
  <r>
    <x v="136"/>
    <n v="5340"/>
    <n v="5184"/>
    <n v="42.42"/>
    <n v="34.24"/>
    <n v="5026"/>
    <n v="39.93"/>
    <n v="33.17"/>
    <n v="5368"/>
    <n v="597.37"/>
    <n v="54.75"/>
    <n v="28.26"/>
    <n v="4468"/>
    <n v="7.04"/>
    <n v="6.11"/>
    <n v="62.15"/>
    <n v="219.90528"/>
    <n v="177.50015999999999"/>
    <n v="200.68817999999999"/>
    <n v="166.71242000000001"/>
    <n v="327.06007499999998"/>
    <n v="168.81676200000001"/>
    <n v="158.24331299999997"/>
    <n v="20"/>
    <n v="20"/>
    <n v="31.454720000000002"/>
    <n v="27.299480000000003"/>
    <n v="277.68619999999999"/>
  </r>
  <r>
    <x v="137"/>
    <n v="5008"/>
    <n v="4862"/>
    <n v="41.96"/>
    <n v="36.25"/>
    <n v="5032"/>
    <n v="40.229999999999997"/>
    <n v="34.130000000000003"/>
    <n v="5230"/>
    <n v="569.86"/>
    <n v="54.31"/>
    <n v="26.98"/>
    <n v="4501"/>
    <n v="10.6"/>
    <n v="8.6"/>
    <n v="69"/>
    <n v="204.00952000000001"/>
    <n v="176.2475"/>
    <n v="202.43735999999998"/>
    <n v="171.74216000000001"/>
    <n v="309.49096600000001"/>
    <n v="153.74822800000001"/>
    <n v="155.742738"/>
    <n v="20"/>
    <n v="20"/>
    <n v="47.710599999999999"/>
    <n v="38.708599999999997"/>
    <n v="310.56900000000002"/>
  </r>
  <r>
    <x v="138"/>
    <n v="0"/>
    <n v="0"/>
    <n v="0"/>
    <n v="0"/>
    <n v="5254"/>
    <n v="40.08"/>
    <n v="33.69"/>
    <n v="0"/>
    <n v="674.36"/>
    <n v="49.92"/>
    <n v="25.94"/>
    <n v="4622"/>
    <n v="7.56"/>
    <n v="3.9"/>
    <n v="61.3"/>
    <n v="0"/>
    <n v="0"/>
    <n v="210.58031999999997"/>
    <n v="177.00725999999997"/>
    <n v="336.640512"/>
    <n v="174.92898400000001"/>
    <n v="161.71152799999999"/>
    <n v="20"/>
    <n v="20"/>
    <n v="34.942320000000002"/>
    <n v="18.0258"/>
    <n v="283.32859999999999"/>
  </r>
  <r>
    <x v="13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0"/>
    <n v="20"/>
    <n v="0"/>
    <n v="0"/>
    <n v="0"/>
  </r>
  <r>
    <x v="140"/>
    <n v="4993"/>
    <n v="4848"/>
    <n v="43.6"/>
    <n v="35.869999999999997"/>
    <n v="0"/>
    <n v="0"/>
    <n v="0"/>
    <n v="4848"/>
    <n v="0"/>
    <n v="0"/>
    <n v="0"/>
    <n v="0"/>
    <n v="0"/>
    <n v="0"/>
    <n v="0"/>
    <n v="211.37280000000001"/>
    <n v="173.89775999999998"/>
    <n v="0"/>
    <n v="0"/>
    <n v="0"/>
    <n v="0"/>
    <n v="0"/>
    <n v="20"/>
    <n v="21"/>
    <n v="0"/>
    <n v="0"/>
    <n v="0"/>
  </r>
  <r>
    <x v="141"/>
    <n v="5378"/>
    <n v="5221"/>
    <n v="43.81"/>
    <n v="36.729999999999997"/>
    <n v="5026"/>
    <n v="41.69"/>
    <n v="34.630000000000003"/>
    <n v="5069"/>
    <n v="657.65"/>
    <n v="51.6"/>
    <n v="27.23"/>
    <n v="4409"/>
    <n v="6.71"/>
    <n v="5.13"/>
    <n v="62.92"/>
    <n v="228.73201"/>
    <n v="191.76732999999999"/>
    <n v="209.53394"/>
    <n v="174.05038000000002"/>
    <n v="339.34739999999999"/>
    <n v="179.07809499999999"/>
    <n v="160.269305"/>
    <n v="21"/>
    <n v="21"/>
    <n v="29.584389999999999"/>
    <n v="22.618169999999999"/>
    <n v="277.41428000000002"/>
  </r>
  <r>
    <x v="142"/>
    <n v="5097"/>
    <n v="4949"/>
    <n v="42.2"/>
    <n v="35.409999999999997"/>
    <n v="5028"/>
    <n v="41.08"/>
    <n v="34.35"/>
    <n v="5018"/>
    <n v="630.71"/>
    <n v="51.65"/>
    <n v="26.36"/>
    <n v="4437"/>
    <n v="8.9499999999999993"/>
    <n v="5.64"/>
    <n v="65.06"/>
    <n v="208.84780000000001"/>
    <n v="175.24409"/>
    <n v="206.55024"/>
    <n v="172.71180000000001"/>
    <n v="325.76171499999998"/>
    <n v="166.255156"/>
    <n v="159.50655899999998"/>
    <n v="21"/>
    <n v="21"/>
    <n v="39.711149999999996"/>
    <n v="25.02468"/>
    <n v="288.67122000000001"/>
  </r>
  <r>
    <x v="143"/>
    <n v="5130"/>
    <n v="4981"/>
    <n v="44.24"/>
    <n v="36.83"/>
    <n v="5019"/>
    <n v="41.65"/>
    <n v="35.15"/>
    <n v="4999"/>
    <n v="638.44000000000005"/>
    <n v="51.54"/>
    <n v="26.42"/>
    <n v="4421"/>
    <n v="8.93"/>
    <n v="5.66"/>
    <n v="67.5"/>
    <n v="220.35944000000001"/>
    <n v="183.45022999999998"/>
    <n v="209.04134999999999"/>
    <n v="176.41785000000002"/>
    <n v="329.05197599999997"/>
    <n v="168.67584800000003"/>
    <n v="160.37612799999994"/>
    <n v="21"/>
    <n v="21"/>
    <n v="39.479529999999997"/>
    <n v="25.022860000000001"/>
    <n v="298.41750000000002"/>
  </r>
  <r>
    <x v="144"/>
    <n v="5078"/>
    <n v="4930"/>
    <n v="42.33"/>
    <n v="35.25"/>
    <n v="5029"/>
    <n v="40.99"/>
    <n v="34.340000000000003"/>
    <n v="4929"/>
    <n v="602.5"/>
    <n v="51.24"/>
    <n v="26.67"/>
    <n v="4466"/>
    <n v="10"/>
    <n v="8.1"/>
    <n v="69.42"/>
    <n v="208.68689999999998"/>
    <n v="173.7825"/>
    <n v="206.13871000000003"/>
    <n v="172.69586000000001"/>
    <n v="308.721"/>
    <n v="160.68675000000002"/>
    <n v="148.03424999999999"/>
    <n v="21"/>
    <n v="21"/>
    <n v="44.66"/>
    <n v="36.174599999999998"/>
    <n v="310.02972000000005"/>
  </r>
  <r>
    <x v="145"/>
    <n v="0"/>
    <n v="0"/>
    <n v="0"/>
    <n v="0"/>
    <n v="4956"/>
    <n v="41.01"/>
    <n v="34.01"/>
    <n v="0"/>
    <n v="628.96"/>
    <n v="54.2"/>
    <n v="28.24"/>
    <n v="4367"/>
    <n v="5.77"/>
    <n v="4.83"/>
    <n v="60.48"/>
    <n v="0"/>
    <n v="0"/>
    <n v="203.24556000000001"/>
    <n v="168.55356"/>
    <n v="340.89632000000006"/>
    <n v="177.61830399999999"/>
    <n v="163.27801600000006"/>
    <n v="21"/>
    <n v="21"/>
    <n v="25.197589999999998"/>
    <n v="21.092610000000001"/>
    <n v="264.11615999999998"/>
  </r>
  <r>
    <x v="14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1"/>
    <n v="21"/>
    <n v="0"/>
    <n v="0"/>
    <n v="0"/>
  </r>
  <r>
    <x v="147"/>
    <n v="5103"/>
    <n v="4954"/>
    <n v="43.05"/>
    <n v="36.93"/>
    <n v="0"/>
    <n v="0"/>
    <n v="0"/>
    <n v="4954"/>
    <n v="0"/>
    <n v="0"/>
    <n v="0"/>
    <n v="0"/>
    <n v="0"/>
    <n v="0"/>
    <n v="0"/>
    <n v="213.26969999999997"/>
    <n v="182.95122000000001"/>
    <n v="0"/>
    <n v="0"/>
    <n v="0"/>
    <n v="0"/>
    <n v="0"/>
    <n v="21"/>
    <n v="22"/>
    <n v="0"/>
    <n v="0"/>
    <n v="0"/>
  </r>
  <r>
    <x v="148"/>
    <n v="5105"/>
    <n v="4956"/>
    <n v="41.04"/>
    <n v="36.17"/>
    <n v="5025"/>
    <n v="39.729999999999997"/>
    <n v="34.909999999999997"/>
    <n v="4910"/>
    <n v="603.5"/>
    <n v="52.56"/>
    <n v="28.1"/>
    <n v="4461"/>
    <n v="6.63"/>
    <n v="8.58"/>
    <n v="66.349999999999994"/>
    <n v="203.39424"/>
    <n v="179.25852000000003"/>
    <n v="199.64324999999997"/>
    <n v="175.42274999999998"/>
    <n v="317.19960000000003"/>
    <n v="169.58350000000002"/>
    <n v="147.61610000000002"/>
    <n v="22"/>
    <n v="22"/>
    <n v="29.576430000000002"/>
    <n v="38.275379999999998"/>
    <n v="295.98734999999999"/>
  </r>
  <r>
    <x v="149"/>
    <n v="4746"/>
    <n v="4608"/>
    <n v="45.06"/>
    <n v="36.03"/>
    <n v="5022"/>
    <n v="41.89"/>
    <n v="34.4"/>
    <n v="4518"/>
    <n v="615.54"/>
    <n v="53.74"/>
    <n v="27.03"/>
    <n v="4446"/>
    <n v="9.76"/>
    <n v="6.05"/>
    <n v="67.91"/>
    <n v="207.63648000000001"/>
    <n v="166.02624"/>
    <n v="210.37158000000002"/>
    <n v="172.7568"/>
    <n v="330.79119599999996"/>
    <n v="166.38046199999999"/>
    <n v="164.41073399999996"/>
    <n v="22"/>
    <n v="22"/>
    <n v="43.392960000000002"/>
    <n v="26.898299999999999"/>
    <n v="301.92786000000001"/>
  </r>
  <r>
    <x v="150"/>
    <n v="5047"/>
    <n v="4900"/>
    <n v="41.01"/>
    <n v="35.61"/>
    <n v="5030"/>
    <n v="40.229999999999997"/>
    <n v="34.33"/>
    <n v="4418"/>
    <n v="627.4"/>
    <n v="54.29"/>
    <n v="28.58"/>
    <n v="4442"/>
    <n v="5.12"/>
    <n v="6.98"/>
    <n v="63.44"/>
    <n v="200.94900000000001"/>
    <n v="174.489"/>
    <n v="202.3569"/>
    <n v="172.6799"/>
    <n v="340.61545999999993"/>
    <n v="179.31091999999998"/>
    <n v="161.30453999999995"/>
    <n v="22"/>
    <n v="22"/>
    <n v="22.743040000000001"/>
    <n v="31.005160000000004"/>
    <n v="281.80047999999999"/>
  </r>
  <r>
    <x v="151"/>
    <n v="5217"/>
    <n v="5065"/>
    <n v="42.29"/>
    <n v="34.380000000000003"/>
    <n v="5029"/>
    <n v="40.42"/>
    <n v="33.520000000000003"/>
    <n v="4483"/>
    <n v="687.35"/>
    <n v="49.97"/>
    <n v="26.59"/>
    <n v="4383"/>
    <n v="4.59"/>
    <n v="3.13"/>
    <n v="58.65"/>
    <n v="214.19884999999999"/>
    <n v="174.13470000000001"/>
    <n v="203.27218000000002"/>
    <n v="168.57208000000003"/>
    <n v="343.468795"/>
    <n v="182.76636500000001"/>
    <n v="160.70242999999999"/>
    <n v="22"/>
    <n v="22"/>
    <n v="20.11797"/>
    <n v="13.718789999999998"/>
    <n v="257.06295"/>
  </r>
  <r>
    <x v="152"/>
    <n v="0"/>
    <n v="0"/>
    <n v="0"/>
    <n v="0"/>
    <n v="4502"/>
    <n v="40.36"/>
    <n v="33.229999999999997"/>
    <n v="0"/>
    <n v="621.77"/>
    <n v="49.61"/>
    <n v="26.13"/>
    <n v="3917"/>
    <n v="4.8499999999999996"/>
    <n v="0.61"/>
    <n v="56.97"/>
    <n v="0"/>
    <n v="0"/>
    <n v="181.70071999999999"/>
    <n v="149.60146"/>
    <n v="308.46009699999996"/>
    <n v="162.468501"/>
    <n v="145.99159599999996"/>
    <n v="22"/>
    <n v="22"/>
    <n v="18.997449999999997"/>
    <n v="2.38937"/>
    <n v="223.15149"/>
  </r>
  <r>
    <x v="15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2"/>
    <n v="22"/>
    <n v="0"/>
    <n v="0"/>
    <n v="0"/>
  </r>
  <r>
    <x v="154"/>
    <n v="5022"/>
    <n v="4876"/>
    <n v="41.27"/>
    <n v="36.86"/>
    <n v="0"/>
    <n v="0"/>
    <n v="0"/>
    <n v="4876"/>
    <n v="0"/>
    <n v="0"/>
    <n v="0"/>
    <n v="0"/>
    <n v="0"/>
    <n v="0"/>
    <n v="0"/>
    <n v="201.23252000000002"/>
    <n v="179.72935999999999"/>
    <n v="0"/>
    <n v="0"/>
    <n v="0"/>
    <n v="0"/>
    <n v="0"/>
    <n v="22"/>
    <n v="23"/>
    <n v="0"/>
    <n v="0"/>
    <n v="0"/>
  </r>
  <r>
    <x v="155"/>
    <n v="5038"/>
    <n v="4891"/>
    <n v="43.33"/>
    <n v="35.26"/>
    <n v="5019"/>
    <n v="40.74"/>
    <n v="34.479999999999997"/>
    <n v="4767"/>
    <n v="599.02"/>
    <n v="53.53"/>
    <n v="26.27"/>
    <n v="4459"/>
    <n v="10.33"/>
    <n v="6.61"/>
    <n v="67.02"/>
    <n v="211.92703"/>
    <n v="172.45666"/>
    <n v="204.47406000000001"/>
    <n v="173.05511999999999"/>
    <n v="320.65540600000003"/>
    <n v="157.36255399999999"/>
    <n v="163.29285200000004"/>
    <n v="23"/>
    <n v="23"/>
    <n v="46.06147"/>
    <n v="29.473990000000001"/>
    <n v="298.84217999999998"/>
  </r>
  <r>
    <x v="156"/>
    <n v="5263"/>
    <n v="5110"/>
    <n v="44"/>
    <n v="35.56"/>
    <n v="5033"/>
    <n v="40.880000000000003"/>
    <n v="34"/>
    <n v="4877"/>
    <n v="640.99"/>
    <n v="50.9"/>
    <n v="26.4"/>
    <n v="4432"/>
    <n v="8.08"/>
    <n v="4.63"/>
    <n v="63.33"/>
    <n v="224.84"/>
    <n v="181.7116"/>
    <n v="205.74904000000001"/>
    <n v="171.12200000000001"/>
    <n v="326.26391000000001"/>
    <n v="169.22135999999998"/>
    <n v="157.04255000000003"/>
    <n v="23"/>
    <n v="23"/>
    <n v="35.810559999999995"/>
    <n v="20.520160000000001"/>
    <n v="280.67856"/>
  </r>
  <r>
    <x v="157"/>
    <n v="5155"/>
    <n v="5005"/>
    <n v="41.98"/>
    <n v="34.4"/>
    <n v="5023"/>
    <n v="40.590000000000003"/>
    <n v="33.479999999999997"/>
    <n v="4882"/>
    <n v="598.89"/>
    <n v="53.46"/>
    <n v="28.03"/>
    <n v="4463"/>
    <n v="7.89"/>
    <n v="7.24"/>
    <n v="66.06"/>
    <n v="210.10989999999998"/>
    <n v="172.172"/>
    <n v="203.88357000000002"/>
    <n v="168.17003999999997"/>
    <n v="320.16659400000003"/>
    <n v="167.86886699999999"/>
    <n v="152.29772700000004"/>
    <n v="23"/>
    <n v="23"/>
    <n v="35.213070000000002"/>
    <n v="32.31212"/>
    <n v="294.82578000000001"/>
  </r>
  <r>
    <x v="158"/>
    <n v="5311"/>
    <n v="5156"/>
    <n v="42.47"/>
    <n v="35.79"/>
    <n v="5032"/>
    <n v="40.71"/>
    <n v="33.93"/>
    <n v="5038"/>
    <n v="607.97"/>
    <n v="52.18"/>
    <n v="27.27"/>
    <n v="4463"/>
    <n v="8.6"/>
    <n v="6.54"/>
    <n v="65.3"/>
    <n v="218.97532000000001"/>
    <n v="184.53323999999998"/>
    <n v="204.85272000000001"/>
    <n v="170.73576"/>
    <n v="317.23874600000005"/>
    <n v="165.793419"/>
    <n v="151.44532700000005"/>
    <n v="23"/>
    <n v="23"/>
    <n v="38.381799999999998"/>
    <n v="29.188020000000002"/>
    <n v="291.43389999999994"/>
  </r>
  <r>
    <x v="159"/>
    <n v="0"/>
    <n v="0"/>
    <n v="0"/>
    <n v="0"/>
    <n v="5064"/>
    <n v="40.65"/>
    <n v="33.83"/>
    <n v="0"/>
    <n v="640.16999999999996"/>
    <n v="53.53"/>
    <n v="27.42"/>
    <n v="4464"/>
    <n v="6.65"/>
    <n v="4.6900000000000004"/>
    <n v="63.09"/>
    <n v="0"/>
    <n v="0"/>
    <n v="205.85160000000002"/>
    <n v="171.31512000000001"/>
    <n v="342.68300099999999"/>
    <n v="175.534614"/>
    <n v="167.14838699999999"/>
    <n v="23"/>
    <n v="23"/>
    <n v="29.685600000000001"/>
    <n v="20.936160000000005"/>
    <n v="281.63376"/>
  </r>
  <r>
    <x v="16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3"/>
    <n v="23"/>
    <n v="0"/>
    <n v="0"/>
    <n v="0"/>
  </r>
  <r>
    <x v="161"/>
    <n v="4766"/>
    <n v="4627"/>
    <n v="42.5"/>
    <n v="35.299999999999997"/>
    <n v="0"/>
    <n v="0"/>
    <n v="0"/>
    <n v="4627"/>
    <n v="0"/>
    <n v="0"/>
    <n v="0"/>
    <n v="0"/>
    <n v="0"/>
    <n v="0"/>
    <n v="0"/>
    <n v="196.64750000000001"/>
    <n v="163.33309999999997"/>
    <n v="0"/>
    <n v="0"/>
    <n v="0"/>
    <n v="0"/>
    <n v="0"/>
    <n v="23"/>
    <n v="24"/>
    <n v="0"/>
    <n v="0"/>
    <n v="0"/>
  </r>
  <r>
    <x v="162"/>
    <n v="5336"/>
    <n v="5181"/>
    <n v="43.43"/>
    <n v="34.700000000000003"/>
    <n v="5020"/>
    <n v="41.28"/>
    <n v="33.33"/>
    <n v="4808"/>
    <n v="637.64"/>
    <n v="51.55"/>
    <n v="27.3"/>
    <n v="4422"/>
    <n v="7.38"/>
    <n v="5.23"/>
    <n v="64.06"/>
    <n v="225.01083"/>
    <n v="179.78070000000002"/>
    <n v="207.22560000000001"/>
    <n v="167.31659999999999"/>
    <n v="328.70341999999999"/>
    <n v="174.07571999999999"/>
    <n v="154.6277"/>
    <n v="24"/>
    <n v="24"/>
    <n v="32.634360000000001"/>
    <n v="23.12706"/>
    <n v="283.27332000000001"/>
  </r>
  <r>
    <x v="163"/>
    <n v="5001"/>
    <n v="4855"/>
    <n v="41.98"/>
    <n v="35.04"/>
    <n v="5013"/>
    <n v="40.46"/>
    <n v="33.81"/>
    <n v="4663"/>
    <n v="638.11"/>
    <n v="50.72"/>
    <n v="27.17"/>
    <n v="4415"/>
    <n v="6.53"/>
    <n v="4.91"/>
    <n v="62.95"/>
    <n v="203.81289999999998"/>
    <n v="170.11919999999998"/>
    <n v="202.82598000000002"/>
    <n v="169.48953"/>
    <n v="323.64939200000003"/>
    <n v="173.37448700000002"/>
    <n v="150.27490500000002"/>
    <n v="24"/>
    <n v="24"/>
    <n v="28.82995"/>
    <n v="21.67765"/>
    <n v="277.92424999999997"/>
  </r>
  <r>
    <x v="164"/>
    <n v="4706"/>
    <n v="4569"/>
    <n v="42.23"/>
    <n v="35.28"/>
    <n v="5029"/>
    <n v="40.369999999999997"/>
    <n v="33.619999999999997"/>
    <n v="4232"/>
    <n v="615.64"/>
    <n v="50.92"/>
    <n v="25.81"/>
    <n v="4453"/>
    <n v="9.7200000000000006"/>
    <n v="6.03"/>
    <n v="66.48"/>
    <n v="192.94887"/>
    <n v="161.19432"/>
    <n v="203.02072999999999"/>
    <n v="169.07497999999998"/>
    <n v="313.48388799999998"/>
    <n v="158.89668399999999"/>
    <n v="154.58720399999999"/>
    <n v="24"/>
    <n v="24"/>
    <n v="43.283160000000002"/>
    <n v="26.851590000000002"/>
    <n v="296.03543999999999"/>
  </r>
  <r>
    <x v="165"/>
    <n v="5278"/>
    <n v="5124"/>
    <n v="40.11"/>
    <n v="35.47"/>
    <n v="5029"/>
    <n v="39.36"/>
    <n v="33.520000000000003"/>
    <n v="4356"/>
    <n v="663.57"/>
    <n v="50.23"/>
    <n v="26.05"/>
    <n v="4406"/>
    <n v="5.59"/>
    <n v="4.58"/>
    <n v="59.86"/>
    <n v="205.52363999999997"/>
    <n v="181.74827999999999"/>
    <n v="197.94144"/>
    <n v="168.57208000000003"/>
    <n v="333.31121100000001"/>
    <n v="172.85998500000002"/>
    <n v="160.45122599999999"/>
    <n v="24"/>
    <n v="24"/>
    <n v="24.629540000000002"/>
    <n v="20.179479999999998"/>
    <n v="263.74315999999999"/>
  </r>
  <r>
    <x v="166"/>
    <n v="0"/>
    <n v="0"/>
    <n v="0"/>
    <n v="0"/>
    <n v="4375"/>
    <n v="39.31"/>
    <n v="33.89"/>
    <n v="0"/>
    <n v="530.26"/>
    <n v="51.7"/>
    <n v="25.97"/>
    <n v="3879"/>
    <n v="8.58"/>
    <n v="5.88"/>
    <n v="65.349999999999994"/>
    <n v="0"/>
    <n v="0"/>
    <n v="171.98124999999999"/>
    <n v="148.26875000000001"/>
    <n v="274.14442000000003"/>
    <n v="137.70852199999999"/>
    <n v="136.43589800000004"/>
    <n v="24"/>
    <n v="24"/>
    <n v="33.281819999999996"/>
    <n v="22.808520000000001"/>
    <n v="253.49264999999997"/>
  </r>
  <r>
    <x v="16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4"/>
    <n v="24"/>
    <n v="0"/>
    <n v="0"/>
    <n v="0"/>
  </r>
  <r>
    <x v="168"/>
    <n v="5224"/>
    <n v="5072"/>
    <n v="42.71"/>
    <n v="34.72"/>
    <n v="0"/>
    <n v="0"/>
    <n v="0"/>
    <n v="5072"/>
    <n v="0"/>
    <n v="0"/>
    <n v="0"/>
    <n v="0"/>
    <n v="0"/>
    <n v="0"/>
    <n v="0"/>
    <n v="216.62511999999998"/>
    <n v="176.09984"/>
    <n v="0"/>
    <n v="0"/>
    <n v="0"/>
    <n v="0"/>
    <n v="0"/>
    <n v="24"/>
    <n v="25"/>
    <n v="0"/>
    <n v="0"/>
    <n v="0"/>
  </r>
  <r>
    <x v="169"/>
    <n v="5430"/>
    <n v="5272"/>
    <n v="40.79"/>
    <n v="34.74"/>
    <n v="5022"/>
    <n v="39.549999999999997"/>
    <n v="33.04"/>
    <n v="5344"/>
    <n v="639.29999999999995"/>
    <n v="50.85"/>
    <n v="26.54"/>
    <n v="4423"/>
    <n v="6.36"/>
    <n v="3.97"/>
    <n v="61.54"/>
    <n v="215.04488000000001"/>
    <n v="183.14928"/>
    <n v="198.62009999999998"/>
    <n v="165.92688000000001"/>
    <n v="325.08404999999999"/>
    <n v="169.67021999999997"/>
    <n v="155.41383000000002"/>
    <n v="25"/>
    <n v="25"/>
    <n v="28.130280000000003"/>
    <n v="17.55931"/>
    <n v="272.19141999999999"/>
  </r>
  <r>
    <x v="170"/>
    <n v="5083"/>
    <n v="4935"/>
    <n v="44.22"/>
    <n v="33.65"/>
    <n v="5017"/>
    <n v="41.41"/>
    <n v="32.869999999999997"/>
    <n v="5279"/>
    <n v="637.69000000000005"/>
    <n v="51.83"/>
    <n v="26.69"/>
    <n v="4419"/>
    <n v="8.35"/>
    <n v="3.71"/>
    <n v="62.62"/>
    <n v="218.22569999999999"/>
    <n v="166.06274999999999"/>
    <n v="207.75396999999998"/>
    <n v="164.90878999999998"/>
    <n v="330.51472699999999"/>
    <n v="170.19946100000001"/>
    <n v="160.31526599999998"/>
    <n v="25"/>
    <n v="25"/>
    <n v="36.898650000000004"/>
    <n v="16.394490000000001"/>
    <n v="276.71777999999995"/>
  </r>
  <r>
    <x v="171"/>
    <n v="5148"/>
    <n v="4998"/>
    <n v="43.84"/>
    <n v="35.69"/>
    <n v="5023"/>
    <n v="41.66"/>
    <n v="33.22"/>
    <n v="5277"/>
    <n v="596.61"/>
    <n v="52.02"/>
    <n v="26.77"/>
    <n v="4465"/>
    <n v="10.81"/>
    <n v="6.6"/>
    <n v="68.13"/>
    <n v="219.11232000000001"/>
    <n v="178.37861999999998"/>
    <n v="209.25817999999998"/>
    <n v="166.86405999999999"/>
    <n v="310.35652200000004"/>
    <n v="159.71249700000001"/>
    <n v="150.64402500000003"/>
    <n v="25"/>
    <n v="25"/>
    <n v="48.266649999999998"/>
    <n v="29.469000000000001"/>
    <n v="304.20044999999993"/>
  </r>
  <r>
    <x v="172"/>
    <n v="5271"/>
    <n v="5117"/>
    <n v="42.98"/>
    <n v="35.68"/>
    <n v="5023"/>
    <n v="41.43"/>
    <n v="33.82"/>
    <n v="5394"/>
    <n v="647.13"/>
    <n v="50.65"/>
    <n v="25.45"/>
    <n v="4416"/>
    <n v="9.6"/>
    <n v="3.61"/>
    <n v="64.39"/>
    <n v="219.92865999999998"/>
    <n v="182.57455999999999"/>
    <n v="208.10288999999997"/>
    <n v="169.87786000000003"/>
    <n v="327.771345"/>
    <n v="164.69458500000002"/>
    <n v="163.07675999999998"/>
    <n v="25"/>
    <n v="25"/>
    <n v="42.393599999999999"/>
    <n v="15.94176"/>
    <n v="284.34623999999997"/>
  </r>
  <r>
    <x v="173"/>
    <n v="0"/>
    <n v="0"/>
    <n v="0"/>
    <n v="0"/>
    <n v="5429"/>
    <n v="41.24"/>
    <n v="33.64"/>
    <n v="0"/>
    <n v="742.63"/>
    <n v="50.78"/>
    <n v="27"/>
    <n v="4731"/>
    <n v="4.8499999999999996"/>
    <n v="3.18"/>
    <n v="58.88"/>
    <n v="0"/>
    <n v="0"/>
    <n v="223.89196000000001"/>
    <n v="182.63156000000001"/>
    <n v="377.10751400000004"/>
    <n v="200.51009999999999"/>
    <n v="176.59741400000004"/>
    <n v="25"/>
    <n v="25"/>
    <n v="22.945349999999998"/>
    <n v="15.04458"/>
    <n v="278.56128000000001"/>
  </r>
  <r>
    <x v="17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5"/>
    <n v="25"/>
    <n v="0"/>
    <n v="0"/>
    <n v="0"/>
  </r>
  <r>
    <x v="175"/>
    <n v="5088"/>
    <n v="4940"/>
    <n v="40.31"/>
    <n v="35.56"/>
    <n v="0"/>
    <n v="0"/>
    <n v="0"/>
    <n v="4940"/>
    <n v="0"/>
    <n v="0"/>
    <n v="0"/>
    <n v="0"/>
    <n v="0"/>
    <n v="0"/>
    <n v="0"/>
    <n v="199.13140000000001"/>
    <n v="175.66640000000001"/>
    <n v="0"/>
    <n v="0"/>
    <n v="0"/>
    <n v="0"/>
    <n v="0"/>
    <n v="25"/>
    <n v="26"/>
    <n v="0"/>
    <n v="0"/>
    <n v="0"/>
  </r>
  <r>
    <x v="176"/>
    <n v="5152"/>
    <n v="5002"/>
    <n v="40.49"/>
    <n v="35.61"/>
    <n v="5022"/>
    <n v="38.47"/>
    <n v="34.04"/>
    <n v="4942"/>
    <n v="627.55999999999995"/>
    <n v="51.81"/>
    <n v="26.79"/>
    <n v="4434"/>
    <n v="5.55"/>
    <n v="6.61"/>
    <n v="63.78"/>
    <n v="202.53098"/>
    <n v="178.12121999999999"/>
    <n v="193.19633999999999"/>
    <n v="170.94888"/>
    <n v="325.13883599999997"/>
    <n v="168.123324"/>
    <n v="157.01551199999997"/>
    <n v="26"/>
    <n v="26"/>
    <n v="24.608700000000002"/>
    <n v="29.30874"/>
    <n v="282.80052000000001"/>
  </r>
  <r>
    <x v="177"/>
    <n v="5020"/>
    <n v="4874"/>
    <n v="41.56"/>
    <n v="34.64"/>
    <n v="5033"/>
    <n v="38.86"/>
    <n v="33.31"/>
    <n v="4816"/>
    <n v="677.35"/>
    <n v="51.45"/>
    <n v="26.96"/>
    <n v="4397"/>
    <n v="2.9"/>
    <n v="0.77"/>
    <n v="54.36"/>
    <n v="202.56344000000001"/>
    <n v="168.83536000000001"/>
    <n v="195.58238"/>
    <n v="167.64923000000002"/>
    <n v="348.49657500000001"/>
    <n v="182.61356000000001"/>
    <n v="165.883015"/>
    <n v="26"/>
    <n v="26"/>
    <n v="12.751299999999999"/>
    <n v="3.3856899999999999"/>
    <n v="239.02091999999999"/>
  </r>
  <r>
    <x v="178"/>
    <n v="5055"/>
    <n v="4908"/>
    <n v="44.54"/>
    <n v="34.299999999999997"/>
    <n v="5018"/>
    <n v="40.5"/>
    <n v="33.51"/>
    <n v="4724"/>
    <n v="645.61"/>
    <n v="53.67"/>
    <n v="27.82"/>
    <n v="4413"/>
    <n v="5.25"/>
    <n v="3.45"/>
    <n v="60.7"/>
    <n v="218.60232000000002"/>
    <n v="168.34440000000001"/>
    <n v="203.22900000000001"/>
    <n v="168.15317999999999"/>
    <n v="346.49888700000002"/>
    <n v="179.60870200000002"/>
    <n v="166.890185"/>
    <n v="26"/>
    <n v="26"/>
    <n v="23.16825"/>
    <n v="15.22485"/>
    <n v="267.86910000000006"/>
  </r>
  <r>
    <x v="179"/>
    <n v="5283"/>
    <n v="5129"/>
    <n v="44.12"/>
    <n v="36.549999999999997"/>
    <n v="5017"/>
    <n v="41.45"/>
    <n v="34.520000000000003"/>
    <n v="4853"/>
    <n v="641.17999999999995"/>
    <n v="49.14"/>
    <n v="26"/>
    <n v="4416"/>
    <n v="9.23"/>
    <n v="5.33"/>
    <n v="66.31"/>
    <n v="226.29147999999998"/>
    <n v="187.46494999999999"/>
    <n v="207.95465000000002"/>
    <n v="173.18684000000002"/>
    <n v="315.075852"/>
    <n v="166.70680000000002"/>
    <n v="148.36905199999998"/>
    <n v="26"/>
    <n v="26"/>
    <n v="40.759680000000003"/>
    <n v="23.537279999999999"/>
    <n v="292.82496000000003"/>
  </r>
  <r>
    <x v="180"/>
    <n v="0"/>
    <n v="0"/>
    <n v="0"/>
    <n v="0"/>
    <n v="4872"/>
    <n v="41.5"/>
    <n v="34.130000000000003"/>
    <n v="0"/>
    <n v="561.42999999999995"/>
    <n v="53.45"/>
    <n v="27.44"/>
    <n v="4348"/>
    <n v="10.79"/>
    <n v="9.18"/>
    <n v="70.39"/>
    <n v="0"/>
    <n v="0"/>
    <n v="202.18799999999999"/>
    <n v="166.28136000000001"/>
    <n v="300.08433500000001"/>
    <n v="154.05639199999999"/>
    <n v="146.02794300000002"/>
    <n v="26"/>
    <n v="26"/>
    <n v="46.914919999999995"/>
    <n v="39.914639999999999"/>
    <n v="306.05572000000001"/>
  </r>
  <r>
    <x v="18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"/>
    <n v="26"/>
    <n v="0"/>
    <n v="0"/>
    <n v="0"/>
  </r>
  <r>
    <x v="182"/>
    <n v="4959"/>
    <n v="4815"/>
    <n v="39.92"/>
    <n v="36.11"/>
    <n v="0"/>
    <n v="0"/>
    <n v="0"/>
    <n v="4815"/>
    <n v="0"/>
    <n v="0"/>
    <n v="0"/>
    <n v="0"/>
    <n v="0"/>
    <n v="0"/>
    <n v="0"/>
    <n v="192.21480000000003"/>
    <n v="173.86965000000001"/>
    <n v="0"/>
    <n v="0"/>
    <n v="0"/>
    <n v="0"/>
    <n v="0"/>
    <n v="26"/>
    <n v="27"/>
    <n v="0"/>
    <n v="0"/>
    <n v="0"/>
  </r>
  <r>
    <x v="183"/>
    <n v="5165"/>
    <n v="5015"/>
    <n v="42.24"/>
    <n v="33.43"/>
    <n v="5019"/>
    <n v="39.119999999999997"/>
    <n v="32.99"/>
    <n v="4830"/>
    <n v="601.98"/>
    <n v="50.48"/>
    <n v="26.39"/>
    <n v="4456"/>
    <n v="8.19"/>
    <n v="5.85"/>
    <n v="66.150000000000006"/>
    <n v="211.83360000000002"/>
    <n v="167.65145000000001"/>
    <n v="196.34327999999999"/>
    <n v="165.57680999999999"/>
    <n v="303.879504"/>
    <n v="158.86252200000001"/>
    <n v="145.01698199999998"/>
    <n v="27"/>
    <n v="27"/>
    <n v="36.494639999999997"/>
    <n v="26.067599999999999"/>
    <n v="294.76440000000002"/>
  </r>
  <r>
    <x v="184"/>
    <n v="5189"/>
    <n v="5038"/>
    <n v="42.12"/>
    <n v="35.049999999999997"/>
    <n v="5031"/>
    <n v="39.6"/>
    <n v="33.229999999999997"/>
    <n v="4868"/>
    <n v="592.08000000000004"/>
    <n v="52.08"/>
    <n v="26.86"/>
    <n v="4478"/>
    <n v="8.7899999999999991"/>
    <n v="5.85"/>
    <n v="65.22"/>
    <n v="212.20056"/>
    <n v="176.58189999999999"/>
    <n v="199.2276"/>
    <n v="167.18012999999996"/>
    <n v="308.35526400000003"/>
    <n v="159.03268800000001"/>
    <n v="149.32257600000003"/>
    <n v="27"/>
    <n v="27"/>
    <n v="39.361619999999995"/>
    <n v="26.196300000000001"/>
    <n v="292.05516"/>
  </r>
  <r>
    <x v="185"/>
    <n v="5046"/>
    <n v="4899"/>
    <n v="43.62"/>
    <n v="33.75"/>
    <n v="5026"/>
    <n v="40.520000000000003"/>
    <n v="32.75"/>
    <n v="4767"/>
    <n v="638.78"/>
    <n v="51.99"/>
    <n v="27.6"/>
    <n v="4427"/>
    <n v="6.04"/>
    <n v="4.6500000000000004"/>
    <n v="61.17"/>
    <n v="213.69437999999997"/>
    <n v="165.34125"/>
    <n v="203.65352000000001"/>
    <n v="164.60149999999999"/>
    <n v="332.101722"/>
    <n v="176.30328"/>
    <n v="155.79844199999999"/>
    <n v="27"/>
    <n v="27"/>
    <n v="26.739080000000001"/>
    <n v="20.585550000000001"/>
    <n v="270.79959000000002"/>
  </r>
  <r>
    <x v="186"/>
    <n v="5255"/>
    <n v="5102"/>
    <n v="42.4"/>
    <n v="36.630000000000003"/>
    <n v="5028"/>
    <n v="40.47"/>
    <n v="33.69"/>
    <n v="4869"/>
    <n v="605.79"/>
    <n v="51.47"/>
    <n v="26.81"/>
    <n v="4462"/>
    <n v="8.99"/>
    <n v="6.5"/>
    <n v="66.59"/>
    <n v="216.32479999999998"/>
    <n v="186.88626000000002"/>
    <n v="203.48316"/>
    <n v="169.39331999999999"/>
    <n v="311.80011300000001"/>
    <n v="162.41229899999999"/>
    <n v="149.38781400000002"/>
    <n v="27"/>
    <n v="27"/>
    <n v="40.113379999999999"/>
    <n v="29.003"/>
    <n v="297.12458000000004"/>
  </r>
  <r>
    <x v="187"/>
    <n v="0"/>
    <n v="0"/>
    <n v="0"/>
    <n v="0"/>
    <n v="4886"/>
    <n v="40.619999999999997"/>
    <n v="34.14"/>
    <n v="0"/>
    <n v="636.59"/>
    <n v="52.31"/>
    <n v="27.1"/>
    <n v="4289"/>
    <n v="5.94"/>
    <n v="4.5"/>
    <n v="61.21"/>
    <n v="0"/>
    <n v="0"/>
    <n v="198.46931999999998"/>
    <n v="166.80804000000001"/>
    <n v="333.00022900000005"/>
    <n v="172.51589000000004"/>
    <n v="160.48433900000001"/>
    <n v="27"/>
    <n v="27"/>
    <n v="25.476660000000003"/>
    <n v="19.3005"/>
    <n v="262.52969000000002"/>
  </r>
  <r>
    <x v="18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7"/>
    <n v="27"/>
    <n v="0"/>
    <n v="0"/>
    <n v="0"/>
  </r>
  <r>
    <x v="189"/>
    <n v="5320"/>
    <n v="5165"/>
    <n v="42.87"/>
    <n v="35.99"/>
    <n v="0"/>
    <n v="0"/>
    <n v="0"/>
    <n v="5165"/>
    <n v="0"/>
    <n v="0"/>
    <n v="0"/>
    <n v="0"/>
    <n v="0"/>
    <n v="0"/>
    <n v="0"/>
    <n v="221.42354999999998"/>
    <n v="185.88835"/>
    <n v="0"/>
    <n v="0"/>
    <n v="0"/>
    <n v="0"/>
    <n v="0"/>
    <n v="27"/>
    <n v="28"/>
    <n v="0"/>
    <n v="0"/>
    <n v="0"/>
  </r>
  <r>
    <x v="190"/>
    <n v="5306"/>
    <n v="5151"/>
    <n v="41.83"/>
    <n v="36.57"/>
    <n v="5020"/>
    <n v="40.49"/>
    <n v="34.81"/>
    <n v="5316"/>
    <n v="606.52"/>
    <n v="53.4"/>
    <n v="27.69"/>
    <n v="4453"/>
    <n v="7.79"/>
    <n v="6.97"/>
    <n v="66.489999999999995"/>
    <n v="215.46633"/>
    <n v="188.37207000000001"/>
    <n v="203.25980000000001"/>
    <n v="174.74620000000002"/>
    <n v="323.88167999999996"/>
    <n v="167.94538800000001"/>
    <n v="155.93629199999995"/>
    <n v="28"/>
    <n v="28"/>
    <n v="34.688870000000001"/>
    <n v="31.037410000000001"/>
    <n v="296.07996999999995"/>
  </r>
  <r>
    <x v="191"/>
    <n v="5474"/>
    <n v="5315"/>
    <n v="42.32"/>
    <n v="34.43"/>
    <n v="5015"/>
    <n v="40.340000000000003"/>
    <n v="34.06"/>
    <n v="5631"/>
    <n v="622.86"/>
    <n v="51.49"/>
    <n v="27.2"/>
    <n v="4432"/>
    <n v="7.25"/>
    <n v="7.25"/>
    <n v="63.89"/>
    <n v="224.93079999999998"/>
    <n v="182.99545000000001"/>
    <n v="202.30510000000001"/>
    <n v="170.81090000000003"/>
    <n v="320.71061400000002"/>
    <n v="169.41792000000001"/>
    <n v="151.29269400000001"/>
    <n v="28"/>
    <n v="28"/>
    <n v="32.131999999999998"/>
    <n v="32.131999999999998"/>
    <n v="283.16048000000001"/>
  </r>
  <r>
    <x v="192"/>
    <n v="4738"/>
    <n v="4600"/>
    <n v="41.8"/>
    <n v="36.56"/>
    <n v="5028"/>
    <n v="40.06"/>
    <n v="34.17"/>
    <n v="5231"/>
    <n v="593.41999999999996"/>
    <n v="53.17"/>
    <n v="27.22"/>
    <n v="4474"/>
    <n v="8.6999999999999993"/>
    <n v="6.5"/>
    <n v="66.45"/>
    <n v="192.28"/>
    <n v="168.17599999999999"/>
    <n v="201.42168000000001"/>
    <n v="171.80676"/>
    <n v="315.52141399999999"/>
    <n v="161.52892399999999"/>
    <n v="153.99249"/>
    <n v="28"/>
    <n v="28"/>
    <n v="38.923799999999993"/>
    <n v="29.081"/>
    <n v="297.29730000000001"/>
  </r>
  <r>
    <x v="193"/>
    <n v="5541"/>
    <n v="5380"/>
    <n v="42.01"/>
    <n v="35.1"/>
    <n v="5024"/>
    <n v="40.590000000000003"/>
    <n v="33.909999999999997"/>
    <n v="5611"/>
    <n v="579.36"/>
    <n v="51.89"/>
    <n v="26.94"/>
    <n v="4483"/>
    <n v="10.46"/>
    <n v="8.77"/>
    <n v="71.48"/>
    <n v="226.01379999999997"/>
    <n v="188.83799999999999"/>
    <n v="203.92416"/>
    <n v="170.36384000000001"/>
    <n v="300.62990400000001"/>
    <n v="156.07958400000001"/>
    <n v="144.55032"/>
    <n v="28"/>
    <n v="28"/>
    <n v="46.892180000000003"/>
    <n v="39.315909999999995"/>
    <n v="320.44484"/>
  </r>
  <r>
    <x v="194"/>
    <n v="0"/>
    <n v="0"/>
    <n v="0"/>
    <n v="0"/>
    <n v="5640"/>
    <n v="40.119999999999997"/>
    <n v="33.96"/>
    <n v="0"/>
    <n v="714.16"/>
    <n v="51.86"/>
    <n v="26.19"/>
    <n v="4971"/>
    <n v="7.64"/>
    <n v="5.21"/>
    <n v="64.349999999999994"/>
    <n v="0"/>
    <n v="0"/>
    <n v="226.27679999999998"/>
    <n v="191.53440000000001"/>
    <n v="370.36337600000002"/>
    <n v="187.03850399999999"/>
    <n v="183.32487200000003"/>
    <n v="28"/>
    <n v="28"/>
    <n v="37.978439999999992"/>
    <n v="25.898910000000001"/>
    <n v="319.88385"/>
  </r>
  <r>
    <x v="19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"/>
    <n v="28"/>
    <n v="0"/>
    <n v="0"/>
    <n v="0"/>
  </r>
  <r>
    <x v="196"/>
    <n v="4871"/>
    <n v="4729"/>
    <n v="43.8"/>
    <n v="35.06"/>
    <n v="0"/>
    <n v="0"/>
    <n v="0"/>
    <n v="4729"/>
    <n v="0"/>
    <n v="0"/>
    <n v="0"/>
    <n v="0"/>
    <n v="0"/>
    <n v="0"/>
    <n v="0"/>
    <n v="207.13019999999997"/>
    <n v="165.79874000000001"/>
    <n v="0"/>
    <n v="0"/>
    <n v="0"/>
    <n v="0"/>
    <n v="0"/>
    <n v="28"/>
    <n v="29"/>
    <n v="0"/>
    <n v="0"/>
    <n v="0"/>
  </r>
  <r>
    <x v="197"/>
    <n v="5196"/>
    <n v="5045"/>
    <n v="44.28"/>
    <n v="36.33"/>
    <n v="5032"/>
    <n v="41.49"/>
    <n v="33.979999999999997"/>
    <n v="4774"/>
    <n v="683.59"/>
    <n v="52.23"/>
    <n v="27.19"/>
    <n v="4390"/>
    <n v="5.12"/>
    <n v="3.83"/>
    <n v="60.03"/>
    <n v="223.39260000000002"/>
    <n v="183.28485000000001"/>
    <n v="208.77768000000003"/>
    <n v="170.98736"/>
    <n v="357.03905700000001"/>
    <n v="185.86812100000003"/>
    <n v="171.17093599999998"/>
    <n v="29"/>
    <n v="29"/>
    <n v="22.476800000000001"/>
    <n v="16.813700000000001"/>
    <n v="263.5317"/>
  </r>
  <r>
    <x v="198"/>
    <n v="5115"/>
    <n v="4966"/>
    <n v="40.43"/>
    <n v="35.090000000000003"/>
    <n v="5027"/>
    <n v="40.69"/>
    <n v="33.450000000000003"/>
    <n v="4740"/>
    <n v="605.42999999999995"/>
    <n v="51.64"/>
    <n v="26.28"/>
    <n v="4461"/>
    <n v="9.9600000000000009"/>
    <n v="5.19"/>
    <n v="65.930000000000007"/>
    <n v="200.77538000000001"/>
    <n v="174.25694000000004"/>
    <n v="204.54862999999997"/>
    <n v="168.15315000000001"/>
    <n v="312.64405199999999"/>
    <n v="159.10700399999999"/>
    <n v="153.537048"/>
    <n v="29"/>
    <n v="29"/>
    <n v="44.431560000000005"/>
    <n v="23.15259"/>
    <n v="294.11373000000003"/>
  </r>
  <r>
    <x v="199"/>
    <n v="4949"/>
    <n v="4805"/>
    <n v="43.64"/>
    <n v="35.92"/>
    <n v="5019"/>
    <n v="40.81"/>
    <n v="34.130000000000003"/>
    <n v="4545"/>
    <n v="660.52"/>
    <n v="50.64"/>
    <n v="26.51"/>
    <n v="4399"/>
    <n v="6.62"/>
    <n v="4.9800000000000004"/>
    <n v="63.07"/>
    <n v="209.6902"/>
    <n v="172.59560000000002"/>
    <n v="204.82539000000003"/>
    <n v="171.29847000000001"/>
    <n v="334.48732799999999"/>
    <n v="175.10385200000002"/>
    <n v="159.38347599999997"/>
    <n v="29"/>
    <n v="29"/>
    <n v="29.121380000000002"/>
    <n v="21.907019999999999"/>
    <n v="277.44493"/>
  </r>
  <r>
    <x v="200"/>
    <n v="4948"/>
    <n v="4804"/>
    <n v="41.14"/>
    <n v="37.01"/>
    <n v="5030"/>
    <n v="40.28"/>
    <n v="34.700000000000003"/>
    <n v="4349"/>
    <n v="630.98"/>
    <n v="53.22"/>
    <n v="27.56"/>
    <n v="4439"/>
    <n v="6.38"/>
    <n v="6.86"/>
    <n v="65.099999999999994"/>
    <n v="197.63656"/>
    <n v="177.79603999999998"/>
    <n v="202.60839999999999"/>
    <n v="174.541"/>
    <n v="335.80755599999998"/>
    <n v="173.898088"/>
    <n v="161.90946799999998"/>
    <n v="29"/>
    <n v="29"/>
    <n v="28.320820000000001"/>
    <n v="30.451540000000001"/>
    <n v="288.97889999999995"/>
  </r>
  <r>
    <x v="201"/>
    <n v="0"/>
    <n v="0"/>
    <n v="0"/>
    <n v="0"/>
    <n v="4365"/>
    <n v="40.26"/>
    <n v="34.590000000000003"/>
    <n v="0"/>
    <n v="565.64"/>
    <n v="52.44"/>
    <n v="26.36"/>
    <n v="3834"/>
    <n v="6.78"/>
    <n v="6.88"/>
    <n v="64.510000000000005"/>
    <n v="0"/>
    <n v="0"/>
    <n v="175.73489999999998"/>
    <n v="150.98535000000001"/>
    <n v="296.62161600000002"/>
    <n v="149.10270399999999"/>
    <n v="147.51891200000003"/>
    <n v="29"/>
    <n v="29"/>
    <n v="25.994520000000001"/>
    <n v="26.37792"/>
    <n v="247.33134000000001"/>
  </r>
  <r>
    <x v="20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9"/>
    <n v="29"/>
    <n v="0"/>
    <n v="0"/>
    <n v="0"/>
  </r>
  <r>
    <x v="203"/>
    <n v="5083"/>
    <n v="4935"/>
    <n v="43.54"/>
    <n v="35.380000000000003"/>
    <n v="0"/>
    <n v="0"/>
    <n v="0"/>
    <n v="4935"/>
    <n v="0"/>
    <n v="0"/>
    <n v="0"/>
    <n v="0"/>
    <n v="0"/>
    <n v="0"/>
    <n v="0"/>
    <n v="214.8699"/>
    <n v="174.6003"/>
    <n v="0"/>
    <n v="0"/>
    <n v="0"/>
    <n v="0"/>
    <n v="0"/>
    <n v="29"/>
    <n v="30"/>
    <n v="0"/>
    <n v="0"/>
    <n v="0"/>
  </r>
  <r>
    <x v="204"/>
    <n v="4806"/>
    <n v="4666"/>
    <n v="41.54"/>
    <n v="35.619999999999997"/>
    <n v="5032"/>
    <n v="40.57"/>
    <n v="33.770000000000003"/>
    <n v="4601"/>
    <n v="640.79999999999995"/>
    <n v="51.6"/>
    <n v="26.98"/>
    <n v="4431"/>
    <n v="6.92"/>
    <n v="7.19"/>
    <n v="66.040000000000006"/>
    <n v="193.82563999999999"/>
    <n v="166.20291999999998"/>
    <n v="204.14823999999999"/>
    <n v="169.93064000000001"/>
    <n v="330.65280000000001"/>
    <n v="172.88783999999998"/>
    <n v="157.76496000000003"/>
    <n v="30"/>
    <n v="30"/>
    <n v="30.662520000000001"/>
    <n v="31.858890000000002"/>
    <n v="292.62324000000007"/>
  </r>
  <r>
    <x v="205"/>
    <n v="4329"/>
    <n v="4203"/>
    <n v="41.89"/>
    <n v="34.869999999999997"/>
    <n v="5023"/>
    <n v="40.369999999999997"/>
    <n v="33.880000000000003"/>
    <n v="3804"/>
    <n v="652.13"/>
    <n v="51.32"/>
    <n v="27.21"/>
    <n v="4411"/>
    <n v="5.59"/>
    <n v="3.7"/>
    <n v="62"/>
    <n v="176.06367"/>
    <n v="146.55860999999999"/>
    <n v="202.77850999999998"/>
    <n v="170.17924000000002"/>
    <n v="334.67311599999999"/>
    <n v="177.44457300000002"/>
    <n v="157.22854299999997"/>
    <n v="30"/>
    <n v="30"/>
    <n v="24.657489999999999"/>
    <n v="16.320700000000002"/>
    <n v="273.48200000000003"/>
  </r>
  <r>
    <x v="206"/>
    <n v="4680"/>
    <n v="4544"/>
    <n v="39.450000000000003"/>
    <n v="35.090000000000003"/>
    <n v="5023"/>
    <n v="38.93"/>
    <n v="33.49"/>
    <n v="3348"/>
    <n v="636.65"/>
    <n v="51.36"/>
    <n v="26.52"/>
    <n v="4426"/>
    <n v="5.88"/>
    <n v="5.91"/>
    <n v="62"/>
    <n v="179.26080000000002"/>
    <n v="159.44896000000003"/>
    <n v="195.54539"/>
    <n v="168.22027000000003"/>
    <n v="326.98343999999997"/>
    <n v="168.83957999999998"/>
    <n v="158.14385999999999"/>
    <n v="30"/>
    <n v="30"/>
    <n v="26.02488"/>
    <n v="26.15766"/>
    <n v="274.41199999999998"/>
  </r>
  <r>
    <x v="207"/>
    <n v="5292"/>
    <n v="5138"/>
    <n v="40.36"/>
    <n v="36.33"/>
    <n v="5019"/>
    <n v="38.15"/>
    <n v="34.119999999999997"/>
    <n v="3486"/>
    <n v="622.57000000000005"/>
    <n v="52.6"/>
    <n v="26.74"/>
    <n v="4436"/>
    <n v="5.51"/>
    <n v="6.2"/>
    <n v="63.75"/>
    <n v="207.36967999999999"/>
    <n v="186.66353999999998"/>
    <n v="191.47485"/>
    <n v="171.24827999999999"/>
    <n v="327.47182000000004"/>
    <n v="166.47521799999998"/>
    <n v="160.99660200000005"/>
    <n v="30"/>
    <n v="30"/>
    <n v="24.442360000000001"/>
    <n v="27.5032"/>
    <n v="282.79500000000002"/>
  </r>
  <r>
    <x v="208"/>
    <n v="0"/>
    <n v="0"/>
    <n v="0"/>
    <n v="0"/>
    <n v="3508"/>
    <n v="38.56"/>
    <n v="34.26"/>
    <n v="0"/>
    <n v="444.86"/>
    <n v="50.23"/>
    <n v="25.35"/>
    <n v="3091"/>
    <n v="7.11"/>
    <n v="4.5199999999999996"/>
    <n v="62.51"/>
    <n v="0"/>
    <n v="0"/>
    <n v="135.26848000000001"/>
    <n v="120.18407999999998"/>
    <n v="223.45317800000001"/>
    <n v="112.77201000000001"/>
    <n v="110.681168"/>
    <n v="30"/>
    <n v="30"/>
    <n v="21.977010000000003"/>
    <n v="13.971319999999999"/>
    <n v="193.21841000000001"/>
  </r>
  <r>
    <x v="20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0"/>
    <n v="30"/>
    <n v="0"/>
    <n v="0"/>
    <n v="0"/>
  </r>
  <r>
    <x v="210"/>
    <n v="5166"/>
    <n v="5016"/>
    <n v="38.130000000000003"/>
    <n v="36.43"/>
    <n v="0"/>
    <n v="0"/>
    <n v="0"/>
    <n v="5016"/>
    <n v="0"/>
    <n v="0"/>
    <n v="0"/>
    <n v="0"/>
    <n v="0"/>
    <n v="0"/>
    <n v="0"/>
    <n v="191.26008000000002"/>
    <n v="182.73287999999999"/>
    <n v="0"/>
    <n v="0"/>
    <n v="0"/>
    <n v="0"/>
    <n v="0"/>
    <n v="30"/>
    <n v="31"/>
    <n v="0"/>
    <n v="0"/>
    <n v="0"/>
  </r>
  <r>
    <x v="211"/>
    <n v="5393"/>
    <n v="5236"/>
    <n v="43.01"/>
    <n v="35.94"/>
    <n v="5026"/>
    <n v="38.72"/>
    <n v="34.69"/>
    <n v="5252"/>
    <n v="611.17999999999995"/>
    <n v="52.6"/>
    <n v="27.7"/>
    <n v="4454"/>
    <n v="5.57"/>
    <n v="7.99"/>
    <n v="65.180000000000007"/>
    <n v="225.20035999999999"/>
    <n v="188.18183999999999"/>
    <n v="194.60672"/>
    <n v="174.35194000000001"/>
    <n v="321.48068000000001"/>
    <n v="169.29685999999998"/>
    <n v="152.18382000000003"/>
    <n v="31"/>
    <n v="31"/>
    <n v="24.808780000000002"/>
    <n v="35.58746"/>
    <n v="290.31172000000004"/>
  </r>
  <r>
    <x v="212"/>
    <n v="5423"/>
    <n v="5265"/>
    <n v="41.07"/>
    <n v="36.159999999999997"/>
    <n v="5021"/>
    <n v="39.22"/>
    <n v="34.64"/>
    <n v="5517"/>
    <n v="678.1"/>
    <n v="49.74"/>
    <n v="26.45"/>
    <n v="4384"/>
    <n v="3.94"/>
    <n v="3.27"/>
    <n v="58.31"/>
    <n v="216.23354999999998"/>
    <n v="190.38239999999999"/>
    <n v="196.92362"/>
    <n v="173.92743999999999"/>
    <n v="337.28694000000002"/>
    <n v="179.35745"/>
    <n v="157.92949000000002"/>
    <n v="31"/>
    <n v="31"/>
    <n v="17.272959999999998"/>
    <n v="14.33568"/>
    <n v="255.63104000000001"/>
  </r>
  <r>
    <x v="213"/>
    <n v="5056"/>
    <n v="4909"/>
    <n v="40.9"/>
    <n v="37.090000000000003"/>
    <n v="5036"/>
    <n v="38.99"/>
    <n v="35.090000000000003"/>
    <n v="5426"/>
    <n v="622.82000000000005"/>
    <n v="50.91"/>
    <n v="27.22"/>
    <n v="4453"/>
    <n v="5.87"/>
    <n v="7.06"/>
    <n v="62.04"/>
    <n v="200.77809999999999"/>
    <n v="182.07481000000001"/>
    <n v="196.35364000000001"/>
    <n v="176.71324000000001"/>
    <n v="317.07766200000003"/>
    <n v="169.53160400000002"/>
    <n v="147.54605800000002"/>
    <n v="31"/>
    <n v="31"/>
    <n v="26.139110000000002"/>
    <n v="31.438179999999996"/>
    <n v="276.26411999999999"/>
  </r>
  <r>
    <x v="214"/>
    <n v="5451"/>
    <n v="5292"/>
    <n v="44.59"/>
    <n v="37.06"/>
    <n v="5018"/>
    <n v="40.99"/>
    <n v="35.42"/>
    <n v="5718"/>
    <n v="607.84"/>
    <n v="52.6"/>
    <n v="26.91"/>
    <n v="4449"/>
    <n v="9.3000000000000007"/>
    <n v="6.61"/>
    <n v="68.349999999999994"/>
    <n v="235.97028000000003"/>
    <n v="196.12152000000003"/>
    <n v="205.68782000000002"/>
    <n v="177.73756"/>
    <n v="319.72384"/>
    <n v="163.56974400000001"/>
    <n v="156.15409599999998"/>
    <n v="31"/>
    <n v="31"/>
    <n v="41.375700000000002"/>
    <n v="29.407890000000002"/>
    <n v="304.08914999999996"/>
  </r>
  <r>
    <x v="215"/>
    <n v="0"/>
    <n v="0"/>
    <n v="0"/>
    <n v="0"/>
    <n v="5742"/>
    <n v="40.79"/>
    <n v="35.33"/>
    <n v="0"/>
    <n v="722.62"/>
    <n v="53.16"/>
    <n v="27.09"/>
    <n v="5065"/>
    <n v="7.44"/>
    <n v="8.2799999999999994"/>
    <n v="65.56"/>
    <n v="0"/>
    <n v="0"/>
    <n v="234.21617999999998"/>
    <n v="202.86485999999999"/>
    <n v="384.14479199999994"/>
    <n v="195.757758"/>
    <n v="188.38703399999994"/>
    <n v="31"/>
    <n v="31"/>
    <n v="37.683599999999998"/>
    <n v="41.938199999999995"/>
    <n v="332.06140000000005"/>
  </r>
  <r>
    <x v="21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"/>
    <n v="31"/>
    <n v="0"/>
    <n v="0"/>
    <n v="0"/>
  </r>
  <r>
    <x v="217"/>
    <n v="5166"/>
    <n v="5016"/>
    <n v="43.3"/>
    <n v="34.46"/>
    <n v="0"/>
    <n v="0"/>
    <n v="0"/>
    <n v="5016"/>
    <n v="0"/>
    <n v="0"/>
    <n v="0"/>
    <n v="0"/>
    <n v="0"/>
    <n v="0"/>
    <n v="0"/>
    <n v="217.19279999999998"/>
    <n v="172.85136000000003"/>
    <n v="0"/>
    <n v="0"/>
    <n v="0"/>
    <n v="0"/>
    <n v="0"/>
    <n v="31"/>
    <n v="32"/>
    <n v="0"/>
    <n v="0"/>
    <n v="0"/>
  </r>
  <r>
    <x v="218"/>
    <n v="5285"/>
    <n v="5131"/>
    <n v="42.37"/>
    <n v="36.99"/>
    <n v="5023"/>
    <n v="41.05"/>
    <n v="34.21"/>
    <n v="5147"/>
    <n v="624.6"/>
    <n v="53.97"/>
    <n v="27.48"/>
    <n v="4438"/>
    <n v="7.59"/>
    <n v="5.88"/>
    <n v="64.88"/>
    <n v="217.40047000000001"/>
    <n v="189.79569000000001"/>
    <n v="206.19415000000001"/>
    <n v="171.83683000000002"/>
    <n v="337.09662000000003"/>
    <n v="171.64008000000001"/>
    <n v="165.45654000000002"/>
    <n v="32"/>
    <n v="32"/>
    <n v="33.684419999999996"/>
    <n v="26.09544"/>
    <n v="287.93743999999998"/>
  </r>
  <r>
    <x v="219"/>
    <n v="4880"/>
    <n v="4738"/>
    <n v="43.98"/>
    <n v="36.03"/>
    <n v="5030"/>
    <n v="41.53"/>
    <n v="34.4"/>
    <n v="4885"/>
    <n v="637.58000000000004"/>
    <n v="51.29"/>
    <n v="27.26"/>
    <n v="4433"/>
    <n v="7.8"/>
    <n v="6.04"/>
    <n v="65.48"/>
    <n v="208.37724"/>
    <n v="170.71014000000002"/>
    <n v="208.89589999999998"/>
    <n v="173.03200000000001"/>
    <n v="327.01478200000003"/>
    <n v="173.80430800000002"/>
    <n v="153.210474"/>
    <n v="32"/>
    <n v="32"/>
    <n v="34.577400000000004"/>
    <n v="26.775320000000001"/>
    <n v="290.27284000000003"/>
  </r>
  <r>
    <x v="220"/>
    <n v="4906"/>
    <n v="4763"/>
    <n v="43.4"/>
    <n v="35.69"/>
    <n v="5030"/>
    <n v="41.08"/>
    <n v="34.11"/>
    <n v="4648"/>
    <n v="620.41"/>
    <n v="52.06"/>
    <n v="26.8"/>
    <n v="4449"/>
    <n v="8.89"/>
    <n v="6.13"/>
    <n v="65.5"/>
    <n v="206.71419999999998"/>
    <n v="169.99146999999999"/>
    <n v="206.63239999999999"/>
    <n v="171.57329999999999"/>
    <n v="322.98544600000002"/>
    <n v="166.26988"/>
    <n v="156.71556600000002"/>
    <n v="32"/>
    <n v="32"/>
    <n v="39.551610000000004"/>
    <n v="27.272369999999999"/>
    <n v="291.40949999999998"/>
  </r>
  <r>
    <x v="221"/>
    <n v="5102"/>
    <n v="4953"/>
    <n v="40.15"/>
    <n v="35.29"/>
    <n v="5034"/>
    <n v="40.049999999999997"/>
    <n v="33.9"/>
    <n v="4601"/>
    <n v="622.58000000000004"/>
    <n v="52.8"/>
    <n v="27.25"/>
    <n v="4451"/>
    <n v="7.04"/>
    <n v="5.54"/>
    <n v="63.43"/>
    <n v="198.86294999999998"/>
    <n v="174.79137"/>
    <n v="201.61169999999998"/>
    <n v="170.65260000000001"/>
    <n v="328.72224"/>
    <n v="169.65305000000001"/>
    <n v="159.06918999999999"/>
    <n v="32"/>
    <n v="32"/>
    <n v="31.335039999999999"/>
    <n v="24.658540000000002"/>
    <n v="282.32693"/>
  </r>
  <r>
    <x v="222"/>
    <n v="0"/>
    <n v="0"/>
    <n v="0"/>
    <n v="0"/>
    <n v="4624"/>
    <n v="39.92"/>
    <n v="34.07"/>
    <n v="0"/>
    <n v="570.66"/>
    <n v="52.9"/>
    <n v="26.45"/>
    <n v="4090"/>
    <n v="8.08"/>
    <n v="6.77"/>
    <n v="64.900000000000006"/>
    <n v="0"/>
    <n v="0"/>
    <n v="184.59008000000003"/>
    <n v="157.53968"/>
    <n v="301.87913999999995"/>
    <n v="150.93956999999997"/>
    <n v="150.93956999999997"/>
    <n v="32"/>
    <n v="32"/>
    <n v="33.047199999999997"/>
    <n v="27.689299999999999"/>
    <n v="265.44099999999997"/>
  </r>
  <r>
    <x v="22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2"/>
    <n v="32"/>
    <n v="0"/>
    <n v="0"/>
    <n v="0"/>
  </r>
  <r>
    <x v="224"/>
    <n v="5481"/>
    <n v="5321"/>
    <n v="43.52"/>
    <n v="35.409999999999997"/>
    <n v="0"/>
    <n v="0"/>
    <n v="0"/>
    <n v="5321"/>
    <n v="0"/>
    <n v="0"/>
    <n v="0"/>
    <n v="0"/>
    <n v="0"/>
    <n v="0"/>
    <n v="0"/>
    <n v="231.56992000000002"/>
    <n v="188.41660999999999"/>
    <n v="0"/>
    <n v="0"/>
    <n v="0"/>
    <n v="0"/>
    <n v="0"/>
    <n v="32"/>
    <n v="33"/>
    <n v="0"/>
    <n v="0"/>
    <n v="0"/>
  </r>
  <r>
    <x v="225"/>
    <n v="5441"/>
    <n v="5283"/>
    <n v="43.63"/>
    <n v="36.36"/>
    <n v="5016"/>
    <n v="41.64"/>
    <n v="34.06"/>
    <n v="5604"/>
    <n v="602.83000000000004"/>
    <n v="52.12"/>
    <n v="26.74"/>
    <n v="4452"/>
    <n v="10.55"/>
    <n v="7.34"/>
    <n v="68.83"/>
    <n v="230.49729000000002"/>
    <n v="192.08987999999999"/>
    <n v="208.86624"/>
    <n v="170.84496000000001"/>
    <n v="314.194996"/>
    <n v="161.196742"/>
    <n v="152.998254"/>
    <n v="33"/>
    <n v="33"/>
    <n v="46.968600000000009"/>
    <n v="32.677680000000002"/>
    <n v="306.43115999999998"/>
  </r>
  <r>
    <x v="226"/>
    <n v="5134"/>
    <n v="4984"/>
    <n v="44.77"/>
    <n v="36.130000000000003"/>
    <n v="5023"/>
    <n v="42.49"/>
    <n v="34.61"/>
    <n v="5588"/>
    <n v="604.84"/>
    <n v="49.33"/>
    <n v="25.89"/>
    <n v="4457"/>
    <n v="12.49"/>
    <n v="7.53"/>
    <n v="71.39"/>
    <n v="223.13368000000003"/>
    <n v="180.07192000000001"/>
    <n v="213.42727000000002"/>
    <n v="173.84602999999998"/>
    <n v="298.367572"/>
    <n v="156.59307600000002"/>
    <n v="141.77449599999997"/>
    <n v="33"/>
    <n v="33"/>
    <n v="55.667929999999998"/>
    <n v="33.561210000000003"/>
    <n v="318.18522999999999"/>
  </r>
  <r>
    <x v="227"/>
    <n v="5261"/>
    <n v="5108"/>
    <n v="42.01"/>
    <n v="34.32"/>
    <n v="5027"/>
    <n v="41.2"/>
    <n v="33.61"/>
    <n v="5696"/>
    <n v="625.21"/>
    <n v="53.39"/>
    <n v="27.31"/>
    <n v="4442"/>
    <n v="8"/>
    <n v="4.0199999999999996"/>
    <n v="64.010000000000005"/>
    <n v="214.58707999999999"/>
    <n v="175.30655999999999"/>
    <n v="207.11240000000004"/>
    <n v="168.95747"/>
    <n v="333.79961900000001"/>
    <n v="170.74485100000001"/>
    <n v="163.054768"/>
    <n v="33"/>
    <n v="33"/>
    <n v="35.536000000000001"/>
    <n v="17.856839999999998"/>
    <n v="284.33242000000007"/>
  </r>
  <r>
    <x v="228"/>
    <n v="4876"/>
    <n v="4734"/>
    <n v="42.45"/>
    <n v="36.68"/>
    <n v="5020"/>
    <n v="40.65"/>
    <n v="34.53"/>
    <n v="5430"/>
    <n v="620.30999999999995"/>
    <n v="52.75"/>
    <n v="27.51"/>
    <n v="4439"/>
    <n v="7.38"/>
    <n v="6.86"/>
    <n v="65.2"/>
    <n v="200.95830000000001"/>
    <n v="173.64311999999998"/>
    <n v="204.06299999999999"/>
    <n v="173.34059999999999"/>
    <n v="327.21352499999995"/>
    <n v="170.64728099999999"/>
    <n v="156.56624399999995"/>
    <n v="33"/>
    <n v="33"/>
    <n v="32.759819999999998"/>
    <n v="30.451540000000001"/>
    <n v="289.4228"/>
  </r>
  <r>
    <x v="229"/>
    <n v="0"/>
    <n v="0"/>
    <n v="0"/>
    <n v="0"/>
    <n v="5459"/>
    <n v="40.78"/>
    <n v="33.94"/>
    <n v="0"/>
    <n v="634.79"/>
    <n v="52.65"/>
    <n v="26.95"/>
    <n v="4866"/>
    <n v="10.39"/>
    <n v="7.35"/>
    <n v="70.069999999999993"/>
    <n v="0"/>
    <n v="0"/>
    <n v="222.61802000000003"/>
    <n v="185.27846"/>
    <n v="334.21693499999992"/>
    <n v="171.07590499999998"/>
    <n v="163.14102999999994"/>
    <n v="33"/>
    <n v="33"/>
    <n v="50.557740000000003"/>
    <n v="35.765099999999997"/>
    <n v="340.96062000000001"/>
  </r>
  <r>
    <x v="23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3"/>
    <n v="33"/>
    <n v="0"/>
    <n v="0"/>
    <n v="0"/>
  </r>
  <r>
    <x v="231"/>
    <n v="5021"/>
    <n v="4875"/>
    <n v="42.4"/>
    <n v="34.93"/>
    <n v="0"/>
    <n v="0"/>
    <n v="0"/>
    <n v="4875"/>
    <n v="0"/>
    <n v="0"/>
    <n v="0"/>
    <n v="0"/>
    <n v="0"/>
    <n v="0"/>
    <n v="0"/>
    <n v="206.7"/>
    <n v="170.28375"/>
    <n v="0"/>
    <n v="0"/>
    <n v="0"/>
    <n v="0"/>
    <n v="0"/>
    <n v="33"/>
    <n v="34"/>
    <n v="0"/>
    <n v="0"/>
    <n v="0"/>
  </r>
  <r>
    <x v="232"/>
    <n v="4774"/>
    <n v="4635"/>
    <n v="44.96"/>
    <n v="37.020000000000003"/>
    <n v="5021"/>
    <n v="41.5"/>
    <n v="34.24"/>
    <n v="4510"/>
    <n v="656.93"/>
    <n v="50.91"/>
    <n v="26.32"/>
    <n v="4405"/>
    <n v="7.86"/>
    <n v="4.3899999999999997"/>
    <n v="63.02"/>
    <n v="208.3896"/>
    <n v="171.58770000000001"/>
    <n v="208.3715"/>
    <n v="171.91904"/>
    <n v="334.44306299999994"/>
    <n v="172.903976"/>
    <n v="161.53908699999994"/>
    <n v="34"/>
    <n v="34"/>
    <n v="34.6233"/>
    <n v="19.337949999999996"/>
    <n v="277.60310000000004"/>
  </r>
  <r>
    <x v="233"/>
    <n v="5248"/>
    <n v="5095"/>
    <n v="41.02"/>
    <n v="37.03"/>
    <n v="5023"/>
    <n v="40.840000000000003"/>
    <n v="34.93"/>
    <n v="4605"/>
    <n v="623.95000000000005"/>
    <n v="51.19"/>
    <n v="26.69"/>
    <n v="4439"/>
    <n v="8.51"/>
    <n v="5.9"/>
    <n v="65.680000000000007"/>
    <n v="208.99690000000001"/>
    <n v="188.66785000000002"/>
    <n v="205.13932"/>
    <n v="175.45338999999998"/>
    <n v="319.40000500000002"/>
    <n v="166.53225499999999"/>
    <n v="152.86775000000003"/>
    <n v="34"/>
    <n v="34"/>
    <n v="37.775889999999997"/>
    <n v="26.190100000000001"/>
    <n v="291.55351999999999"/>
  </r>
  <r>
    <x v="234"/>
    <n v="5213"/>
    <n v="5061"/>
    <n v="42.11"/>
    <n v="35.75"/>
    <n v="5013"/>
    <n v="41.04"/>
    <n v="34.57"/>
    <n v="4666"/>
    <n v="609.41999999999996"/>
    <n v="51.6"/>
    <n v="27.52"/>
    <n v="4443"/>
    <n v="8.36"/>
    <n v="7.84"/>
    <n v="67.45"/>
    <n v="213.11870999999999"/>
    <n v="180.93074999999999"/>
    <n v="205.73352"/>
    <n v="173.29940999999999"/>
    <n v="314.46071999999998"/>
    <n v="167.71238399999999"/>
    <n v="146.74833599999999"/>
    <n v="34"/>
    <n v="34"/>
    <n v="37.143479999999997"/>
    <n v="34.833120000000001"/>
    <n v="299.68035000000003"/>
  </r>
  <r>
    <x v="235"/>
    <n v="4953"/>
    <n v="4809"/>
    <n v="43.26"/>
    <n v="36.24"/>
    <n v="5025"/>
    <n v="40.86"/>
    <n v="34.65"/>
    <n v="4475"/>
    <n v="664.59"/>
    <n v="51.63"/>
    <n v="27.14"/>
    <n v="4401"/>
    <n v="5.54"/>
    <n v="5.61"/>
    <n v="62.84"/>
    <n v="208.03734"/>
    <n v="174.27816000000001"/>
    <n v="205.32149999999999"/>
    <n v="174.11625000000001"/>
    <n v="343.12781700000005"/>
    <n v="180.36972600000001"/>
    <n v="162.75809100000004"/>
    <n v="34"/>
    <n v="34"/>
    <n v="24.381540000000001"/>
    <n v="24.689610000000002"/>
    <n v="276.55884000000003"/>
  </r>
  <r>
    <x v="236"/>
    <n v="0"/>
    <n v="0"/>
    <n v="0"/>
    <n v="0"/>
    <n v="4488"/>
    <n v="40.72"/>
    <n v="34.57"/>
    <n v="0"/>
    <n v="597.37"/>
    <n v="52.92"/>
    <n v="26.45"/>
    <n v="3927"/>
    <n v="6.19"/>
    <n v="4.09"/>
    <n v="60.35"/>
    <n v="0"/>
    <n v="0"/>
    <n v="182.75135999999998"/>
    <n v="155.15016"/>
    <n v="316.12820399999998"/>
    <n v="158.00436500000001"/>
    <n v="158.12383899999998"/>
    <n v="34"/>
    <n v="34"/>
    <n v="24.308130000000002"/>
    <n v="16.061430000000001"/>
    <n v="236.99445"/>
  </r>
  <r>
    <x v="23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4"/>
    <n v="34"/>
    <n v="0"/>
    <n v="0"/>
    <n v="0"/>
  </r>
  <r>
    <x v="238"/>
    <n v="4760"/>
    <n v="4621"/>
    <n v="40.81"/>
    <n v="34.28"/>
    <n v="0"/>
    <n v="0"/>
    <n v="0"/>
    <n v="4621"/>
    <n v="0"/>
    <n v="0"/>
    <n v="0"/>
    <n v="0"/>
    <n v="0"/>
    <n v="0"/>
    <n v="0"/>
    <n v="188.58301"/>
    <n v="158.40788000000001"/>
    <n v="0"/>
    <n v="0"/>
    <n v="0"/>
    <n v="0"/>
    <n v="0"/>
    <n v="34"/>
    <n v="35"/>
    <n v="0"/>
    <n v="0"/>
    <n v="0"/>
  </r>
  <r>
    <x v="239"/>
    <n v="5568"/>
    <n v="5406"/>
    <n v="43.32"/>
    <n v="34.47"/>
    <n v="5020"/>
    <n v="40.06"/>
    <n v="32.65"/>
    <n v="5027"/>
    <n v="622.26"/>
    <n v="53.18"/>
    <n v="27.79"/>
    <n v="4437"/>
    <n v="6.25"/>
    <n v="4.09"/>
    <n v="61.52"/>
    <n v="234.18792000000002"/>
    <n v="186.34482"/>
    <n v="201.10120000000001"/>
    <n v="163.90299999999999"/>
    <n v="330.917868"/>
    <n v="172.92605399999999"/>
    <n v="157.99181400000001"/>
    <n v="35"/>
    <n v="35"/>
    <n v="27.731249999999999"/>
    <n v="18.147329999999997"/>
    <n v="272.96424000000002"/>
  </r>
  <r>
    <x v="240"/>
    <n v="5165"/>
    <n v="5015"/>
    <n v="43.23"/>
    <n v="37.65"/>
    <n v="5018"/>
    <n v="40.72"/>
    <n v="34.33"/>
    <n v="5042"/>
    <n v="600.39"/>
    <n v="51.01"/>
    <n v="26.34"/>
    <n v="4457"/>
    <n v="10.1"/>
    <n v="6.63"/>
    <n v="66.989999999999995"/>
    <n v="216.79844999999997"/>
    <n v="188.81475"/>
    <n v="204.33295999999999"/>
    <n v="172.26794000000001"/>
    <n v="306.258939"/>
    <n v="158.14272600000001"/>
    <n v="148.11621299999999"/>
    <n v="35"/>
    <n v="35"/>
    <n v="45.015699999999995"/>
    <n v="29.549910000000001"/>
    <n v="298.57443000000001"/>
  </r>
  <r>
    <x v="241"/>
    <n v="5116"/>
    <n v="4967"/>
    <n v="42.18"/>
    <n v="36.94"/>
    <n v="5027"/>
    <n v="40.78"/>
    <n v="34.880000000000003"/>
    <n v="5009"/>
    <n v="608.80999999999995"/>
    <n v="51.68"/>
    <n v="27.02"/>
    <n v="4458"/>
    <n v="8.9499999999999993"/>
    <n v="7.65"/>
    <n v="68.56"/>
    <n v="209.50806"/>
    <n v="183.48097999999999"/>
    <n v="205.00106"/>
    <n v="175.34176000000002"/>
    <n v="314.63300799999996"/>
    <n v="164.50046199999997"/>
    <n v="150.13254599999999"/>
    <n v="35"/>
    <n v="35"/>
    <n v="39.899099999999997"/>
    <n v="34.103700000000003"/>
    <n v="305.64047999999997"/>
  </r>
  <r>
    <x v="242"/>
    <n v="4967"/>
    <n v="4822"/>
    <n v="41.15"/>
    <n v="34.79"/>
    <n v="5023"/>
    <n v="39.81"/>
    <n v="34.020000000000003"/>
    <n v="4831"/>
    <n v="614.16999999999996"/>
    <n v="50.89"/>
    <n v="26.28"/>
    <n v="4448"/>
    <n v="8.56"/>
    <n v="7.29"/>
    <n v="66.98"/>
    <n v="198.42529999999999"/>
    <n v="167.75738000000001"/>
    <n v="199.96563"/>
    <n v="170.88246000000001"/>
    <n v="312.55111299999999"/>
    <n v="161.403876"/>
    <n v="151.14723699999999"/>
    <n v="35"/>
    <n v="35"/>
    <n v="38.074880000000007"/>
    <n v="32.425920000000005"/>
    <n v="297.92704000000003"/>
  </r>
  <r>
    <x v="243"/>
    <n v="0"/>
    <n v="0"/>
    <n v="0"/>
    <n v="0"/>
    <n v="4854"/>
    <n v="40.049999999999997"/>
    <n v="33.81"/>
    <n v="0"/>
    <n v="575.72"/>
    <n v="52.64"/>
    <n v="26.76"/>
    <n v="4316"/>
    <n v="9.2100000000000009"/>
    <n v="6.76"/>
    <n v="66.52"/>
    <n v="0"/>
    <n v="0"/>
    <n v="194.40269999999998"/>
    <n v="164.11374000000001"/>
    <n v="303.05900800000001"/>
    <n v="154.06267200000002"/>
    <n v="148.99633599999999"/>
    <n v="35"/>
    <n v="35"/>
    <n v="39.750360000000001"/>
    <n v="29.176159999999999"/>
    <n v="287.10032000000001"/>
  </r>
  <r>
    <x v="24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5"/>
    <n v="35"/>
    <n v="0"/>
    <n v="0"/>
    <n v="0"/>
  </r>
  <r>
    <x v="245"/>
    <n v="5108"/>
    <n v="4959"/>
    <n v="41.82"/>
    <n v="33.25"/>
    <n v="0"/>
    <n v="0"/>
    <n v="0"/>
    <n v="4959"/>
    <n v="0"/>
    <n v="0"/>
    <n v="0"/>
    <n v="0"/>
    <n v="0"/>
    <n v="0"/>
    <n v="0"/>
    <n v="207.38538"/>
    <n v="164.88675000000001"/>
    <n v="0"/>
    <n v="0"/>
    <n v="0"/>
    <n v="0"/>
    <n v="0"/>
    <n v="35"/>
    <n v="36"/>
    <n v="0"/>
    <n v="0"/>
    <n v="0"/>
  </r>
  <r>
    <x v="246"/>
    <n v="5311"/>
    <n v="5156"/>
    <n v="40.17"/>
    <n v="37.200000000000003"/>
    <n v="5016"/>
    <n v="38.9"/>
    <n v="33.700000000000003"/>
    <n v="5115"/>
    <n v="619.34"/>
    <n v="52.2"/>
    <n v="27.51"/>
    <n v="4436"/>
    <n v="5.47"/>
    <n v="5.8"/>
    <n v="64.53"/>
    <n v="207.11652000000001"/>
    <n v="191.8032"/>
    <n v="195.1224"/>
    <n v="169.03920000000002"/>
    <n v="323.29548"/>
    <n v="170.38043400000004"/>
    <n v="152.91504599999996"/>
    <n v="36"/>
    <n v="36"/>
    <n v="24.264919999999996"/>
    <n v="25.7288"/>
    <n v="286.25508000000002"/>
  </r>
  <r>
    <x v="247"/>
    <n v="5289"/>
    <n v="5135"/>
    <n v="41.31"/>
    <n v="36.270000000000003"/>
    <n v="5019"/>
    <n v="39.19"/>
    <n v="34.340000000000003"/>
    <n v="5250"/>
    <n v="628.6"/>
    <n v="51.5"/>
    <n v="26.08"/>
    <n v="4430"/>
    <n v="7.34"/>
    <n v="6.08"/>
    <n v="64.02"/>
    <n v="212.12685000000002"/>
    <n v="186.24645000000001"/>
    <n v="196.69460999999998"/>
    <n v="172.35246000000001"/>
    <n v="323.72900000000004"/>
    <n v="163.93887999999998"/>
    <n v="159.79012000000006"/>
    <n v="36"/>
    <n v="36"/>
    <n v="32.516199999999998"/>
    <n v="26.9344"/>
    <n v="283.60859999999997"/>
  </r>
  <r>
    <x v="248"/>
    <n v="5219"/>
    <n v="5067"/>
    <n v="46.43"/>
    <n v="34.82"/>
    <n v="5032"/>
    <n v="41.83"/>
    <n v="33.53"/>
    <n v="5317"/>
    <n v="624.4"/>
    <n v="53.42"/>
    <n v="29.23"/>
    <n v="4447"/>
    <n v="6.2"/>
    <n v="5.26"/>
    <n v="61.33"/>
    <n v="235.26080999999999"/>
    <n v="176.43294"/>
    <n v="210.48856000000001"/>
    <n v="168.72296"/>
    <n v="333.55447999999996"/>
    <n v="182.51211999999998"/>
    <n v="151.04235999999997"/>
    <n v="36"/>
    <n v="36"/>
    <n v="27.571400000000001"/>
    <n v="23.391219999999997"/>
    <n v="272.73451"/>
  </r>
  <r>
    <x v="249"/>
    <n v="5377"/>
    <n v="5220"/>
    <n v="41.87"/>
    <n v="35.43"/>
    <n v="5030"/>
    <n v="40.86"/>
    <n v="33.83"/>
    <n v="5537"/>
    <n v="616"/>
    <n v="51.07"/>
    <n v="26.73"/>
    <n v="4454"/>
    <n v="9"/>
    <n v="6.68"/>
    <n v="66.12"/>
    <n v="218.56139999999999"/>
    <n v="184.94460000000001"/>
    <n v="205.52579999999998"/>
    <n v="170.16489999999999"/>
    <n v="314.59120000000001"/>
    <n v="164.6568"/>
    <n v="149.93440000000001"/>
    <n v="36"/>
    <n v="36"/>
    <n v="40.085999999999999"/>
    <n v="29.752719999999997"/>
    <n v="294.49848000000003"/>
  </r>
  <r>
    <x v="250"/>
    <n v="0"/>
    <n v="0"/>
    <n v="0"/>
    <n v="0"/>
    <n v="5568"/>
    <n v="40.729999999999997"/>
    <n v="33.79"/>
    <n v="0"/>
    <n v="710.99"/>
    <n v="53.04"/>
    <n v="27.84"/>
    <n v="4902"/>
    <n v="5.76"/>
    <n v="4.22"/>
    <n v="61.65"/>
    <n v="0"/>
    <n v="0"/>
    <n v="226.78464"/>
    <n v="188.14272"/>
    <n v="377.10909599999997"/>
    <n v="197.939616"/>
    <n v="179.16947999999996"/>
    <n v="36"/>
    <n v="36"/>
    <n v="28.235520000000001"/>
    <n v="20.686439999999997"/>
    <n v="302.20830000000001"/>
  </r>
  <r>
    <x v="25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6"/>
    <n v="36"/>
    <n v="0"/>
    <n v="0"/>
    <n v="0"/>
  </r>
  <r>
    <x v="252"/>
    <n v="5260"/>
    <n v="5107"/>
    <n v="40.97"/>
    <n v="36.36"/>
    <n v="0"/>
    <n v="0"/>
    <n v="0"/>
    <n v="5107"/>
    <n v="0"/>
    <n v="0"/>
    <n v="0"/>
    <n v="0"/>
    <n v="0"/>
    <n v="0"/>
    <n v="0"/>
    <n v="209.23379"/>
    <n v="185.69051999999999"/>
    <n v="0"/>
    <n v="0"/>
    <n v="0"/>
    <n v="0"/>
    <n v="0"/>
    <n v="36"/>
    <n v="37"/>
    <n v="0"/>
    <n v="0"/>
    <n v="0"/>
  </r>
  <r>
    <x v="253"/>
    <n v="4946"/>
    <n v="4802"/>
    <n v="42.43"/>
    <n v="36.29"/>
    <n v="5026"/>
    <n v="39.61"/>
    <n v="34.5"/>
    <n v="4909"/>
    <n v="657.02"/>
    <n v="51.33"/>
    <n v="26.82"/>
    <n v="4410"/>
    <n v="5.0999999999999996"/>
    <n v="3.75"/>
    <n v="60.18"/>
    <n v="203.74885999999998"/>
    <n v="174.26458"/>
    <n v="199.07986"/>
    <n v="173.39699999999999"/>
    <n v="337.24836599999998"/>
    <n v="176.21276399999999"/>
    <n v="161.03560199999998"/>
    <n v="37"/>
    <n v="37"/>
    <n v="22.491"/>
    <n v="16.537500000000001"/>
    <n v="265.3938"/>
  </r>
  <r>
    <x v="254"/>
    <n v="5152"/>
    <n v="5002"/>
    <n v="41.22"/>
    <n v="35.32"/>
    <n v="5026"/>
    <n v="39.72"/>
    <n v="34.090000000000003"/>
    <n v="4911"/>
    <n v="631.94000000000005"/>
    <n v="51.82"/>
    <n v="26.15"/>
    <n v="4434"/>
    <n v="7.64"/>
    <n v="5.28"/>
    <n v="63.54"/>
    <n v="206.18244000000001"/>
    <n v="176.67064000000002"/>
    <n v="199.63272000000001"/>
    <n v="171.33634000000004"/>
    <n v="327.47130800000002"/>
    <n v="165.25230999999999"/>
    <n v="162.21899800000003"/>
    <n v="37"/>
    <n v="37"/>
    <n v="33.87576"/>
    <n v="23.411519999999999"/>
    <n v="281.73635999999999"/>
  </r>
  <r>
    <x v="255"/>
    <n v="5554"/>
    <n v="5392"/>
    <n v="41.96"/>
    <n v="37.43"/>
    <n v="5020"/>
    <n v="40.15"/>
    <n v="34.67"/>
    <n v="5303"/>
    <n v="603.30999999999995"/>
    <n v="51.29"/>
    <n v="27.12"/>
    <n v="4456"/>
    <n v="8.35"/>
    <n v="7.65"/>
    <n v="68.290000000000006"/>
    <n v="226.24832000000001"/>
    <n v="201.82256000000001"/>
    <n v="201.553"/>
    <n v="174.04339999999999"/>
    <n v="309.43769899999995"/>
    <n v="163.61767199999997"/>
    <n v="145.82002699999998"/>
    <n v="37"/>
    <n v="37"/>
    <n v="37.207599999999999"/>
    <n v="34.0884"/>
    <n v="304.30024000000003"/>
  </r>
  <r>
    <x v="256"/>
    <n v="5518"/>
    <n v="5357"/>
    <n v="42.76"/>
    <n v="35.81"/>
    <n v="5035"/>
    <n v="40.24"/>
    <n v="34.229999999999997"/>
    <n v="5660"/>
    <n v="614.33000000000004"/>
    <n v="52.67"/>
    <n v="27.24"/>
    <n v="4460"/>
    <n v="7.73"/>
    <n v="6.41"/>
    <n v="65.91"/>
    <n v="229.06531999999999"/>
    <n v="191.83417"/>
    <n v="202.60840000000002"/>
    <n v="172.34805"/>
    <n v="323.56761100000006"/>
    <n v="167.343492"/>
    <n v="156.22411900000006"/>
    <n v="37"/>
    <n v="37"/>
    <n v="34.4758"/>
    <n v="28.588600000000003"/>
    <n v="293.95859999999999"/>
  </r>
  <r>
    <x v="257"/>
    <n v="0"/>
    <n v="0"/>
    <n v="0"/>
    <n v="0"/>
    <n v="5688"/>
    <n v="40.18"/>
    <n v="34.76"/>
    <n v="0"/>
    <n v="700.09"/>
    <n v="52.04"/>
    <n v="26.17"/>
    <n v="5033"/>
    <n v="8.7899999999999991"/>
    <n v="8.31"/>
    <n v="68.400000000000006"/>
    <n v="0"/>
    <n v="0"/>
    <n v="228.54383999999999"/>
    <n v="197.71487999999997"/>
    <n v="364.32683600000001"/>
    <n v="183.21355300000002"/>
    <n v="181.113283"/>
    <n v="37"/>
    <n v="37"/>
    <n v="44.240069999999996"/>
    <n v="41.82423"/>
    <n v="344.25720000000001"/>
  </r>
  <r>
    <x v="25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7"/>
    <n v="37"/>
    <n v="0"/>
    <n v="0"/>
    <n v="0"/>
  </r>
  <r>
    <x v="259"/>
    <n v="4871"/>
    <n v="4729"/>
    <n v="43.15"/>
    <n v="36.51"/>
    <n v="0"/>
    <n v="0"/>
    <n v="0"/>
    <n v="4729"/>
    <n v="0"/>
    <n v="0"/>
    <n v="0"/>
    <n v="0"/>
    <n v="0"/>
    <n v="0"/>
    <n v="0"/>
    <n v="204.05635000000001"/>
    <n v="172.65578999999997"/>
    <n v="0"/>
    <n v="0"/>
    <n v="0"/>
    <n v="0"/>
    <n v="0"/>
    <n v="37"/>
    <n v="38"/>
    <n v="0"/>
    <n v="0"/>
    <n v="0"/>
  </r>
  <r>
    <x v="260"/>
    <n v="5352"/>
    <n v="5196"/>
    <n v="45.08"/>
    <n v="35.630000000000003"/>
    <n v="5033"/>
    <n v="41.87"/>
    <n v="34.56"/>
    <n v="4925"/>
    <n v="625.34"/>
    <n v="51.88"/>
    <n v="27.29"/>
    <n v="4447"/>
    <n v="8.8000000000000007"/>
    <n v="6.72"/>
    <n v="67.33"/>
    <n v="234.23568"/>
    <n v="185.13348000000002"/>
    <n v="210.73170999999999"/>
    <n v="173.94048000000001"/>
    <n v="324.42639200000002"/>
    <n v="170.65528600000002"/>
    <n v="153.771106"/>
    <n v="38"/>
    <n v="38"/>
    <n v="39.133600000000008"/>
    <n v="29.883839999999999"/>
    <n v="299.41651000000002"/>
  </r>
  <r>
    <x v="261"/>
    <n v="5044"/>
    <n v="4897"/>
    <n v="42.44"/>
    <n v="36.25"/>
    <n v="5021"/>
    <n v="41.33"/>
    <n v="34.43"/>
    <n v="4822"/>
    <n v="621"/>
    <n v="49.84"/>
    <n v="26.06"/>
    <n v="4440"/>
    <n v="10.08"/>
    <n v="7.13"/>
    <n v="68.239999999999995"/>
    <n v="207.82867999999999"/>
    <n v="177.51625000000001"/>
    <n v="207.51793000000001"/>
    <n v="172.87303"/>
    <n v="309.50640000000004"/>
    <n v="161.83259999999999"/>
    <n v="147.67380000000006"/>
    <n v="38"/>
    <n v="38"/>
    <n v="44.755199999999995"/>
    <n v="31.6572"/>
    <n v="302.98559999999998"/>
  </r>
  <r>
    <x v="262"/>
    <n v="5156"/>
    <n v="5006"/>
    <n v="44.23"/>
    <n v="35.229999999999997"/>
    <n v="5024"/>
    <n v="41.91"/>
    <n v="34.1"/>
    <n v="4828"/>
    <n v="597.05999999999995"/>
    <n v="52.63"/>
    <n v="26.72"/>
    <n v="4466"/>
    <n v="11.13"/>
    <n v="7.92"/>
    <n v="71.25"/>
    <n v="221.41537999999997"/>
    <n v="176.36137999999997"/>
    <n v="210.55583999999999"/>
    <n v="171.3184"/>
    <n v="314.23267799999996"/>
    <n v="159.53443199999998"/>
    <n v="154.69824599999998"/>
    <n v="38"/>
    <n v="38"/>
    <n v="49.706580000000002"/>
    <n v="35.370719999999999"/>
    <n v="318.20249999999999"/>
  </r>
  <r>
    <x v="263"/>
    <n v="5372"/>
    <n v="5216"/>
    <n v="43.28"/>
    <n v="35.68"/>
    <n v="5023"/>
    <n v="41.51"/>
    <n v="34.24"/>
    <n v="5044"/>
    <n v="595.78"/>
    <n v="52.58"/>
    <n v="26.21"/>
    <n v="4466"/>
    <n v="11.51"/>
    <n v="7.57"/>
    <n v="69.02"/>
    <n v="225.74848"/>
    <n v="186.10688000000002"/>
    <n v="208.50473"/>
    <n v="171.98752000000002"/>
    <n v="313.261124"/>
    <n v="156.15393800000001"/>
    <n v="157.10718599999998"/>
    <n v="38"/>
    <n v="38"/>
    <n v="51.403659999999995"/>
    <n v="33.80762"/>
    <n v="308.24331999999998"/>
  </r>
  <r>
    <x v="264"/>
    <n v="0"/>
    <n v="0"/>
    <n v="0"/>
    <n v="0"/>
    <n v="5076"/>
    <n v="41.41"/>
    <n v="33.94"/>
    <n v="0"/>
    <n v="587.52"/>
    <n v="53.93"/>
    <n v="28.03"/>
    <n v="4528"/>
    <n v="9.83"/>
    <n v="8.6"/>
    <n v="69.86"/>
    <n v="0"/>
    <n v="0"/>
    <n v="210.19715999999997"/>
    <n v="172.27943999999999"/>
    <n v="316.84953599999994"/>
    <n v="164.68185600000001"/>
    <n v="152.16767999999993"/>
    <n v="38"/>
    <n v="38"/>
    <n v="44.510239999999996"/>
    <n v="38.940799999999996"/>
    <n v="316.32607999999999"/>
  </r>
  <r>
    <x v="26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8"/>
    <n v="38"/>
    <n v="0"/>
    <n v="0"/>
    <n v="0"/>
  </r>
  <r>
    <x v="266"/>
    <n v="5038"/>
    <n v="4891"/>
    <n v="43.29"/>
    <n v="34.61"/>
    <n v="0"/>
    <n v="0"/>
    <n v="0"/>
    <n v="4891"/>
    <n v="0"/>
    <n v="0"/>
    <n v="0"/>
    <n v="0"/>
    <n v="0"/>
    <n v="0"/>
    <n v="0"/>
    <n v="211.73138999999998"/>
    <n v="169.27751000000001"/>
    <n v="0"/>
    <n v="0"/>
    <n v="0"/>
    <n v="0"/>
    <n v="0"/>
    <n v="38"/>
    <n v="39"/>
    <n v="0"/>
    <n v="0"/>
    <n v="0"/>
  </r>
  <r>
    <x v="267"/>
    <n v="4956"/>
    <n v="4812"/>
    <n v="41.61"/>
    <n v="37.869999999999997"/>
    <n v="5030"/>
    <n v="40.65"/>
    <n v="34.57"/>
    <n v="4703"/>
    <n v="657.03"/>
    <n v="51.32"/>
    <n v="27.05"/>
    <n v="4414"/>
    <n v="5.93"/>
    <n v="6.5"/>
    <n v="62.52"/>
    <n v="200.22732000000002"/>
    <n v="182.23043999999999"/>
    <n v="204.46950000000001"/>
    <n v="173.8871"/>
    <n v="337.18779599999999"/>
    <n v="177.72661499999998"/>
    <n v="159.46118100000001"/>
    <n v="39"/>
    <n v="39"/>
    <n v="26.17502"/>
    <n v="28.690999999999999"/>
    <n v="275.96328000000005"/>
  </r>
  <r>
    <x v="268"/>
    <n v="5294"/>
    <n v="5140"/>
    <n v="42.14"/>
    <n v="35.89"/>
    <n v="5030"/>
    <n v="40.18"/>
    <n v="34.18"/>
    <n v="4843"/>
    <n v="609.86"/>
    <n v="51.95"/>
    <n v="27.46"/>
    <n v="4460"/>
    <n v="7.7"/>
    <n v="5.88"/>
    <n v="65.27"/>
    <n v="216.59960000000001"/>
    <n v="184.47460000000001"/>
    <n v="202.1054"/>
    <n v="171.9254"/>
    <n v="316.82227"/>
    <n v="167.467556"/>
    <n v="149.354714"/>
    <n v="39"/>
    <n v="39"/>
    <n v="34.341999999999999"/>
    <n v="26.224799999999998"/>
    <n v="291.10419999999993"/>
  </r>
  <r>
    <x v="269"/>
    <n v="5061"/>
    <n v="4914"/>
    <n v="42.52"/>
    <n v="35.28"/>
    <n v="5029"/>
    <n v="40.340000000000003"/>
    <n v="34.24"/>
    <n v="4757"/>
    <n v="711.29"/>
    <n v="50.13"/>
    <n v="26.2"/>
    <n v="4360"/>
    <n v="3.72"/>
    <n v="1.56"/>
    <n v="57.12"/>
    <n v="208.94328000000002"/>
    <n v="173.36592000000002"/>
    <n v="202.86986000000002"/>
    <n v="172.19296000000003"/>
    <n v="356.56967700000001"/>
    <n v="186.35798"/>
    <n v="170.21169700000002"/>
    <n v="39"/>
    <n v="39"/>
    <n v="16.219200000000001"/>
    <n v="6.8016000000000005"/>
    <n v="249.04319999999998"/>
  </r>
  <r>
    <x v="270"/>
    <n v="5010"/>
    <n v="4864"/>
    <n v="42.95"/>
    <n v="33.880000000000003"/>
    <n v="5041"/>
    <n v="40.67"/>
    <n v="33.06"/>
    <n v="4621"/>
    <n v="635.35"/>
    <n v="52.05"/>
    <n v="27.66"/>
    <n v="4446"/>
    <n v="6.39"/>
    <n v="4.42"/>
    <n v="61.63"/>
    <n v="208.90880000000001"/>
    <n v="164.79232000000002"/>
    <n v="205.01747"/>
    <n v="166.65546000000003"/>
    <n v="330.69967500000001"/>
    <n v="175.73781"/>
    <n v="154.96186500000002"/>
    <n v="39"/>
    <n v="39"/>
    <n v="28.409939999999999"/>
    <n v="19.651319999999998"/>
    <n v="274.00698000000006"/>
  </r>
  <r>
    <x v="271"/>
    <n v="0"/>
    <n v="0"/>
    <n v="0"/>
    <n v="0"/>
    <n v="4642"/>
    <n v="40.89"/>
    <n v="33.06"/>
    <n v="0"/>
    <n v="574.16999999999996"/>
    <n v="52.86"/>
    <n v="27.64"/>
    <n v="4104"/>
    <n v="7.43"/>
    <n v="5.0199999999999996"/>
    <n v="62.66"/>
    <n v="0"/>
    <n v="0"/>
    <n v="189.81138000000001"/>
    <n v="153.46452000000002"/>
    <n v="303.50626199999999"/>
    <n v="158.70058799999998"/>
    <n v="144.80567400000001"/>
    <n v="39"/>
    <n v="39"/>
    <n v="30.492719999999998"/>
    <n v="20.602079999999997"/>
    <n v="257.15663999999998"/>
  </r>
  <r>
    <x v="27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9"/>
    <n v="39"/>
    <n v="0"/>
    <n v="0"/>
    <n v="0"/>
  </r>
  <r>
    <x v="273"/>
    <n v="5098"/>
    <n v="4950"/>
    <n v="41.26"/>
    <n v="36.53"/>
    <n v="0"/>
    <n v="0"/>
    <n v="0"/>
    <n v="4950"/>
    <n v="0"/>
    <n v="0"/>
    <n v="0"/>
    <n v="0"/>
    <n v="0"/>
    <n v="0"/>
    <n v="0"/>
    <n v="204.23699999999999"/>
    <n v="180.8235"/>
    <n v="0"/>
    <n v="0"/>
    <n v="0"/>
    <n v="0"/>
    <n v="0"/>
    <n v="39"/>
    <n v="40"/>
    <n v="0"/>
    <n v="0"/>
    <n v="0"/>
  </r>
  <r>
    <x v="274"/>
    <n v="4643"/>
    <n v="4508"/>
    <n v="40.56"/>
    <n v="35.15"/>
    <n v="5025"/>
    <n v="39.21"/>
    <n v="34.36"/>
    <n v="4458"/>
    <n v="646.67999999999995"/>
    <n v="53.36"/>
    <n v="27.34"/>
    <n v="4419"/>
    <n v="4.5"/>
    <n v="4.12"/>
    <n v="59.42"/>
    <n v="182.84448"/>
    <n v="158.4562"/>
    <n v="197.03025"/>
    <n v="172.65899999999999"/>
    <n v="345.06844799999999"/>
    <n v="176.80231199999997"/>
    <n v="168.26613600000002"/>
    <n v="40"/>
    <n v="40"/>
    <n v="19.8855"/>
    <n v="18.20628"/>
    <n v="262.57697999999999"/>
  </r>
  <r>
    <x v="275"/>
    <n v="5168"/>
    <n v="5017"/>
    <n v="41.4"/>
    <n v="35.49"/>
    <n v="5027"/>
    <n v="39.33"/>
    <n v="33.950000000000003"/>
    <n v="4475"/>
    <n v="661.29"/>
    <n v="51.43"/>
    <n v="26.74"/>
    <n v="4406"/>
    <n v="4.6399999999999997"/>
    <n v="5.07"/>
    <n v="60.29"/>
    <n v="207.7038"/>
    <n v="178.05333000000002"/>
    <n v="197.71191000000002"/>
    <n v="170.66665000000003"/>
    <n v="340.10144699999995"/>
    <n v="176.828946"/>
    <n v="163.27250099999995"/>
    <n v="40"/>
    <n v="40"/>
    <n v="20.443840000000002"/>
    <n v="22.338420000000003"/>
    <n v="265.63774000000001"/>
  </r>
  <r>
    <x v="276"/>
    <n v="5461"/>
    <n v="5302"/>
    <n v="43.27"/>
    <n v="36.78"/>
    <n v="5026"/>
    <n v="40.49"/>
    <n v="34.85"/>
    <n v="4777"/>
    <n v="618.72"/>
    <n v="50.34"/>
    <n v="25.72"/>
    <n v="4447"/>
    <n v="9.75"/>
    <n v="7.35"/>
    <n v="67.45"/>
    <n v="229.41754"/>
    <n v="195.00755999999998"/>
    <n v="203.50274000000002"/>
    <n v="175.15610000000001"/>
    <n v="311.46364800000003"/>
    <n v="159.134784"/>
    <n v="152.32886400000004"/>
    <n v="40"/>
    <n v="40"/>
    <n v="43.358249999999998"/>
    <n v="32.685449999999996"/>
    <n v="299.95015000000001"/>
  </r>
  <r>
    <x v="277"/>
    <n v="5182"/>
    <n v="5031"/>
    <n v="41.17"/>
    <n v="34.39"/>
    <n v="5021"/>
    <n v="40.17"/>
    <n v="33.96"/>
    <n v="4808"/>
    <n v="652.41999999999996"/>
    <n v="51.65"/>
    <n v="27.47"/>
    <n v="4409"/>
    <n v="5"/>
    <n v="2.65"/>
    <n v="57.42"/>
    <n v="207.12627000000001"/>
    <n v="173.01608999999999"/>
    <n v="201.69356999999999"/>
    <n v="170.51316"/>
    <n v="336.97492999999997"/>
    <n v="179.219774"/>
    <n v="157.75515599999997"/>
    <n v="40"/>
    <n v="40"/>
    <n v="22.045000000000002"/>
    <n v="11.68385"/>
    <n v="253.16478000000001"/>
  </r>
  <r>
    <x v="278"/>
    <n v="0"/>
    <n v="0"/>
    <n v="0"/>
    <n v="0"/>
    <n v="4826"/>
    <n v="40"/>
    <n v="33.590000000000003"/>
    <n v="0"/>
    <n v="588.54"/>
    <n v="51.89"/>
    <n v="26.76"/>
    <n v="4275"/>
    <n v="8.1300000000000008"/>
    <n v="7.6"/>
    <n v="65.400000000000006"/>
    <n v="0"/>
    <n v="0"/>
    <n v="193.04"/>
    <n v="162.10534000000001"/>
    <n v="305.39340599999997"/>
    <n v="157.49330399999999"/>
    <n v="147.90010199999998"/>
    <n v="40"/>
    <n v="40"/>
    <n v="34.755749999999999"/>
    <n v="32.49"/>
    <n v="279.58499999999998"/>
  </r>
  <r>
    <x v="27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0"/>
    <n v="40"/>
    <n v="0"/>
    <n v="0"/>
    <n v="0"/>
  </r>
  <r>
    <x v="280"/>
    <n v="5325"/>
    <n v="5170"/>
    <n v="44.5"/>
    <n v="34.11"/>
    <n v="0"/>
    <n v="0"/>
    <n v="0"/>
    <n v="5170"/>
    <n v="0"/>
    <n v="0"/>
    <n v="0"/>
    <n v="0"/>
    <n v="0"/>
    <n v="0"/>
    <n v="0"/>
    <n v="230.065"/>
    <n v="176.34869999999998"/>
    <n v="0"/>
    <n v="0"/>
    <n v="0"/>
    <n v="0"/>
    <n v="0"/>
    <n v="40"/>
    <n v="41"/>
    <n v="0"/>
    <n v="0"/>
    <n v="0"/>
  </r>
  <r>
    <x v="281"/>
    <n v="4903"/>
    <n v="4760"/>
    <n v="43.45"/>
    <n v="36.799999999999997"/>
    <n v="5025"/>
    <n v="42.16"/>
    <n v="33.53"/>
    <n v="4930"/>
    <n v="628.13"/>
    <n v="52.87"/>
    <n v="27.1"/>
    <n v="4437"/>
    <n v="9.18"/>
    <n v="5.35"/>
    <n v="65.77"/>
    <n v="206.822"/>
    <n v="175.16800000000001"/>
    <n v="211.85399999999998"/>
    <n v="168.48824999999999"/>
    <n v="332.092331"/>
    <n v="170.22323"/>
    <n v="161.869101"/>
    <n v="41"/>
    <n v="41"/>
    <n v="40.731659999999998"/>
    <n v="23.737949999999998"/>
    <n v="291.82148999999998"/>
  </r>
  <r>
    <x v="282"/>
    <n v="5087"/>
    <n v="4939"/>
    <n v="44.11"/>
    <n v="35.75"/>
    <n v="5030"/>
    <n v="41.91"/>
    <n v="34.08"/>
    <n v="4869"/>
    <n v="580.20000000000005"/>
    <n v="53.75"/>
    <n v="28.15"/>
    <n v="4488"/>
    <n v="10.39"/>
    <n v="7.57"/>
    <n v="69.42"/>
    <n v="217.85929000000002"/>
    <n v="176.56925000000001"/>
    <n v="210.8073"/>
    <n v="171.42239999999998"/>
    <n v="311.85750000000002"/>
    <n v="163.3263"/>
    <n v="148.53120000000001"/>
    <n v="41"/>
    <n v="41"/>
    <n v="46.630319999999998"/>
    <n v="33.974160000000005"/>
    <n v="311.55696"/>
  </r>
  <r>
    <x v="283"/>
    <n v="4945"/>
    <n v="4801"/>
    <n v="43.75"/>
    <n v="36.520000000000003"/>
    <n v="5028"/>
    <n v="41.37"/>
    <n v="34.31"/>
    <n v="4670"/>
    <n v="617.77"/>
    <n v="52.6"/>
    <n v="27.67"/>
    <n v="4450"/>
    <n v="8.18"/>
    <n v="5.94"/>
    <n v="65.7"/>
    <n v="210.04374999999999"/>
    <n v="175.33252000000002"/>
    <n v="208.00835999999998"/>
    <n v="172.51068000000004"/>
    <n v="324.94702000000001"/>
    <n v="170.936959"/>
    <n v="154.01006100000001"/>
    <n v="41"/>
    <n v="41"/>
    <n v="36.401000000000003"/>
    <n v="26.433"/>
    <n v="292.36500000000001"/>
  </r>
  <r>
    <x v="284"/>
    <n v="5147"/>
    <n v="4997"/>
    <n v="42.98"/>
    <n v="35.4"/>
    <n v="5028"/>
    <n v="41.51"/>
    <n v="34.42"/>
    <n v="4667"/>
    <n v="651.76"/>
    <n v="52.52"/>
    <n v="26.36"/>
    <n v="4417"/>
    <n v="8.19"/>
    <n v="4.9800000000000004"/>
    <n v="65.13"/>
    <n v="214.77106000000001"/>
    <n v="176.8938"/>
    <n v="208.71227999999999"/>
    <n v="173.06376"/>
    <n v="342.30435199999999"/>
    <n v="171.80393599999999"/>
    <n v="170.500416"/>
    <n v="41"/>
    <n v="41"/>
    <n v="36.175229999999999"/>
    <n v="21.996660000000002"/>
    <n v="287.67920999999996"/>
  </r>
  <r>
    <x v="285"/>
    <n v="0"/>
    <n v="0"/>
    <n v="0"/>
    <n v="0"/>
    <n v="4696"/>
    <n v="41.25"/>
    <n v="34.04"/>
    <n v="0"/>
    <n v="580.13"/>
    <n v="52.39"/>
    <n v="27.49"/>
    <n v="4153"/>
    <n v="8.0500000000000007"/>
    <n v="5.91"/>
    <n v="64.53"/>
    <n v="0"/>
    <n v="0"/>
    <n v="193.71"/>
    <n v="159.85184000000001"/>
    <n v="303.93010699999996"/>
    <n v="159.47773699999999"/>
    <n v="144.45236999999997"/>
    <n v="41"/>
    <n v="41"/>
    <n v="33.431650000000005"/>
    <n v="24.544229999999999"/>
    <n v="267.99309000000005"/>
  </r>
  <r>
    <x v="28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1"/>
    <n v="41"/>
    <n v="0"/>
    <n v="0"/>
    <n v="0"/>
  </r>
  <r>
    <x v="287"/>
    <n v="5841"/>
    <n v="5671"/>
    <n v="40.25"/>
    <n v="34.479999999999997"/>
    <n v="0"/>
    <n v="0"/>
    <n v="0"/>
    <n v="5671"/>
    <n v="0"/>
    <n v="0"/>
    <n v="0"/>
    <n v="0"/>
    <n v="0"/>
    <n v="0"/>
    <n v="0"/>
    <n v="228.25774999999999"/>
    <n v="195.53608"/>
    <n v="0"/>
    <n v="0"/>
    <n v="0"/>
    <n v="0"/>
    <n v="0"/>
    <n v="41"/>
    <n v="42"/>
    <n v="0"/>
    <n v="0"/>
    <n v="0"/>
  </r>
  <r>
    <x v="288"/>
    <n v="5286"/>
    <n v="5132"/>
    <n v="40.92"/>
    <n v="35.46"/>
    <n v="5023"/>
    <n v="38.880000000000003"/>
    <n v="33.299999999999997"/>
    <n v="5803"/>
    <n v="605.66"/>
    <n v="51.2"/>
    <n v="26.05"/>
    <n v="4457"/>
    <n v="8.3000000000000007"/>
    <n v="5.65"/>
    <n v="64.34"/>
    <n v="210.00144"/>
    <n v="181.98071999999999"/>
    <n v="195.29424000000003"/>
    <n v="167.26589999999999"/>
    <n v="310.09791999999999"/>
    <n v="157.77443"/>
    <n v="152.32348999999999"/>
    <n v="42"/>
    <n v="42"/>
    <n v="36.993100000000005"/>
    <n v="25.182050000000004"/>
    <n v="286.76337999999998"/>
  </r>
  <r>
    <x v="289"/>
    <n v="5596"/>
    <n v="5433"/>
    <n v="41.44"/>
    <n v="34.479999999999997"/>
    <n v="5025"/>
    <n v="39.03"/>
    <n v="33.39"/>
    <n v="6236"/>
    <n v="615.1"/>
    <n v="52.16"/>
    <n v="27.69"/>
    <n v="4449"/>
    <n v="5.67"/>
    <n v="6.24"/>
    <n v="64.849999999999994"/>
    <n v="225.14352"/>
    <n v="187.32983999999999"/>
    <n v="196.12575000000001"/>
    <n v="167.78475"/>
    <n v="320.83616000000001"/>
    <n v="170.32119000000003"/>
    <n v="150.51496999999998"/>
    <n v="42"/>
    <n v="42"/>
    <n v="25.225829999999998"/>
    <n v="27.761760000000002"/>
    <n v="288.51764999999995"/>
  </r>
  <r>
    <x v="290"/>
    <n v="5894"/>
    <n v="5722"/>
    <n v="42.79"/>
    <n v="36.01"/>
    <n v="5031"/>
    <n v="40.020000000000003"/>
    <n v="33.71"/>
    <n v="6958"/>
    <n v="665.25"/>
    <n v="49.98"/>
    <n v="26.29"/>
    <n v="4407"/>
    <n v="5.9"/>
    <n v="3.07"/>
    <n v="59.56"/>
    <n v="244.84438"/>
    <n v="206.04921999999999"/>
    <n v="201.34062000000003"/>
    <n v="169.59501"/>
    <n v="332.49194999999997"/>
    <n v="174.89422500000001"/>
    <n v="157.59772499999997"/>
    <n v="42"/>
    <n v="42"/>
    <n v="26.001300000000004"/>
    <n v="13.529489999999999"/>
    <n v="262.48091999999997"/>
  </r>
  <r>
    <x v="291"/>
    <n v="5273"/>
    <n v="5119"/>
    <n v="43.73"/>
    <n v="36.74"/>
    <n v="5034"/>
    <n v="40.85"/>
    <n v="34.24"/>
    <n v="7077"/>
    <n v="647.27"/>
    <n v="52.35"/>
    <n v="27.03"/>
    <n v="4427"/>
    <n v="6.77"/>
    <n v="5.63"/>
    <n v="62.69"/>
    <n v="223.85387"/>
    <n v="188.07205999999999"/>
    <n v="205.63890000000001"/>
    <n v="172.36416"/>
    <n v="338.845845"/>
    <n v="174.95708099999999"/>
    <n v="163.88876400000001"/>
    <n v="42"/>
    <n v="42"/>
    <n v="29.970789999999997"/>
    <n v="24.924009999999999"/>
    <n v="277.52863000000002"/>
  </r>
  <r>
    <x v="292"/>
    <n v="0"/>
    <n v="0"/>
    <n v="0"/>
    <n v="0"/>
    <n v="7107"/>
    <n v="40.46"/>
    <n v="34.65"/>
    <n v="0"/>
    <n v="864.66"/>
    <n v="52.41"/>
    <n v="27.02"/>
    <n v="6298"/>
    <n v="8.42"/>
    <n v="8.36"/>
    <n v="67.8"/>
    <n v="0"/>
    <n v="0"/>
    <n v="287.54922000000005"/>
    <n v="246.25754999999998"/>
    <n v="453.16830599999992"/>
    <n v="233.63113200000001"/>
    <n v="219.53717399999991"/>
    <n v="42"/>
    <n v="42"/>
    <n v="53.029159999999997"/>
    <n v="52.65128"/>
    <n v="427.00439999999998"/>
  </r>
  <r>
    <x v="29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2"/>
    <n v="42"/>
    <n v="0"/>
    <n v="0"/>
    <n v="0"/>
  </r>
  <r>
    <x v="294"/>
    <n v="5318"/>
    <n v="5163"/>
    <n v="44.53"/>
    <n v="34.06"/>
    <n v="0"/>
    <n v="0"/>
    <n v="0"/>
    <n v="5163"/>
    <n v="0"/>
    <n v="0"/>
    <n v="0"/>
    <n v="0"/>
    <n v="0"/>
    <n v="0"/>
    <n v="0"/>
    <n v="229.90839000000003"/>
    <n v="175.85177999999999"/>
    <n v="0"/>
    <n v="0"/>
    <n v="0"/>
    <n v="0"/>
    <n v="0"/>
    <n v="42"/>
    <n v="43"/>
    <n v="0"/>
    <n v="0"/>
    <n v="0"/>
  </r>
  <r>
    <x v="295"/>
    <n v="4809"/>
    <n v="4669"/>
    <n v="42.06"/>
    <n v="34.92"/>
    <n v="5023"/>
    <n v="41.04"/>
    <n v="32.93"/>
    <n v="4832"/>
    <n v="618.65"/>
    <n v="54.12"/>
    <n v="27.68"/>
    <n v="4444"/>
    <n v="7.73"/>
    <n v="4.38"/>
    <n v="64.48"/>
    <n v="196.37814"/>
    <n v="163.04148000000001"/>
    <n v="206.14391999999998"/>
    <n v="165.40738999999999"/>
    <n v="334.81337999999994"/>
    <n v="171.24232000000001"/>
    <n v="163.57105999999993"/>
    <n v="43"/>
    <n v="43"/>
    <n v="34.352119999999999"/>
    <n v="19.46472"/>
    <n v="286.54912000000002"/>
  </r>
  <r>
    <x v="296"/>
    <n v="5799"/>
    <n v="5630"/>
    <n v="41.26"/>
    <n v="36.24"/>
    <n v="5020"/>
    <n v="40.119999999999997"/>
    <n v="33.85"/>
    <n v="5462"/>
    <n v="673.59"/>
    <n v="50.45"/>
    <n v="26.34"/>
    <n v="4387"/>
    <n v="5.39"/>
    <n v="3.39"/>
    <n v="60.21"/>
    <n v="232.29379999999998"/>
    <n v="204.03120000000001"/>
    <n v="201.4024"/>
    <n v="169.92699999999999"/>
    <n v="339.82615499999997"/>
    <n v="177.42360600000001"/>
    <n v="162.40254899999996"/>
    <n v="43"/>
    <n v="43"/>
    <n v="23.64593"/>
    <n v="14.871930000000001"/>
    <n v="264.14127000000002"/>
  </r>
  <r>
    <x v="297"/>
    <n v="5330"/>
    <n v="5175"/>
    <n v="42.4"/>
    <n v="34.090000000000003"/>
    <n v="5027"/>
    <n v="40.270000000000003"/>
    <n v="33.28"/>
    <n v="5637"/>
    <n v="671.22"/>
    <n v="51.65"/>
    <n v="26.89"/>
    <n v="4397"/>
    <n v="4.88"/>
    <n v="2.66"/>
    <n v="57.79"/>
    <n v="219.42"/>
    <n v="176.41575000000003"/>
    <n v="202.43729000000002"/>
    <n v="167.29856000000001"/>
    <n v="346.68513000000002"/>
    <n v="180.49105800000001"/>
    <n v="166.19407200000001"/>
    <n v="43"/>
    <n v="43"/>
    <n v="21.457360000000001"/>
    <n v="11.696020000000001"/>
    <n v="254.10263"/>
  </r>
  <r>
    <x v="298"/>
    <n v="5221"/>
    <n v="5069"/>
    <n v="44.49"/>
    <n v="34.65"/>
    <n v="5025"/>
    <n v="41.36"/>
    <n v="32.89"/>
    <n v="5706"/>
    <n v="600.25"/>
    <n v="51.54"/>
    <n v="26.46"/>
    <n v="4464"/>
    <n v="10.73"/>
    <n v="5.39"/>
    <n v="68.099999999999994"/>
    <n v="225.51981000000001"/>
    <n v="175.64085"/>
    <n v="207.834"/>
    <n v="165.27225000000001"/>
    <n v="309.36885000000001"/>
    <n v="158.82614999999998"/>
    <n v="150.54270000000002"/>
    <n v="43"/>
    <n v="43"/>
    <n v="47.898720000000004"/>
    <n v="24.060959999999998"/>
    <n v="303.99839999999995"/>
  </r>
  <r>
    <x v="299"/>
    <n v="0"/>
    <n v="0"/>
    <n v="0"/>
    <n v="0"/>
    <n v="5730"/>
    <n v="41.38"/>
    <n v="33"/>
    <n v="0"/>
    <n v="704.15"/>
    <n v="53.89"/>
    <n v="27.99"/>
    <n v="5071"/>
    <n v="7.82"/>
    <n v="5.19"/>
    <n v="64.040000000000006"/>
    <n v="0"/>
    <n v="0"/>
    <n v="237.10740000000001"/>
    <n v="189.09"/>
    <n v="379.46643499999999"/>
    <n v="197.09158499999998"/>
    <n v="182.37485000000001"/>
    <n v="43"/>
    <n v="43"/>
    <n v="39.65522"/>
    <n v="26.318490000000001"/>
    <n v="324.74684000000002"/>
  </r>
  <r>
    <x v="3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3"/>
    <n v="43"/>
    <n v="0"/>
    <n v="0"/>
    <n v="0"/>
  </r>
  <r>
    <x v="301"/>
    <n v="4714"/>
    <n v="4577"/>
    <n v="42.57"/>
    <n v="36.03"/>
    <n v="0"/>
    <n v="0"/>
    <n v="0"/>
    <n v="4577"/>
    <n v="0"/>
    <n v="0"/>
    <n v="0"/>
    <n v="0"/>
    <n v="0"/>
    <n v="0"/>
    <n v="0"/>
    <n v="194.84289000000001"/>
    <n v="164.90931"/>
    <n v="0"/>
    <n v="0"/>
    <n v="0"/>
    <n v="0"/>
    <n v="0"/>
    <n v="43"/>
    <n v="44"/>
    <n v="0"/>
    <n v="0"/>
    <n v="0"/>
  </r>
  <r>
    <x v="302"/>
    <n v="5418"/>
    <n v="5260"/>
    <n v="40.75"/>
    <n v="35.6"/>
    <n v="5020"/>
    <n v="39.659999999999997"/>
    <n v="34.15"/>
    <n v="4837"/>
    <n v="623.25"/>
    <n v="52.86"/>
    <n v="26.87"/>
    <n v="4436"/>
    <n v="7.01"/>
    <n v="5.94"/>
    <n v="63.73"/>
    <n v="214.345"/>
    <n v="187.256"/>
    <n v="199.0932"/>
    <n v="171.43299999999999"/>
    <n v="329.44995"/>
    <n v="167.467275"/>
    <n v="161.982675"/>
    <n v="44"/>
    <n v="44"/>
    <n v="31.096360000000001"/>
    <n v="26.34984"/>
    <n v="282.70627999999999"/>
  </r>
  <r>
    <x v="303"/>
    <n v="5326"/>
    <n v="5171"/>
    <n v="42.69"/>
    <n v="35.04"/>
    <n v="5027"/>
    <n v="40.270000000000003"/>
    <n v="34.08"/>
    <n v="5008"/>
    <n v="629.85"/>
    <n v="52.47"/>
    <n v="26.2"/>
    <n v="4437"/>
    <n v="8.33"/>
    <n v="5.77"/>
    <n v="65.78"/>
    <n v="220.74999"/>
    <n v="181.19183999999998"/>
    <n v="202.43729000000002"/>
    <n v="171.32016000000002"/>
    <n v="330.48229500000002"/>
    <n v="165.02070000000001"/>
    <n v="165.46159500000002"/>
    <n v="44"/>
    <n v="44"/>
    <n v="36.960209999999996"/>
    <n v="25.601489999999998"/>
    <n v="291.86586"/>
  </r>
  <r>
    <x v="304"/>
    <n v="5150"/>
    <n v="5000"/>
    <n v="37.36"/>
    <n v="35.200000000000003"/>
    <n v="5031"/>
    <n v="37.99"/>
    <n v="33.92"/>
    <n v="5008"/>
    <n v="637.97"/>
    <n v="50.92"/>
    <n v="26.47"/>
    <n v="4433"/>
    <n v="4.91"/>
    <n v="6.2"/>
    <n v="62.74"/>
    <n v="186.8"/>
    <n v="176"/>
    <n v="191.12769"/>
    <n v="170.65152"/>
    <n v="324.85432400000002"/>
    <n v="168.87065900000002"/>
    <n v="155.983665"/>
    <n v="44"/>
    <n v="44"/>
    <n v="21.766029999999997"/>
    <n v="27.484600000000004"/>
    <n v="278.12642"/>
  </r>
  <r>
    <x v="305"/>
    <n v="5034"/>
    <n v="4887"/>
    <n v="42.64"/>
    <n v="33.659999999999997"/>
    <n v="5031"/>
    <n v="39.11"/>
    <n v="32.94"/>
    <n v="4895"/>
    <n v="642.36"/>
    <n v="50.89"/>
    <n v="26.89"/>
    <n v="4429"/>
    <n v="5.28"/>
    <n v="4.08"/>
    <n v="58.18"/>
    <n v="208.38167999999999"/>
    <n v="164.49641999999997"/>
    <n v="196.76241000000002"/>
    <n v="165.72113999999999"/>
    <n v="326.89700400000004"/>
    <n v="172.73060400000003"/>
    <n v="154.16640000000001"/>
    <n v="44"/>
    <n v="44"/>
    <n v="23.385120000000004"/>
    <n v="18.070319999999999"/>
    <n v="257.67921999999999"/>
  </r>
  <r>
    <x v="306"/>
    <n v="0"/>
    <n v="0"/>
    <n v="0"/>
    <n v="0"/>
    <n v="4926"/>
    <n v="39.03"/>
    <n v="32.82"/>
    <n v="0"/>
    <n v="596.36"/>
    <n v="50.41"/>
    <n v="26.01"/>
    <n v="4368"/>
    <n v="8.3800000000000008"/>
    <n v="4.0599999999999996"/>
    <n v="63.27"/>
    <n v="0"/>
    <n v="0"/>
    <n v="192.26177999999999"/>
    <n v="161.67132000000001"/>
    <n v="300.62507599999998"/>
    <n v="155.11323600000003"/>
    <n v="145.51183999999995"/>
    <n v="44"/>
    <n v="44"/>
    <n v="36.603840000000005"/>
    <n v="17.734079999999999"/>
    <n v="276.36336"/>
  </r>
  <r>
    <x v="30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4"/>
    <n v="44"/>
    <n v="0"/>
    <n v="0"/>
    <n v="0"/>
  </r>
  <r>
    <x v="308"/>
    <n v="5186"/>
    <n v="5035"/>
    <n v="40.5"/>
    <n v="34.229999999999997"/>
    <n v="0"/>
    <n v="0"/>
    <n v="0"/>
    <n v="5035"/>
    <n v="0"/>
    <n v="0"/>
    <n v="0"/>
    <n v="0"/>
    <n v="0"/>
    <n v="0"/>
    <n v="0"/>
    <n v="203.91749999999999"/>
    <n v="172.34805"/>
    <n v="0"/>
    <n v="0"/>
    <n v="0"/>
    <n v="0"/>
    <n v="0"/>
    <n v="44"/>
    <n v="45"/>
    <n v="0"/>
    <n v="0"/>
    <n v="0"/>
  </r>
  <r>
    <x v="309"/>
    <n v="5391"/>
    <n v="5234"/>
    <n v="41.88"/>
    <n v="37"/>
    <n v="5013"/>
    <n v="39.479999999999997"/>
    <n v="34.020000000000003"/>
    <n v="5269"/>
    <n v="678.01"/>
    <n v="49.66"/>
    <n v="26.29"/>
    <n v="4376"/>
    <n v="4.4400000000000004"/>
    <n v="3.7"/>
    <n v="59.41"/>
    <n v="219.19992000000002"/>
    <n v="193.65799999999999"/>
    <n v="197.91324"/>
    <n v="170.54226"/>
    <n v="336.69976599999995"/>
    <n v="178.248829"/>
    <n v="158.45093699999995"/>
    <n v="45"/>
    <n v="45"/>
    <n v="19.429440000000003"/>
    <n v="16.191200000000002"/>
    <n v="259.97816"/>
  </r>
  <r>
    <x v="310"/>
    <n v="5754"/>
    <n v="5586"/>
    <n v="42.44"/>
    <n v="35.869999999999997"/>
    <n v="5029"/>
    <n v="39.96"/>
    <n v="34.01"/>
    <n v="5855"/>
    <n v="629.32000000000005"/>
    <n v="49.14"/>
    <n v="26.47"/>
    <n v="4440"/>
    <n v="7.59"/>
    <n v="6.02"/>
    <n v="64.33"/>
    <n v="237.06984"/>
    <n v="200.36981999999998"/>
    <n v="200.95884000000001"/>
    <n v="171.03628999999998"/>
    <n v="309.24784800000003"/>
    <n v="166.58100400000001"/>
    <n v="142.66684400000003"/>
    <n v="45"/>
    <n v="45"/>
    <n v="33.699599999999997"/>
    <n v="26.7288"/>
    <n v="285.62520000000001"/>
  </r>
  <r>
    <x v="311"/>
    <n v="5180"/>
    <n v="5029"/>
    <n v="42.98"/>
    <n v="35.25"/>
    <n v="5018"/>
    <n v="40.49"/>
    <n v="33.85"/>
    <n v="5884"/>
    <n v="612.58000000000004"/>
    <n v="52.52"/>
    <n v="27.19"/>
    <n v="4445"/>
    <n v="8.08"/>
    <n v="7.43"/>
    <n v="66.459999999999994"/>
    <n v="216.14641999999998"/>
    <n v="177.27225000000001"/>
    <n v="203.17882"/>
    <n v="169.85930000000002"/>
    <n v="321.72701600000005"/>
    <n v="166.56050200000001"/>
    <n v="155.16651400000003"/>
    <n v="45"/>
    <n v="45"/>
    <n v="35.915599999999998"/>
    <n v="33.026350000000001"/>
    <n v="295.41469999999993"/>
  </r>
  <r>
    <x v="312"/>
    <n v="5096"/>
    <n v="4948"/>
    <n v="41.43"/>
    <n v="34.9"/>
    <n v="5017"/>
    <n v="40.01"/>
    <n v="33.9"/>
    <n v="5832"/>
    <n v="669.31"/>
    <n v="52.11"/>
    <n v="27.37"/>
    <n v="4388"/>
    <n v="3.96"/>
    <n v="3.69"/>
    <n v="58.75"/>
    <n v="204.99563999999998"/>
    <n v="172.68519999999998"/>
    <n v="200.73016999999999"/>
    <n v="170.07629999999997"/>
    <n v="348.77744099999995"/>
    <n v="183.190147"/>
    <n v="165.58729399999996"/>
    <n v="45"/>
    <n v="45"/>
    <n v="17.376480000000001"/>
    <n v="16.19172"/>
    <n v="257.79500000000002"/>
  </r>
  <r>
    <x v="313"/>
    <n v="0"/>
    <n v="0"/>
    <n v="0"/>
    <n v="0"/>
    <n v="5856"/>
    <n v="40.25"/>
    <n v="33.96"/>
    <n v="0"/>
    <n v="725.74"/>
    <n v="50.33"/>
    <n v="26.18"/>
    <n v="5177"/>
    <n v="8.66"/>
    <n v="6.09"/>
    <n v="66.22"/>
    <n v="0"/>
    <n v="0"/>
    <n v="235.70400000000001"/>
    <n v="198.86976000000001"/>
    <n v="365.26494200000002"/>
    <n v="189.99873200000002"/>
    <n v="175.26621"/>
    <n v="45"/>
    <n v="45"/>
    <n v="44.832819999999998"/>
    <n v="31.527930000000001"/>
    <n v="342.82094000000001"/>
  </r>
  <r>
    <x v="31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5"/>
    <n v="45"/>
    <n v="0"/>
    <n v="0"/>
    <n v="0"/>
  </r>
  <r>
    <x v="315"/>
    <n v="5233"/>
    <n v="5081"/>
    <n v="40.479999999999997"/>
    <n v="34.619999999999997"/>
    <n v="0"/>
    <n v="0"/>
    <n v="0"/>
    <n v="5081"/>
    <n v="0"/>
    <n v="0"/>
    <n v="0"/>
    <n v="0"/>
    <n v="0"/>
    <n v="0"/>
    <n v="0"/>
    <n v="205.67887999999996"/>
    <n v="175.90422000000001"/>
    <n v="0"/>
    <n v="0"/>
    <n v="0"/>
    <n v="0"/>
    <n v="0"/>
    <n v="45"/>
    <n v="46"/>
    <n v="0"/>
    <n v="0"/>
    <n v="0"/>
  </r>
  <r>
    <x v="316"/>
    <n v="5475"/>
    <n v="5316"/>
    <n v="42.48"/>
    <n v="34.520000000000003"/>
    <n v="5031"/>
    <n v="39.68"/>
    <n v="32.93"/>
    <n v="5397"/>
    <n v="601.66"/>
    <n v="50.97"/>
    <n v="25.91"/>
    <n v="4469"/>
    <n v="9.58"/>
    <n v="5.07"/>
    <n v="66.27"/>
    <n v="225.82368"/>
    <n v="183.50832"/>
    <n v="199.63007999999999"/>
    <n v="165.67083"/>
    <n v="306.66610199999997"/>
    <n v="155.890106"/>
    <n v="150.77599599999996"/>
    <n v="46"/>
    <n v="46"/>
    <n v="42.813019999999995"/>
    <n v="22.657830000000001"/>
    <n v="296.16063000000003"/>
  </r>
  <r>
    <x v="317"/>
    <n v="5508"/>
    <n v="5348"/>
    <n v="40.770000000000003"/>
    <n v="35.85"/>
    <n v="5019"/>
    <n v="39.35"/>
    <n v="33.94"/>
    <n v="5745"/>
    <n v="616.52"/>
    <n v="52.79"/>
    <n v="27.81"/>
    <n v="4442"/>
    <n v="5.76"/>
    <n v="6.83"/>
    <n v="63.78"/>
    <n v="218.03796000000003"/>
    <n v="191.72580000000002"/>
    <n v="197.49764999999999"/>
    <n v="170.34485999999998"/>
    <n v="325.46090799999996"/>
    <n v="171.45421199999998"/>
    <n v="154.00669599999998"/>
    <n v="46"/>
    <n v="46"/>
    <n v="25.585919999999998"/>
    <n v="30.33886"/>
    <n v="283.31076000000002"/>
  </r>
  <r>
    <x v="318"/>
    <n v="5505"/>
    <n v="5345"/>
    <n v="39.97"/>
    <n v="35.19"/>
    <n v="5025"/>
    <n v="38.61"/>
    <n v="33.47"/>
    <n v="6090"/>
    <n v="612.72"/>
    <n v="52.2"/>
    <n v="27.41"/>
    <n v="4452"/>
    <n v="5.77"/>
    <n v="5.82"/>
    <n v="61.21"/>
    <n v="213.63964999999999"/>
    <n v="188.09054999999998"/>
    <n v="194.01525000000001"/>
    <n v="168.18674999999999"/>
    <n v="319.83984000000004"/>
    <n v="167.946552"/>
    <n v="151.89328800000004"/>
    <n v="46"/>
    <n v="46"/>
    <n v="25.688039999999997"/>
    <n v="25.910640000000004"/>
    <n v="272.50691999999998"/>
  </r>
  <r>
    <x v="319"/>
    <n v="5356"/>
    <n v="5200"/>
    <n v="43.54"/>
    <n v="36.25"/>
    <n v="5020"/>
    <n v="40.4"/>
    <n v="33.840000000000003"/>
    <n v="6290"/>
    <n v="616.65"/>
    <n v="53.65"/>
    <n v="28.43"/>
    <n v="4443"/>
    <n v="6.04"/>
    <n v="5.07"/>
    <n v="62.3"/>
    <n v="226.40799999999999"/>
    <n v="188.5"/>
    <n v="202.80799999999999"/>
    <n v="169.87680000000003"/>
    <n v="330.83272499999998"/>
    <n v="175.31359499999999"/>
    <n v="155.51912999999999"/>
    <n v="46"/>
    <n v="46"/>
    <n v="26.835720000000002"/>
    <n v="22.526010000000003"/>
    <n v="276.79889999999995"/>
  </r>
  <r>
    <x v="320"/>
    <n v="0"/>
    <n v="0"/>
    <n v="0"/>
    <n v="0"/>
    <n v="6316"/>
    <n v="39.99"/>
    <n v="33.770000000000003"/>
    <n v="0"/>
    <n v="805.09"/>
    <n v="53.98"/>
    <n v="27.29"/>
    <n v="5561"/>
    <n v="5.78"/>
    <n v="4.5199999999999996"/>
    <n v="61.87"/>
    <n v="0"/>
    <n v="0"/>
    <n v="252.57684000000003"/>
    <n v="213.29132000000001"/>
    <n v="434.58758199999994"/>
    <n v="219.70906099999999"/>
    <n v="214.87852099999995"/>
    <n v="46"/>
    <n v="46"/>
    <n v="32.142580000000002"/>
    <n v="25.135719999999999"/>
    <n v="344.05907000000002"/>
  </r>
  <r>
    <x v="32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6"/>
    <n v="46"/>
    <n v="0"/>
    <n v="0"/>
    <n v="0"/>
  </r>
  <r>
    <x v="322"/>
    <n v="5024"/>
    <n v="4878"/>
    <n v="41.15"/>
    <n v="35.35"/>
    <n v="0"/>
    <n v="0"/>
    <n v="0"/>
    <n v="4878"/>
    <n v="0"/>
    <n v="0"/>
    <n v="0"/>
    <n v="0"/>
    <n v="0"/>
    <n v="0"/>
    <n v="0"/>
    <n v="200.72969999999998"/>
    <n v="172.43730000000002"/>
    <n v="0"/>
    <n v="0"/>
    <n v="0"/>
    <n v="0"/>
    <n v="0"/>
    <n v="46"/>
    <n v="47"/>
    <n v="0"/>
    <n v="0"/>
    <n v="0"/>
  </r>
  <r>
    <x v="323"/>
    <n v="5024"/>
    <n v="4878"/>
    <n v="40.909999999999997"/>
    <n v="34.85"/>
    <n v="5032"/>
    <n v="38.880000000000003"/>
    <n v="33.549999999999997"/>
    <n v="4756"/>
    <n v="618.24"/>
    <n v="51.16"/>
    <n v="27.19"/>
    <n v="4453"/>
    <n v="6.08"/>
    <n v="6.36"/>
    <n v="63.84"/>
    <n v="199.55897999999999"/>
    <n v="169.99830000000003"/>
    <n v="195.64416"/>
    <n v="168.82359999999997"/>
    <n v="316.29158399999994"/>
    <n v="168.09945600000003"/>
    <n v="148.19212799999991"/>
    <n v="47"/>
    <n v="47"/>
    <n v="27.074240000000003"/>
    <n v="28.321080000000002"/>
    <n v="284.27951999999999"/>
  </r>
  <r>
    <x v="324"/>
    <n v="4825"/>
    <n v="4684"/>
    <n v="41.83"/>
    <n v="34.799999999999997"/>
    <n v="5028"/>
    <n v="39.47"/>
    <n v="33.49"/>
    <n v="4440"/>
    <n v="603.72"/>
    <n v="54.61"/>
    <n v="28.75"/>
    <n v="4464"/>
    <n v="5.49"/>
    <n v="6.58"/>
    <n v="62.62"/>
    <n v="195.93172000000001"/>
    <n v="163.00319999999999"/>
    <n v="198.45516000000001"/>
    <n v="168.38772"/>
    <n v="329.69149199999998"/>
    <n v="173.56950000000001"/>
    <n v="156.12199199999998"/>
    <n v="47"/>
    <n v="47"/>
    <n v="24.507360000000002"/>
    <n v="29.37312"/>
    <n v="279.53568000000001"/>
  </r>
  <r>
    <x v="325"/>
    <n v="5163"/>
    <n v="5013"/>
    <n v="45.07"/>
    <n v="35.630000000000003"/>
    <n v="5033"/>
    <n v="41.13"/>
    <n v="33.68"/>
    <n v="4453"/>
    <n v="605.14"/>
    <n v="54.32"/>
    <n v="28.34"/>
    <n v="4467"/>
    <n v="7.77"/>
    <n v="6.33"/>
    <n v="65.88"/>
    <n v="225.93591000000001"/>
    <n v="178.61319"/>
    <n v="207.00729000000001"/>
    <n v="169.51143999999999"/>
    <n v="328.71204799999998"/>
    <n v="171.49667600000001"/>
    <n v="157.21537199999997"/>
    <n v="47"/>
    <n v="47"/>
    <n v="34.708589999999994"/>
    <n v="28.276109999999999"/>
    <n v="294.28595999999999"/>
  </r>
  <r>
    <x v="326"/>
    <n v="5133"/>
    <n v="4983"/>
    <n v="43.9"/>
    <n v="35.450000000000003"/>
    <n v="5031"/>
    <n v="41.88"/>
    <n v="34.04"/>
    <n v="4436"/>
    <n v="628.98"/>
    <n v="52.86"/>
    <n v="27.45"/>
    <n v="4442"/>
    <n v="8.4"/>
    <n v="6.22"/>
    <n v="65.209999999999994"/>
    <n v="218.75369999999998"/>
    <n v="176.64735000000002"/>
    <n v="210.69828000000001"/>
    <n v="171.25523999999999"/>
    <n v="332.47882800000002"/>
    <n v="172.65501"/>
    <n v="159.82381800000002"/>
    <n v="47"/>
    <n v="47"/>
    <n v="37.312800000000003"/>
    <n v="27.629239999999999"/>
    <n v="289.66281999999995"/>
  </r>
  <r>
    <x v="327"/>
    <n v="0"/>
    <n v="0"/>
    <n v="0"/>
    <n v="0"/>
    <n v="4451"/>
    <n v="41.37"/>
    <n v="33.869999999999997"/>
    <n v="0"/>
    <n v="586.89"/>
    <n v="51.59"/>
    <n v="26.55"/>
    <n v="3900"/>
    <n v="7.17"/>
    <n v="2.61"/>
    <n v="61.38"/>
    <n v="0"/>
    <n v="0"/>
    <n v="184.13786999999999"/>
    <n v="150.75537"/>
    <n v="302.77655099999998"/>
    <n v="155.81929500000001"/>
    <n v="146.95725599999997"/>
    <n v="47"/>
    <n v="47"/>
    <n v="27.963000000000001"/>
    <n v="10.179"/>
    <n v="239.38200000000001"/>
  </r>
  <r>
    <x v="32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7"/>
    <n v="47"/>
    <n v="0"/>
    <n v="0"/>
    <n v="0"/>
  </r>
  <r>
    <x v="329"/>
    <n v="5211"/>
    <n v="5059"/>
    <n v="42.29"/>
    <n v="34.64"/>
    <n v="0"/>
    <n v="0"/>
    <n v="0"/>
    <n v="5059"/>
    <n v="0"/>
    <n v="0"/>
    <n v="0"/>
    <n v="0"/>
    <n v="0"/>
    <n v="0"/>
    <n v="0"/>
    <n v="213.94511"/>
    <n v="175.24376000000001"/>
    <n v="0"/>
    <n v="0"/>
    <n v="0"/>
    <n v="0"/>
    <n v="0"/>
    <n v="47"/>
    <n v="48"/>
    <n v="0"/>
    <n v="0"/>
    <n v="0"/>
  </r>
  <r>
    <x v="330"/>
    <n v="5266"/>
    <n v="5113"/>
    <n v="41.01"/>
    <n v="34.68"/>
    <n v="5033"/>
    <n v="40.04"/>
    <n v="33.15"/>
    <n v="5172"/>
    <n v="554.34"/>
    <n v="53.17"/>
    <n v="27.38"/>
    <n v="4517"/>
    <n v="10.79"/>
    <n v="9.6999999999999993"/>
    <n v="72.16"/>
    <n v="209.68412999999998"/>
    <n v="177.31883999999999"/>
    <n v="201.52132"/>
    <n v="166.84394999999998"/>
    <n v="294.74257800000004"/>
    <n v="151.77829199999999"/>
    <n v="142.96428600000004"/>
    <n v="48"/>
    <n v="48"/>
    <n v="48.738429999999994"/>
    <n v="43.814899999999994"/>
    <n v="325.94671999999997"/>
  </r>
  <r>
    <x v="331"/>
    <n v="4974"/>
    <n v="4829"/>
    <n v="41.93"/>
    <n v="37.44"/>
    <n v="5021"/>
    <n v="39.82"/>
    <n v="34.35"/>
    <n v="5001"/>
    <n v="606.82000000000005"/>
    <n v="50.44"/>
    <n v="26.27"/>
    <n v="4453"/>
    <n v="8.92"/>
    <n v="7.14"/>
    <n v="65.12"/>
    <n v="202.47997000000001"/>
    <n v="180.79775999999998"/>
    <n v="199.93621999999999"/>
    <n v="172.47135"/>
    <n v="306.08000800000002"/>
    <n v="159.41161400000001"/>
    <n v="146.66839400000001"/>
    <n v="48"/>
    <n v="48"/>
    <n v="39.720759999999999"/>
    <n v="31.794419999999999"/>
    <n v="289.97936000000004"/>
  </r>
  <r>
    <x v="332"/>
    <n v="4949"/>
    <n v="4805"/>
    <n v="43.11"/>
    <n v="35.74"/>
    <n v="5026"/>
    <n v="40.76"/>
    <n v="34.36"/>
    <n v="4806"/>
    <n v="605.15"/>
    <n v="50.48"/>
    <n v="26.45"/>
    <n v="4460"/>
    <n v="9.8699999999999992"/>
    <n v="8.14"/>
    <n v="69.17"/>
    <n v="207.14354999999998"/>
    <n v="171.73070000000001"/>
    <n v="204.85975999999999"/>
    <n v="172.69335999999998"/>
    <n v="305.47971999999999"/>
    <n v="160.062175"/>
    <n v="145.41754499999999"/>
    <n v="48"/>
    <n v="48"/>
    <n v="44.020199999999996"/>
    <n v="36.304400000000001"/>
    <n v="308.4982"/>
  </r>
  <r>
    <x v="333"/>
    <n v="4960"/>
    <n v="4816"/>
    <n v="44.08"/>
    <n v="35.700000000000003"/>
    <n v="5021"/>
    <n v="41.59"/>
    <n v="33.99"/>
    <n v="4622"/>
    <n v="627.01"/>
    <n v="50.43"/>
    <n v="26.45"/>
    <n v="4434"/>
    <n v="9.5299999999999994"/>
    <n v="6.08"/>
    <n v="66.569999999999993"/>
    <n v="212.28927999999999"/>
    <n v="171.93120000000002"/>
    <n v="208.82339000000002"/>
    <n v="170.66379000000001"/>
    <n v="316.201143"/>
    <n v="165.844145"/>
    <n v="150.356998"/>
    <n v="48"/>
    <n v="48"/>
    <n v="42.256019999999999"/>
    <n v="26.95872"/>
    <n v="295.17137999999994"/>
  </r>
  <r>
    <x v="334"/>
    <n v="0"/>
    <n v="0"/>
    <n v="0"/>
    <n v="0"/>
    <n v="4644"/>
    <n v="41.5"/>
    <n v="34.33"/>
    <n v="0"/>
    <n v="585.22"/>
    <n v="51.71"/>
    <n v="27.05"/>
    <n v="4096"/>
    <n v="8.2799999999999994"/>
    <n v="6.43"/>
    <n v="66.97"/>
    <n v="0"/>
    <n v="0"/>
    <n v="192.726"/>
    <n v="159.42851999999999"/>
    <n v="302.61726199999998"/>
    <n v="158.30201"/>
    <n v="144.31525199999999"/>
    <n v="48"/>
    <n v="48"/>
    <n v="33.914879999999997"/>
    <n v="26.33728"/>
    <n v="274.30912000000001"/>
  </r>
  <r>
    <x v="33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8"/>
    <n v="48"/>
    <n v="0"/>
    <n v="0"/>
    <n v="0"/>
  </r>
  <r>
    <x v="336"/>
    <n v="5204"/>
    <n v="5052"/>
    <n v="45.35"/>
    <n v="35.71"/>
    <n v="0"/>
    <n v="0"/>
    <n v="0"/>
    <n v="5052"/>
    <n v="0"/>
    <n v="0"/>
    <n v="0"/>
    <n v="0"/>
    <n v="0"/>
    <n v="0"/>
    <n v="0"/>
    <n v="229.10820000000001"/>
    <n v="180.40692000000001"/>
    <n v="0"/>
    <n v="0"/>
    <n v="0"/>
    <n v="0"/>
    <n v="0"/>
    <n v="48"/>
    <n v="49"/>
    <n v="0"/>
    <n v="0"/>
    <n v="0"/>
  </r>
  <r>
    <x v="337"/>
    <n v="5500"/>
    <n v="5340"/>
    <n v="41.88"/>
    <n v="35.47"/>
    <n v="5029"/>
    <n v="41.51"/>
    <n v="34.03"/>
    <n v="5392"/>
    <n v="598.84"/>
    <n v="53.33"/>
    <n v="26.73"/>
    <n v="4469"/>
    <n v="10.55"/>
    <n v="7.09"/>
    <n v="69.459999999999994"/>
    <n v="223.63920000000002"/>
    <n v="189.40979999999999"/>
    <n v="208.75378999999998"/>
    <n v="171.13686999999999"/>
    <n v="319.36137200000002"/>
    <n v="160.06993199999999"/>
    <n v="159.29144000000002"/>
    <n v="49"/>
    <n v="49"/>
    <n v="47.147950000000002"/>
    <n v="31.685209999999998"/>
    <n v="310.41674"/>
  </r>
  <r>
    <x v="338"/>
    <n v="5402"/>
    <n v="5245"/>
    <n v="42.03"/>
    <n v="37"/>
    <n v="5020"/>
    <n v="41.04"/>
    <n v="34.68"/>
    <n v="5637"/>
    <n v="593.95000000000005"/>
    <n v="55.48"/>
    <n v="28.47"/>
    <n v="4465"/>
    <n v="8.1"/>
    <n v="8.6199999999999992"/>
    <n v="69.16"/>
    <n v="220.44735"/>
    <n v="194.065"/>
    <n v="206.02079999999998"/>
    <n v="174.09360000000001"/>
    <n v="329.52346"/>
    <n v="169.097565"/>
    <n v="160.425895"/>
    <n v="49"/>
    <n v="49"/>
    <n v="36.166499999999999"/>
    <n v="38.488299999999995"/>
    <n v="308.79939999999999"/>
  </r>
  <r>
    <x v="339"/>
    <n v="5220"/>
    <n v="5068"/>
    <n v="43.04"/>
    <n v="36.380000000000003"/>
    <n v="5035"/>
    <n v="40.61"/>
    <n v="34.82"/>
    <n v="5705"/>
    <n v="615.19000000000005"/>
    <n v="50.72"/>
    <n v="26.61"/>
    <n v="4459"/>
    <n v="8.9700000000000006"/>
    <n v="7.61"/>
    <n v="67.91"/>
    <n v="218.12672000000001"/>
    <n v="184.37384000000003"/>
    <n v="204.47135"/>
    <n v="175.31870000000001"/>
    <n v="312.02436800000004"/>
    <n v="163.70205900000002"/>
    <n v="148.32230900000002"/>
    <n v="49"/>
    <n v="49"/>
    <n v="39.997230000000002"/>
    <n v="33.932989999999997"/>
    <n v="302.81069000000002"/>
  </r>
  <r>
    <x v="340"/>
    <n v="5134"/>
    <n v="4984"/>
    <n v="41.5"/>
    <n v="34.659999999999997"/>
    <n v="5026"/>
    <n v="40.26"/>
    <n v="33.99"/>
    <n v="5689"/>
    <n v="641.24"/>
    <n v="52.08"/>
    <n v="26.67"/>
    <n v="4425"/>
    <n v="6.97"/>
    <n v="5.76"/>
    <n v="64.23"/>
    <n v="206.83600000000001"/>
    <n v="172.74543999999997"/>
    <n v="202.34675999999999"/>
    <n v="170.83374000000001"/>
    <n v="333.95779199999998"/>
    <n v="171.018708"/>
    <n v="162.93908399999998"/>
    <n v="49"/>
    <n v="49"/>
    <n v="30.84225"/>
    <n v="25.488"/>
    <n v="284.21775000000002"/>
  </r>
  <r>
    <x v="341"/>
    <n v="0"/>
    <n v="0"/>
    <n v="0"/>
    <n v="0"/>
    <n v="5723"/>
    <n v="40.22"/>
    <n v="33.72"/>
    <n v="0"/>
    <n v="725.53"/>
    <n v="52.32"/>
    <n v="26.71"/>
    <n v="5043"/>
    <n v="7.12"/>
    <n v="6.83"/>
    <n v="66.12"/>
    <n v="0"/>
    <n v="0"/>
    <n v="230.17905999999999"/>
    <n v="192.97955999999999"/>
    <n v="379.59729599999997"/>
    <n v="193.789063"/>
    <n v="185.80823299999997"/>
    <n v="49"/>
    <n v="49"/>
    <n v="35.906160000000007"/>
    <n v="34.443690000000004"/>
    <n v="333.44316000000003"/>
  </r>
  <r>
    <x v="34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9"/>
    <n v="49"/>
    <n v="0"/>
    <n v="0"/>
    <n v="0"/>
  </r>
  <r>
    <x v="343"/>
    <n v="4831"/>
    <n v="4690"/>
    <n v="42.95"/>
    <n v="34.700000000000003"/>
    <n v="0"/>
    <n v="0"/>
    <n v="0"/>
    <n v="4690"/>
    <n v="0"/>
    <n v="0"/>
    <n v="0"/>
    <n v="0"/>
    <n v="0"/>
    <n v="0"/>
    <n v="0"/>
    <n v="201.43549999999999"/>
    <n v="162.74299999999999"/>
    <n v="0"/>
    <n v="0"/>
    <n v="0"/>
    <n v="0"/>
    <n v="0"/>
    <n v="49"/>
    <n v="50"/>
    <n v="0"/>
    <n v="0"/>
    <n v="0"/>
  </r>
  <r>
    <x v="344"/>
    <n v="5432"/>
    <n v="5274"/>
    <n v="40.08"/>
    <n v="37.97"/>
    <n v="5028"/>
    <n v="39.08"/>
    <n v="34.79"/>
    <n v="4964"/>
    <n v="638.34"/>
    <n v="53.66"/>
    <n v="27.74"/>
    <n v="4430"/>
    <n v="4.28"/>
    <n v="6.26"/>
    <n v="61.91"/>
    <n v="211.38191999999998"/>
    <n v="200.25378000000001"/>
    <n v="196.49423999999999"/>
    <n v="174.92411999999999"/>
    <n v="342.53324399999997"/>
    <n v="177.07551599999999"/>
    <n v="165.45772799999997"/>
    <n v="50"/>
    <n v="50"/>
    <n v="18.9604"/>
    <n v="27.7318"/>
    <n v="274.26130000000001"/>
  </r>
  <r>
    <x v="345"/>
    <n v="5122"/>
    <n v="4973"/>
    <n v="43.7"/>
    <n v="34.08"/>
    <n v="5029"/>
    <n v="40.85"/>
    <n v="34.01"/>
    <n v="4937"/>
    <n v="597.30999999999995"/>
    <n v="54.21"/>
    <n v="27.99"/>
    <n v="4471"/>
    <n v="8.41"/>
    <n v="8.4600000000000009"/>
    <n v="66.84"/>
    <n v="217.3201"/>
    <n v="169.47984"/>
    <n v="205.43465"/>
    <n v="171.03628999999998"/>
    <n v="323.80175099999997"/>
    <n v="167.18706899999998"/>
    <n v="156.61468199999999"/>
    <n v="50"/>
    <n v="50"/>
    <n v="37.601109999999998"/>
    <n v="37.824660000000002"/>
    <n v="298.84164000000004"/>
  </r>
  <r>
    <x v="346"/>
    <n v="5180"/>
    <n v="5029"/>
    <n v="43.14"/>
    <n v="36.299999999999997"/>
    <n v="5028"/>
    <n v="40.69"/>
    <n v="34.049999999999997"/>
    <n v="4966"/>
    <n v="595.36"/>
    <n v="52.85"/>
    <n v="27.4"/>
    <n v="4472"/>
    <n v="9.1300000000000008"/>
    <n v="7.87"/>
    <n v="67.81"/>
    <n v="216.95105999999998"/>
    <n v="182.55269999999999"/>
    <n v="204.58931999999999"/>
    <n v="171.20339999999999"/>
    <n v="314.64776000000001"/>
    <n v="163.12863999999999"/>
    <n v="151.51912000000002"/>
    <n v="50"/>
    <n v="50"/>
    <n v="40.829360000000001"/>
    <n v="35.19464"/>
    <n v="303.24632000000003"/>
  </r>
  <r>
    <x v="347"/>
    <n v="5411"/>
    <n v="5253"/>
    <n v="42.63"/>
    <n v="36.22"/>
    <n v="5021"/>
    <n v="40.75"/>
    <n v="34.54"/>
    <n v="5219"/>
    <n v="655.7"/>
    <n v="52.17"/>
    <n v="26.99"/>
    <n v="4406"/>
    <n v="6.17"/>
    <n v="4.8099999999999996"/>
    <n v="62.13"/>
    <n v="223.93539000000001"/>
    <n v="190.26366000000002"/>
    <n v="204.60575"/>
    <n v="173.42534000000001"/>
    <n v="342.07869000000005"/>
    <n v="176.97343000000001"/>
    <n v="165.10526000000004"/>
    <n v="50"/>
    <n v="50"/>
    <n v="27.185020000000002"/>
    <n v="21.192859999999996"/>
    <n v="273.74478000000005"/>
  </r>
  <r>
    <x v="348"/>
    <n v="0"/>
    <n v="0"/>
    <n v="0"/>
    <n v="0"/>
    <n v="5248"/>
    <n v="40.71"/>
    <n v="34.700000000000003"/>
    <n v="0"/>
    <n v="614"/>
    <n v="52.89"/>
    <n v="26.58"/>
    <n v="4675"/>
    <n v="10.58"/>
    <n v="8.83"/>
    <n v="69.8"/>
    <n v="0"/>
    <n v="0"/>
    <n v="213.64608000000001"/>
    <n v="182.10560000000001"/>
    <n v="324.74459999999999"/>
    <n v="163.2012"/>
    <n v="161.54339999999999"/>
    <n v="50"/>
    <n v="50"/>
    <n v="49.461500000000001"/>
    <n v="41.280250000000002"/>
    <n v="326.315"/>
  </r>
  <r>
    <x v="34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0"/>
    <n v="50"/>
    <n v="0"/>
    <n v="0"/>
    <n v="0"/>
  </r>
  <r>
    <x v="350"/>
    <n v="5501"/>
    <n v="5341"/>
    <n v="41.39"/>
    <n v="37.15"/>
    <n v="0"/>
    <n v="0"/>
    <n v="0"/>
    <n v="5341"/>
    <n v="0"/>
    <n v="0"/>
    <n v="0"/>
    <n v="0"/>
    <n v="0"/>
    <n v="0"/>
    <n v="0"/>
    <n v="221.06398999999999"/>
    <n v="198.41815"/>
    <n v="0"/>
    <n v="0"/>
    <n v="0"/>
    <n v="0"/>
    <n v="0"/>
    <n v="50"/>
    <n v="51"/>
    <n v="0"/>
    <n v="0"/>
    <n v="0"/>
  </r>
  <r>
    <x v="351"/>
    <n v="5264"/>
    <n v="5111"/>
    <n v="41.21"/>
    <n v="35.08"/>
    <n v="5024"/>
    <n v="39.64"/>
    <n v="34.82"/>
    <n v="5452"/>
    <n v="674.55"/>
    <n v="52.18"/>
    <n v="26.57"/>
    <n v="4390"/>
    <n v="4.42"/>
    <n v="4.5"/>
    <n v="59.17"/>
    <n v="210.62431000000001"/>
    <n v="179.29388"/>
    <n v="199.15136000000001"/>
    <n v="174.93567999999999"/>
    <n v="351.98018999999999"/>
    <n v="179.227935"/>
    <n v="172.75225499999999"/>
    <n v="51"/>
    <n v="51"/>
    <n v="19.4038"/>
    <n v="19.754999999999999"/>
    <n v="259.75630000000001"/>
  </r>
  <r>
    <x v="352"/>
    <n v="5119"/>
    <n v="4970"/>
    <n v="40.44"/>
    <n v="36.409999999999997"/>
    <n v="5035"/>
    <n v="38.9"/>
    <n v="34.56"/>
    <n v="5422"/>
    <n v="644.19000000000005"/>
    <n v="51.02"/>
    <n v="26.83"/>
    <n v="4431"/>
    <n v="5.05"/>
    <n v="5.57"/>
    <n v="60.52"/>
    <n v="200.98679999999999"/>
    <n v="180.95769999999999"/>
    <n v="195.86150000000001"/>
    <n v="174.00960000000001"/>
    <n v="328.66573800000003"/>
    <n v="172.83617699999999"/>
    <n v="155.82956100000004"/>
    <n v="51"/>
    <n v="51"/>
    <n v="22.376549999999998"/>
    <n v="24.680670000000003"/>
    <n v="268.16411999999997"/>
  </r>
  <r>
    <x v="353"/>
    <n v="5159"/>
    <n v="5009"/>
    <n v="39.03"/>
    <n v="36.92"/>
    <n v="5024"/>
    <n v="38.369999999999997"/>
    <n v="35.29"/>
    <n v="5431"/>
    <n v="594.59"/>
    <n v="51.58"/>
    <n v="26.88"/>
    <n v="4468"/>
    <n v="7.29"/>
    <n v="8.83"/>
    <n v="66.89"/>
    <n v="195.50127000000001"/>
    <n v="184.93227999999999"/>
    <n v="192.77087999999998"/>
    <n v="177.29695999999998"/>
    <n v="306.68952200000001"/>
    <n v="159.82579200000001"/>
    <n v="146.86373"/>
    <n v="51"/>
    <n v="51"/>
    <n v="32.571719999999999"/>
    <n v="39.452440000000003"/>
    <n v="298.86452000000003"/>
  </r>
  <r>
    <x v="354"/>
    <n v="5318"/>
    <n v="5163"/>
    <n v="43.53"/>
    <n v="36.17"/>
    <n v="5014"/>
    <n v="39.619999999999997"/>
    <n v="34.770000000000003"/>
    <n v="5594"/>
    <n v="688.13"/>
    <n v="50.34"/>
    <n v="27.4"/>
    <n v="4367"/>
    <n v="2.2599999999999998"/>
    <n v="3.22"/>
    <n v="54.5"/>
    <n v="224.74539000000001"/>
    <n v="186.74571000000003"/>
    <n v="198.65467999999998"/>
    <n v="174.33678000000003"/>
    <n v="346.40464200000002"/>
    <n v="188.54761999999999"/>
    <n v="157.85702200000003"/>
    <n v="51"/>
    <n v="51"/>
    <n v="9.8694199999999981"/>
    <n v="14.061740000000002"/>
    <n v="238.00149999999999"/>
  </r>
  <r>
    <x v="355"/>
    <n v="0"/>
    <n v="0"/>
    <n v="0"/>
    <n v="0"/>
    <n v="5620"/>
    <n v="39.9"/>
    <n v="34.869999999999997"/>
    <n v="0"/>
    <n v="741.91"/>
    <n v="51.2"/>
    <n v="26.97"/>
    <n v="4924"/>
    <n v="4.84"/>
    <n v="5.03"/>
    <n v="60.4"/>
    <n v="0"/>
    <n v="0"/>
    <n v="224.238"/>
    <n v="195.96940000000001"/>
    <n v="379.85792000000004"/>
    <n v="200.09312699999998"/>
    <n v="179.76479300000005"/>
    <n v="51"/>
    <n v="51"/>
    <n v="23.832159999999998"/>
    <n v="24.767720000000001"/>
    <n v="297.40959999999995"/>
  </r>
  <r>
    <x v="35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1"/>
    <n v="51"/>
    <n v="0"/>
    <n v="0"/>
    <n v="0"/>
  </r>
  <r>
    <x v="357"/>
    <n v="5257"/>
    <n v="5104"/>
    <n v="39.86"/>
    <n v="35.83"/>
    <n v="0"/>
    <n v="0"/>
    <n v="0"/>
    <n v="5104"/>
    <n v="0"/>
    <n v="0"/>
    <n v="0"/>
    <n v="0"/>
    <n v="0"/>
    <n v="0"/>
    <n v="0"/>
    <n v="203.44543999999999"/>
    <n v="182.87631999999996"/>
    <n v="0"/>
    <n v="0"/>
    <n v="0"/>
    <n v="0"/>
    <n v="0"/>
    <n v="51"/>
    <n v="52"/>
    <n v="0"/>
    <n v="0"/>
    <n v="0"/>
  </r>
  <r>
    <x v="358"/>
    <n v="5322"/>
    <n v="5167"/>
    <n v="42.05"/>
    <n v="35.700000000000003"/>
    <n v="5030"/>
    <n v="38.96"/>
    <n v="33.880000000000003"/>
    <n v="5271"/>
    <n v="603.83000000000004"/>
    <n v="51.74"/>
    <n v="27.96"/>
    <n v="4465"/>
    <n v="5.95"/>
    <n v="6.54"/>
    <n v="64.099999999999994"/>
    <n v="217.27234999999999"/>
    <n v="184.46190000000001"/>
    <n v="195.96880000000002"/>
    <n v="170.41640000000001"/>
    <n v="312.42164200000002"/>
    <n v="168.83086800000001"/>
    <n v="143.59077400000001"/>
    <n v="52"/>
    <n v="52"/>
    <n v="26.566749999999999"/>
    <n v="29.2011"/>
    <n v="286.20650000000001"/>
  </r>
  <r>
    <x v="359"/>
    <n v="4869"/>
    <n v="4727"/>
    <n v="43.28"/>
    <n v="37.29"/>
    <n v="5015"/>
    <n v="40.21"/>
    <n v="34.86"/>
    <n v="4998"/>
    <n v="612.77"/>
    <n v="52.34"/>
    <n v="27.72"/>
    <n v="4442"/>
    <n v="7.01"/>
    <n v="9.2799999999999994"/>
    <n v="66.7"/>
    <n v="204.58456000000001"/>
    <n v="176.26982999999998"/>
    <n v="201.65314999999998"/>
    <n v="174.8229"/>
    <n v="320.72381800000005"/>
    <n v="169.85984399999998"/>
    <n v="150.86397400000007"/>
    <n v="52"/>
    <n v="52"/>
    <n v="31.13842"/>
    <n v="41.221759999999996"/>
    <n v="296.28140000000002"/>
  </r>
  <r>
    <x v="360"/>
    <n v="5440"/>
    <n v="5282"/>
    <n v="42.21"/>
    <n v="34.82"/>
    <n v="5033"/>
    <n v="39.99"/>
    <n v="34"/>
    <n v="5280"/>
    <n v="602.96"/>
    <n v="52.44"/>
    <n v="28.21"/>
    <n v="4469"/>
    <n v="6.83"/>
    <n v="7.42"/>
    <n v="65.739999999999995"/>
    <n v="222.95321999999999"/>
    <n v="183.91924"/>
    <n v="201.26967000000002"/>
    <n v="171.12200000000001"/>
    <n v="316.19222400000001"/>
    <n v="170.09501600000004"/>
    <n v="146.09720799999997"/>
    <n v="52"/>
    <n v="52"/>
    <n v="30.52327"/>
    <n v="33.159980000000004"/>
    <n v="293.79205999999999"/>
  </r>
  <r>
    <x v="361"/>
    <n v="5355"/>
    <n v="5199"/>
    <n v="41.56"/>
    <n v="35.630000000000003"/>
    <n v="5032"/>
    <n v="40.299999999999997"/>
    <n v="34.03"/>
    <n v="5479"/>
    <n v="645.20000000000005"/>
    <n v="50.48"/>
    <n v="26.01"/>
    <n v="4427"/>
    <n v="7.77"/>
    <n v="5.76"/>
    <n v="64.63"/>
    <n v="216.07043999999999"/>
    <n v="185.24037000000001"/>
    <n v="202.78959999999998"/>
    <n v="171.23895999999999"/>
    <n v="325.69695999999999"/>
    <n v="167.81652000000003"/>
    <n v="157.88043999999996"/>
    <n v="52"/>
    <n v="52"/>
    <n v="34.397790000000001"/>
    <n v="25.49952"/>
    <n v="286.11700999999994"/>
  </r>
  <r>
    <x v="362"/>
    <n v="0"/>
    <n v="0"/>
    <n v="0"/>
    <n v="0"/>
    <n v="5492"/>
    <n v="40.229999999999997"/>
    <n v="34.47"/>
    <n v="0"/>
    <n v="633.65"/>
    <n v="54.8"/>
    <n v="28.21"/>
    <n v="4901"/>
    <n v="8.43"/>
    <n v="8.7899999999999991"/>
    <n v="68.040000000000006"/>
    <n v="0"/>
    <n v="0"/>
    <n v="220.94315999999998"/>
    <n v="189.30923999999999"/>
    <n v="347.24019999999996"/>
    <n v="178.75266500000001"/>
    <n v="168.48753499999995"/>
    <n v="52"/>
    <n v="52"/>
    <n v="41.315429999999999"/>
    <n v="43.079789999999996"/>
    <n v="333.46404000000001"/>
  </r>
  <r>
    <x v="36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2"/>
    <n v="52"/>
    <n v="0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938F149-C130-472B-A868-E1B9EB4C7E25}" name="TablaDinámica2" cacheId="1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F18" firstHeaderRow="0" firstDataRow="1" firstDataCol="1"/>
  <pivotFields count="31">
    <pivotField numFmtId="14" showAll="0">
      <items count="36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dataField="1" showAll="0"/>
    <pivotField showAll="0"/>
    <pivotField showAll="0"/>
    <pivotField showAll="0"/>
    <pivotField dataField="1"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5">
        <item sd="0" x="0"/>
        <item sd="0" x="1"/>
        <item x="2"/>
        <item sd="0" x="3"/>
        <item t="default"/>
      </items>
    </pivotField>
  </pivotFields>
  <rowFields count="2">
    <field x="30"/>
    <field x="28"/>
  </rowFields>
  <rowItems count="15">
    <i>
      <x v="1"/>
    </i>
    <i>
      <x v="2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uma de entrada_grasa_kg" fld="16" baseField="0" baseItem="0" numFmtId="164"/>
    <dataField name="Suma de cuba_fab_grasa_kg" fld="18" baseField="0" baseItem="0" numFmtId="164"/>
    <dataField name="Suma de queso_kg" fld="9" baseField="0" baseItem="0"/>
    <dataField name="Suma de queso_mg_kg" fld="21" baseField="0" baseItem="0"/>
    <dataField name="Suma de suero_grasa_kg" fld="2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3FA40C7-9679-4AAD-A715-2CDFF68B3C50}" name="TablaDinámica2" cacheId="1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F18" firstHeaderRow="0" firstDataRow="1" firstDataCol="1"/>
  <pivotFields count="31">
    <pivotField numFmtId="14" showAll="0">
      <items count="36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dataField="1" showAll="0"/>
    <pivotField showAll="0"/>
    <pivotField showAll="0"/>
    <pivotField showAll="0"/>
    <pivotField dataField="1"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5">
        <item sd="0" x="0"/>
        <item sd="0" x="1"/>
        <item x="2"/>
        <item sd="0" x="3"/>
        <item t="default"/>
      </items>
    </pivotField>
  </pivotFields>
  <rowFields count="2">
    <field x="30"/>
    <field x="28"/>
  </rowFields>
  <rowItems count="15">
    <i>
      <x v="1"/>
    </i>
    <i>
      <x v="2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uma de entrada_prot_kg" fld="17" baseField="0" baseItem="0" numFmtId="164"/>
    <dataField name="Suma de cuba_fab_prot_kg" fld="19" baseField="0" baseItem="0" numFmtId="164"/>
    <dataField name="Suma de queso_kg" fld="9" baseField="0" baseItem="0"/>
    <dataField name="Suma de queso_esm_kg" fld="22" baseField="0" baseItem="0"/>
    <dataField name="Suma de suero_prot_kg" fld="2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24C0C17-8164-4471-AD43-74C17C79B417}" name="Tabla1" displayName="Tabla1" ref="A1:AB365" totalsRowShown="0">
  <autoFilter ref="A1:AB365" xr:uid="{824C0C17-8164-4471-AD43-74C17C79B417}"/>
  <tableColumns count="28">
    <tableColumn id="1" xr3:uid="{99A0AE4C-39DD-400F-9F23-11CE96BF9E3F}" name="fecha" dataDxfId="1"/>
    <tableColumn id="2" xr3:uid="{411A109F-AD82-48BE-8350-D61F83D41937}" name="entrada_kg"/>
    <tableColumn id="3" xr3:uid="{C69C38D1-6673-4E9F-BC17-D7833BFA90F5}" name="entrada_litros"/>
    <tableColumn id="4" xr3:uid="{B6E5C5FF-909C-4581-8F09-5A4E147B48B0}" name="entrada_grasa_g_l"/>
    <tableColumn id="5" xr3:uid="{88FAAD0E-E148-47F1-8F19-D40306FBBDA5}" name="entrada_prot_g_l"/>
    <tableColumn id="6" xr3:uid="{D17D2DC1-13B9-4D3A-B166-5672CC4EE30A}" name="cuba_fab_litros"/>
    <tableColumn id="7" xr3:uid="{1266137A-5ACD-4F1A-974C-77B4DB5B22F2}" name="cuba_fab_grasa_g_l"/>
    <tableColumn id="8" xr3:uid="{35B2AD24-630F-4D47-8BE3-930AE2D77C40}" name="cuba_fab_prot_g_l"/>
    <tableColumn id="9" xr3:uid="{F9D683F1-2771-4235-AEB9-CE1F2F78931F}" name="stock_cierre_litros"/>
    <tableColumn id="10" xr3:uid="{B51DB935-E243-465E-BDEA-E25AE00CC453}" name="queso_kg"/>
    <tableColumn id="11" xr3:uid="{6174A9BE-B6ED-4AA1-A2B9-8D1113F62AA0}" name="queso_est_pct"/>
    <tableColumn id="12" xr3:uid="{2E9938F6-65FF-4F02-9B30-18956ED63255}" name="queso_mg_pct"/>
    <tableColumn id="24" xr3:uid="{091D678F-8B22-4134-BBE5-3F2F5DCBA8CB}" name="suero_litros"/>
    <tableColumn id="23" xr3:uid="{F403A714-1800-4D26-9AF1-B6655B816C60}" name="suero_grasa_g_l"/>
    <tableColumn id="22" xr3:uid="{F53BCEFE-F638-4DCC-9C89-95E955DE1BC1}" name="suero_prot_g_l"/>
    <tableColumn id="21" xr3:uid="{A6C9938E-0AA2-4E29-A8DC-F754989BB147}" name="suero_est_g_l"/>
    <tableColumn id="13" xr3:uid="{BA3D3A7D-98AE-465A-A04F-EAFDC5620F57}" name="entrada_grasa_kg" dataDxfId="12">
      <calculatedColumnFormula>Tabla1[[#This Row],[entrada_litros]]*Tabla1[[#This Row],[entrada_grasa_g_l]]/1000</calculatedColumnFormula>
    </tableColumn>
    <tableColumn id="14" xr3:uid="{ECAB9C49-9B80-4690-BDFB-33A5C9A5855F}" name="entrada_prot_kg" dataDxfId="11">
      <calculatedColumnFormula>Tabla1[[#This Row],[entrada_prot_g_l]]*Tabla1[[#This Row],[entrada_litros]]/1000</calculatedColumnFormula>
    </tableColumn>
    <tableColumn id="15" xr3:uid="{3884887A-AFCB-466C-8516-33532C44D81A}" name="cuba_fab_grasa_kg" dataDxfId="10">
      <calculatedColumnFormula>Tabla1[[#This Row],[cuba_fab_litros]]*Tabla1[[#This Row],[cuba_fab_grasa_g_l]]/1000</calculatedColumnFormula>
    </tableColumn>
    <tableColumn id="16" xr3:uid="{FE93E448-E7E3-4BAA-A21E-1C868C969B6B}" name="cuba_fab_prot_kg" dataDxfId="9">
      <calculatedColumnFormula>Tabla1[[#This Row],[cuba_fab_litros]]*Tabla1[[#This Row],[cuba_fab_prot_g_l]]/1000</calculatedColumnFormula>
    </tableColumn>
    <tableColumn id="17" xr3:uid="{9E87A0D2-96E2-47CF-A557-DE77F5489569}" name="queso_est_kg" dataDxfId="8">
      <calculatedColumnFormula>Tabla1[[#This Row],[queso_kg]]*Tabla1[[#This Row],[queso_est_pct]]/100</calculatedColumnFormula>
    </tableColumn>
    <tableColumn id="18" xr3:uid="{7D142DE3-472E-4628-8F12-4F8CCEE02A8D}" name="queso_mg_kg" dataDxfId="7">
      <calculatedColumnFormula>Tabla1[[#This Row],[queso_kg]]*Tabla1[[#This Row],[queso_mg_pct]]/100</calculatedColumnFormula>
    </tableColumn>
    <tableColumn id="28" xr3:uid="{94A6B5A5-9CA4-4778-871F-EF1623A78A57}" name="queso_esm_kg" dataDxfId="0">
      <calculatedColumnFormula>Tabla1[[#This Row],[queso_est_kg]]-Tabla1[[#This Row],[queso_mg_kg]]</calculatedColumnFormula>
    </tableColumn>
    <tableColumn id="19" xr3:uid="{F125589E-13AA-49C5-84DE-A9D2D30D2458}" name="semanaISO" dataDxfId="6">
      <calculatedColumnFormula>_xlfn.ISOWEEKNUM(Tabla1[[#This Row],[fecha]])</calculatedColumnFormula>
    </tableColumn>
    <tableColumn id="20" xr3:uid="{3F3CA61F-0914-466B-ADEE-F97130995988}" name="semana" dataDxfId="5"/>
    <tableColumn id="25" xr3:uid="{7DAA0C24-AC27-4679-9182-5C0CF0D093DC}" name="suero_grasa_kg" dataDxfId="4">
      <calculatedColumnFormula>Tabla1[[#This Row],[suero_litros]]*Tabla1[[#This Row],[suero_grasa_g_l]]/1000</calculatedColumnFormula>
    </tableColumn>
    <tableColumn id="26" xr3:uid="{4F813244-B392-498C-AC21-D5594D817434}" name="suero_prot_kg" dataDxfId="3">
      <calculatedColumnFormula>Tabla1[[#This Row],[suero_litros]]*Tabla1[[#This Row],[suero_prot_g_l]]/1000</calculatedColumnFormula>
    </tableColumn>
    <tableColumn id="27" xr3:uid="{762D5A61-6B33-44ED-82E3-B3CCEF350561}" name="suero_est_kg" dataDxfId="2">
      <calculatedColumnFormula>Tabla1[[#This Row],[suero_est_g_l]]*Tabla1[[#This Row],[suero_litros]]/1000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C027A-BFE5-48CE-AC49-A5B06ED264A4}">
  <dimension ref="A1:AB365"/>
  <sheetViews>
    <sheetView tabSelected="1" topLeftCell="I1" workbookViewId="0">
      <selection activeCell="P2" sqref="P2"/>
    </sheetView>
  </sheetViews>
  <sheetFormatPr baseColWidth="10" defaultRowHeight="15" x14ac:dyDescent="0.25"/>
  <cols>
    <col min="2" max="2" width="12.85546875" customWidth="1"/>
    <col min="3" max="3" width="15.5703125" customWidth="1"/>
    <col min="4" max="4" width="18.85546875" customWidth="1"/>
    <col min="5" max="5" width="17.85546875" customWidth="1"/>
    <col min="6" max="6" width="16.7109375" customWidth="1"/>
    <col min="7" max="7" width="20" customWidth="1"/>
    <col min="8" max="8" width="19" customWidth="1"/>
    <col min="9" max="9" width="19.7109375" customWidth="1"/>
    <col min="10" max="10" width="11.5703125" customWidth="1"/>
    <col min="11" max="11" width="16.140625" customWidth="1"/>
    <col min="12" max="16" width="16" customWidth="1"/>
  </cols>
  <sheetData>
    <row r="1" spans="1:2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41</v>
      </c>
      <c r="N1" t="s">
        <v>42</v>
      </c>
      <c r="O1" t="s">
        <v>43</v>
      </c>
      <c r="P1" t="s">
        <v>52</v>
      </c>
      <c r="Q1" t="s">
        <v>12</v>
      </c>
      <c r="R1" t="s">
        <v>13</v>
      </c>
      <c r="S1" t="s">
        <v>14</v>
      </c>
      <c r="T1" t="s">
        <v>15</v>
      </c>
      <c r="U1" t="s">
        <v>16</v>
      </c>
      <c r="V1" t="s">
        <v>17</v>
      </c>
      <c r="W1" t="s">
        <v>50</v>
      </c>
      <c r="X1" t="s">
        <v>18</v>
      </c>
      <c r="Y1" t="s">
        <v>19</v>
      </c>
      <c r="Z1" t="s">
        <v>44</v>
      </c>
      <c r="AA1" t="s">
        <v>45</v>
      </c>
      <c r="AB1" t="s">
        <v>46</v>
      </c>
    </row>
    <row r="2" spans="1:28" x14ac:dyDescent="0.25">
      <c r="A2" s="1">
        <v>45291</v>
      </c>
      <c r="B2">
        <v>5654</v>
      </c>
      <c r="C2">
        <v>5489</v>
      </c>
      <c r="D2">
        <v>41.47</v>
      </c>
      <c r="E2">
        <v>35.83</v>
      </c>
      <c r="F2">
        <v>0</v>
      </c>
      <c r="G2">
        <v>0</v>
      </c>
      <c r="H2">
        <v>0</v>
      </c>
      <c r="I2">
        <v>5489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f>Tabla1[[#This Row],[entrada_litros]]*Tabla1[[#This Row],[entrada_grasa_g_l]]/1000</f>
        <v>227.62882999999999</v>
      </c>
      <c r="R2">
        <f>Tabla1[[#This Row],[entrada_prot_g_l]]*Tabla1[[#This Row],[entrada_litros]]/1000</f>
        <v>196.67087000000001</v>
      </c>
      <c r="S2">
        <f>Tabla1[[#This Row],[cuba_fab_litros]]*Tabla1[[#This Row],[cuba_fab_grasa_g_l]]/1000</f>
        <v>0</v>
      </c>
      <c r="T2">
        <f>Tabla1[[#This Row],[cuba_fab_litros]]*Tabla1[[#This Row],[cuba_fab_prot_g_l]]/1000</f>
        <v>0</v>
      </c>
      <c r="U2">
        <f>Tabla1[[#This Row],[queso_kg]]*Tabla1[[#This Row],[queso_est_pct]]/100</f>
        <v>0</v>
      </c>
      <c r="V2">
        <f>Tabla1[[#This Row],[queso_kg]]*Tabla1[[#This Row],[queso_mg_pct]]/100</f>
        <v>0</v>
      </c>
      <c r="W2">
        <f>Tabla1[[#This Row],[queso_est_kg]]-Tabla1[[#This Row],[queso_mg_kg]]</f>
        <v>0</v>
      </c>
      <c r="X2">
        <f>_xlfn.ISOWEEKNUM(Tabla1[[#This Row],[fecha]])</f>
        <v>52</v>
      </c>
      <c r="Y2">
        <v>1</v>
      </c>
      <c r="Z2" s="7">
        <f>Tabla1[[#This Row],[suero_litros]]*Tabla1[[#This Row],[suero_grasa_g_l]]/1000</f>
        <v>0</v>
      </c>
      <c r="AA2" s="7">
        <f>Tabla1[[#This Row],[suero_litros]]*Tabla1[[#This Row],[suero_prot_g_l]]/1000</f>
        <v>0</v>
      </c>
      <c r="AB2" s="7">
        <f>Tabla1[[#This Row],[suero_est_g_l]]*Tabla1[[#This Row],[suero_litros]]/1000</f>
        <v>0</v>
      </c>
    </row>
    <row r="3" spans="1:28" x14ac:dyDescent="0.25">
      <c r="A3" s="1">
        <v>45292</v>
      </c>
      <c r="B3">
        <v>5077</v>
      </c>
      <c r="C3">
        <v>4929</v>
      </c>
      <c r="D3">
        <v>42.7</v>
      </c>
      <c r="E3">
        <v>35.9</v>
      </c>
      <c r="F3">
        <v>5023</v>
      </c>
      <c r="G3">
        <v>40.68</v>
      </c>
      <c r="H3">
        <v>34.51</v>
      </c>
      <c r="I3">
        <v>5418</v>
      </c>
      <c r="J3">
        <v>595.12</v>
      </c>
      <c r="K3">
        <v>52.8</v>
      </c>
      <c r="L3">
        <v>27.91</v>
      </c>
      <c r="M3">
        <v>4467</v>
      </c>
      <c r="N3">
        <v>8.4499999999999993</v>
      </c>
      <c r="O3">
        <v>6.96</v>
      </c>
      <c r="P3">
        <v>66.73</v>
      </c>
      <c r="Q3">
        <f>Tabla1[[#This Row],[entrada_litros]]*Tabla1[[#This Row],[entrada_grasa_g_l]]/1000</f>
        <v>210.46830000000003</v>
      </c>
      <c r="R3">
        <f>Tabla1[[#This Row],[entrada_prot_g_l]]*Tabla1[[#This Row],[entrada_litros]]/1000</f>
        <v>176.9511</v>
      </c>
      <c r="S3">
        <f>Tabla1[[#This Row],[cuba_fab_litros]]*Tabla1[[#This Row],[cuba_fab_grasa_g_l]]/1000</f>
        <v>204.33563999999998</v>
      </c>
      <c r="T3">
        <f>Tabla1[[#This Row],[cuba_fab_litros]]*Tabla1[[#This Row],[cuba_fab_prot_g_l]]/1000</f>
        <v>173.34372999999999</v>
      </c>
      <c r="U3">
        <f>Tabla1[[#This Row],[queso_kg]]*Tabla1[[#This Row],[queso_est_pct]]/100</f>
        <v>314.22336000000001</v>
      </c>
      <c r="V3">
        <f>Tabla1[[#This Row],[queso_kg]]*Tabla1[[#This Row],[queso_mg_pct]]/100</f>
        <v>166.097992</v>
      </c>
      <c r="W3">
        <f>Tabla1[[#This Row],[queso_est_kg]]-Tabla1[[#This Row],[queso_mg_kg]]</f>
        <v>148.12536800000001</v>
      </c>
      <c r="X3">
        <f>_xlfn.ISOWEEKNUM(Tabla1[[#This Row],[fecha]])</f>
        <v>1</v>
      </c>
      <c r="Y3">
        <v>1</v>
      </c>
      <c r="Z3" s="7">
        <f>Tabla1[[#This Row],[suero_litros]]*Tabla1[[#This Row],[suero_grasa_g_l]]/1000</f>
        <v>37.746149999999993</v>
      </c>
      <c r="AA3" s="7">
        <f>Tabla1[[#This Row],[suero_litros]]*Tabla1[[#This Row],[suero_prot_g_l]]/1000</f>
        <v>31.090319999999998</v>
      </c>
      <c r="AB3" s="7">
        <f>Tabla1[[#This Row],[suero_est_g_l]]*Tabla1[[#This Row],[suero_litros]]/1000</f>
        <v>298.08291000000003</v>
      </c>
    </row>
    <row r="4" spans="1:28" x14ac:dyDescent="0.25">
      <c r="A4" s="1">
        <v>45293</v>
      </c>
      <c r="B4">
        <v>5339</v>
      </c>
      <c r="C4">
        <v>5183</v>
      </c>
      <c r="D4">
        <v>42.53</v>
      </c>
      <c r="E4">
        <v>37.01</v>
      </c>
      <c r="F4">
        <v>5027</v>
      </c>
      <c r="G4">
        <v>40.299999999999997</v>
      </c>
      <c r="H4">
        <v>34.840000000000003</v>
      </c>
      <c r="I4">
        <v>5601</v>
      </c>
      <c r="J4">
        <v>602.30999999999995</v>
      </c>
      <c r="K4">
        <v>52.42</v>
      </c>
      <c r="L4">
        <v>28.15</v>
      </c>
      <c r="M4">
        <v>4464</v>
      </c>
      <c r="N4">
        <v>7.26</v>
      </c>
      <c r="O4">
        <v>7.55</v>
      </c>
      <c r="P4">
        <v>66.489999999999995</v>
      </c>
      <c r="Q4">
        <f>Tabla1[[#This Row],[entrada_litros]]*Tabla1[[#This Row],[entrada_grasa_g_l]]/1000</f>
        <v>220.43299000000002</v>
      </c>
      <c r="R4">
        <f>Tabla1[[#This Row],[entrada_prot_g_l]]*Tabla1[[#This Row],[entrada_litros]]/1000</f>
        <v>191.82282999999998</v>
      </c>
      <c r="S4">
        <f>Tabla1[[#This Row],[cuba_fab_litros]]*Tabla1[[#This Row],[cuba_fab_grasa_g_l]]/1000</f>
        <v>202.58809999999997</v>
      </c>
      <c r="T4">
        <f>Tabla1[[#This Row],[cuba_fab_litros]]*Tabla1[[#This Row],[cuba_fab_prot_g_l]]/1000</f>
        <v>175.14068000000003</v>
      </c>
      <c r="U4">
        <f>Tabla1[[#This Row],[queso_kg]]*Tabla1[[#This Row],[queso_est_pct]]/100</f>
        <v>315.73090200000001</v>
      </c>
      <c r="V4">
        <f>Tabla1[[#This Row],[queso_kg]]*Tabla1[[#This Row],[queso_mg_pct]]/100</f>
        <v>169.55026499999997</v>
      </c>
      <c r="W4">
        <f>Tabla1[[#This Row],[queso_est_kg]]-Tabla1[[#This Row],[queso_mg_kg]]</f>
        <v>146.18063700000005</v>
      </c>
      <c r="X4">
        <f>_xlfn.ISOWEEKNUM(Tabla1[[#This Row],[fecha]])</f>
        <v>1</v>
      </c>
      <c r="Y4">
        <v>1</v>
      </c>
      <c r="Z4" s="7">
        <f>Tabla1[[#This Row],[suero_litros]]*Tabla1[[#This Row],[suero_grasa_g_l]]/1000</f>
        <v>32.408639999999998</v>
      </c>
      <c r="AA4" s="7">
        <f>Tabla1[[#This Row],[suero_litros]]*Tabla1[[#This Row],[suero_prot_g_l]]/1000</f>
        <v>33.703199999999995</v>
      </c>
      <c r="AB4" s="7">
        <f>Tabla1[[#This Row],[suero_est_g_l]]*Tabla1[[#This Row],[suero_litros]]/1000</f>
        <v>296.81135999999998</v>
      </c>
    </row>
    <row r="5" spans="1:28" x14ac:dyDescent="0.25">
      <c r="A5" s="1">
        <v>45294</v>
      </c>
      <c r="B5">
        <v>5075</v>
      </c>
      <c r="C5">
        <v>4927</v>
      </c>
      <c r="D5">
        <v>39.5</v>
      </c>
      <c r="E5">
        <v>37.85</v>
      </c>
      <c r="F5">
        <v>5022</v>
      </c>
      <c r="G5">
        <v>39.020000000000003</v>
      </c>
      <c r="H5">
        <v>35.590000000000003</v>
      </c>
      <c r="I5">
        <v>5528</v>
      </c>
      <c r="J5">
        <v>606.9</v>
      </c>
      <c r="K5">
        <v>51.68</v>
      </c>
      <c r="L5">
        <v>27.7</v>
      </c>
      <c r="M5">
        <v>4454</v>
      </c>
      <c r="N5">
        <v>6.11</v>
      </c>
      <c r="O5">
        <v>8.44</v>
      </c>
      <c r="P5">
        <v>65.599999999999994</v>
      </c>
      <c r="Q5">
        <f>Tabla1[[#This Row],[entrada_litros]]*Tabla1[[#This Row],[entrada_grasa_g_l]]/1000</f>
        <v>194.6165</v>
      </c>
      <c r="R5">
        <f>Tabla1[[#This Row],[entrada_prot_g_l]]*Tabla1[[#This Row],[entrada_litros]]/1000</f>
        <v>186.48695000000001</v>
      </c>
      <c r="S5">
        <f>Tabla1[[#This Row],[cuba_fab_litros]]*Tabla1[[#This Row],[cuba_fab_grasa_g_l]]/1000</f>
        <v>195.95844</v>
      </c>
      <c r="T5">
        <f>Tabla1[[#This Row],[cuba_fab_litros]]*Tabla1[[#This Row],[cuba_fab_prot_g_l]]/1000</f>
        <v>178.73298</v>
      </c>
      <c r="U5">
        <f>Tabla1[[#This Row],[queso_kg]]*Tabla1[[#This Row],[queso_est_pct]]/100</f>
        <v>313.64591999999999</v>
      </c>
      <c r="V5">
        <f>Tabla1[[#This Row],[queso_kg]]*Tabla1[[#This Row],[queso_mg_pct]]/100</f>
        <v>168.11129999999997</v>
      </c>
      <c r="W5">
        <f>Tabla1[[#This Row],[queso_est_kg]]-Tabla1[[#This Row],[queso_mg_kg]]</f>
        <v>145.53462000000002</v>
      </c>
      <c r="X5">
        <f>_xlfn.ISOWEEKNUM(Tabla1[[#This Row],[fecha]])</f>
        <v>1</v>
      </c>
      <c r="Y5">
        <v>1</v>
      </c>
      <c r="Z5" s="7">
        <f>Tabla1[[#This Row],[suero_litros]]*Tabla1[[#This Row],[suero_grasa_g_l]]/1000</f>
        <v>27.213940000000001</v>
      </c>
      <c r="AA5" s="7">
        <f>Tabla1[[#This Row],[suero_litros]]*Tabla1[[#This Row],[suero_prot_g_l]]/1000</f>
        <v>37.591759999999994</v>
      </c>
      <c r="AB5" s="7">
        <f>Tabla1[[#This Row],[suero_est_g_l]]*Tabla1[[#This Row],[suero_litros]]/1000</f>
        <v>292.18239999999997</v>
      </c>
    </row>
    <row r="6" spans="1:28" x14ac:dyDescent="0.25">
      <c r="A6" s="1">
        <v>45295</v>
      </c>
      <c r="B6">
        <v>5675</v>
      </c>
      <c r="C6">
        <v>5510</v>
      </c>
      <c r="D6">
        <v>42.63</v>
      </c>
      <c r="E6">
        <v>34.28</v>
      </c>
      <c r="F6">
        <v>5031</v>
      </c>
      <c r="G6">
        <v>39.729999999999997</v>
      </c>
      <c r="H6">
        <v>33.78</v>
      </c>
      <c r="I6">
        <v>6038</v>
      </c>
      <c r="J6">
        <v>612.98</v>
      </c>
      <c r="K6">
        <v>52.41</v>
      </c>
      <c r="L6">
        <v>27.77</v>
      </c>
      <c r="M6">
        <v>4458</v>
      </c>
      <c r="N6">
        <v>6.47</v>
      </c>
      <c r="O6">
        <v>7.96</v>
      </c>
      <c r="P6">
        <v>65.69</v>
      </c>
      <c r="Q6">
        <f>Tabla1[[#This Row],[entrada_litros]]*Tabla1[[#This Row],[entrada_grasa_g_l]]/1000</f>
        <v>234.89130000000003</v>
      </c>
      <c r="R6">
        <f>Tabla1[[#This Row],[entrada_prot_g_l]]*Tabla1[[#This Row],[entrada_litros]]/1000</f>
        <v>188.88280000000003</v>
      </c>
      <c r="S6">
        <f>Tabla1[[#This Row],[cuba_fab_litros]]*Tabla1[[#This Row],[cuba_fab_grasa_g_l]]/1000</f>
        <v>199.88162999999997</v>
      </c>
      <c r="T6">
        <f>Tabla1[[#This Row],[cuba_fab_litros]]*Tabla1[[#This Row],[cuba_fab_prot_g_l]]/1000</f>
        <v>169.94718</v>
      </c>
      <c r="U6">
        <f>Tabla1[[#This Row],[queso_kg]]*Tabla1[[#This Row],[queso_est_pct]]/100</f>
        <v>321.26281799999998</v>
      </c>
      <c r="V6">
        <f>Tabla1[[#This Row],[queso_kg]]*Tabla1[[#This Row],[queso_mg_pct]]/100</f>
        <v>170.224546</v>
      </c>
      <c r="W6">
        <f>Tabla1[[#This Row],[queso_est_kg]]-Tabla1[[#This Row],[queso_mg_kg]]</f>
        <v>151.03827199999998</v>
      </c>
      <c r="X6">
        <f>_xlfn.ISOWEEKNUM(Tabla1[[#This Row],[fecha]])</f>
        <v>1</v>
      </c>
      <c r="Y6">
        <v>1</v>
      </c>
      <c r="Z6" s="7">
        <f>Tabla1[[#This Row],[suero_litros]]*Tabla1[[#This Row],[suero_grasa_g_l]]/1000</f>
        <v>28.843259999999997</v>
      </c>
      <c r="AA6" s="7">
        <f>Tabla1[[#This Row],[suero_litros]]*Tabla1[[#This Row],[suero_prot_g_l]]/1000</f>
        <v>35.485680000000002</v>
      </c>
      <c r="AB6" s="7">
        <f>Tabla1[[#This Row],[suero_est_g_l]]*Tabla1[[#This Row],[suero_litros]]/1000</f>
        <v>292.84602000000001</v>
      </c>
    </row>
    <row r="7" spans="1:28" x14ac:dyDescent="0.25">
      <c r="A7" s="1">
        <v>45296</v>
      </c>
      <c r="B7">
        <v>0</v>
      </c>
      <c r="C7">
        <v>0</v>
      </c>
      <c r="D7">
        <v>0</v>
      </c>
      <c r="E7">
        <v>0</v>
      </c>
      <c r="F7">
        <v>6055</v>
      </c>
      <c r="G7">
        <v>39.85</v>
      </c>
      <c r="H7">
        <v>34.61</v>
      </c>
      <c r="I7">
        <v>0</v>
      </c>
      <c r="J7">
        <v>739.59</v>
      </c>
      <c r="K7">
        <v>51.57</v>
      </c>
      <c r="L7">
        <v>27.12</v>
      </c>
      <c r="M7">
        <v>5363</v>
      </c>
      <c r="N7">
        <v>7.49</v>
      </c>
      <c r="O7">
        <v>7.34</v>
      </c>
      <c r="P7">
        <v>65.53</v>
      </c>
      <c r="Q7">
        <f>Tabla1[[#This Row],[entrada_litros]]*Tabla1[[#This Row],[entrada_grasa_g_l]]/1000</f>
        <v>0</v>
      </c>
      <c r="R7">
        <f>Tabla1[[#This Row],[entrada_prot_g_l]]*Tabla1[[#This Row],[entrada_litros]]/1000</f>
        <v>0</v>
      </c>
      <c r="S7">
        <f>Tabla1[[#This Row],[cuba_fab_litros]]*Tabla1[[#This Row],[cuba_fab_grasa_g_l]]/1000</f>
        <v>241.29175000000001</v>
      </c>
      <c r="T7">
        <f>Tabla1[[#This Row],[cuba_fab_litros]]*Tabla1[[#This Row],[cuba_fab_prot_g_l]]/1000</f>
        <v>209.56354999999999</v>
      </c>
      <c r="U7">
        <f>Tabla1[[#This Row],[queso_kg]]*Tabla1[[#This Row],[queso_est_pct]]/100</f>
        <v>381.40656300000001</v>
      </c>
      <c r="V7">
        <f>Tabla1[[#This Row],[queso_kg]]*Tabla1[[#This Row],[queso_mg_pct]]/100</f>
        <v>200.57680800000003</v>
      </c>
      <c r="W7">
        <f>Tabla1[[#This Row],[queso_est_kg]]-Tabla1[[#This Row],[queso_mg_kg]]</f>
        <v>180.82975499999998</v>
      </c>
      <c r="X7">
        <f>_xlfn.ISOWEEKNUM(Tabla1[[#This Row],[fecha]])</f>
        <v>1</v>
      </c>
      <c r="Y7">
        <v>1</v>
      </c>
      <c r="Z7" s="7">
        <f>Tabla1[[#This Row],[suero_litros]]*Tabla1[[#This Row],[suero_grasa_g_l]]/1000</f>
        <v>40.168870000000005</v>
      </c>
      <c r="AA7" s="7">
        <f>Tabla1[[#This Row],[suero_litros]]*Tabla1[[#This Row],[suero_prot_g_l]]/1000</f>
        <v>39.364419999999996</v>
      </c>
      <c r="AB7" s="7">
        <f>Tabla1[[#This Row],[suero_est_g_l]]*Tabla1[[#This Row],[suero_litros]]/1000</f>
        <v>351.43738999999999</v>
      </c>
    </row>
    <row r="8" spans="1:28" x14ac:dyDescent="0.25">
      <c r="A8" s="1">
        <v>45297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f>Tabla1[[#This Row],[entrada_litros]]*Tabla1[[#This Row],[entrada_grasa_g_l]]/1000</f>
        <v>0</v>
      </c>
      <c r="R8">
        <f>Tabla1[[#This Row],[entrada_prot_g_l]]*Tabla1[[#This Row],[entrada_litros]]/1000</f>
        <v>0</v>
      </c>
      <c r="S8">
        <f>Tabla1[[#This Row],[cuba_fab_litros]]*Tabla1[[#This Row],[cuba_fab_grasa_g_l]]/1000</f>
        <v>0</v>
      </c>
      <c r="T8">
        <f>Tabla1[[#This Row],[cuba_fab_litros]]*Tabla1[[#This Row],[cuba_fab_prot_g_l]]/1000</f>
        <v>0</v>
      </c>
      <c r="U8">
        <f>Tabla1[[#This Row],[queso_kg]]*Tabla1[[#This Row],[queso_est_pct]]/100</f>
        <v>0</v>
      </c>
      <c r="V8">
        <f>Tabla1[[#This Row],[queso_kg]]*Tabla1[[#This Row],[queso_mg_pct]]/100</f>
        <v>0</v>
      </c>
      <c r="W8">
        <f>Tabla1[[#This Row],[queso_est_kg]]-Tabla1[[#This Row],[queso_mg_kg]]</f>
        <v>0</v>
      </c>
      <c r="X8">
        <f>_xlfn.ISOWEEKNUM(Tabla1[[#This Row],[fecha]])</f>
        <v>1</v>
      </c>
      <c r="Y8">
        <v>1</v>
      </c>
      <c r="Z8" s="7">
        <f>Tabla1[[#This Row],[suero_litros]]*Tabla1[[#This Row],[suero_grasa_g_l]]/1000</f>
        <v>0</v>
      </c>
      <c r="AA8" s="7">
        <f>Tabla1[[#This Row],[suero_litros]]*Tabla1[[#This Row],[suero_prot_g_l]]/1000</f>
        <v>0</v>
      </c>
      <c r="AB8" s="7">
        <f>Tabla1[[#This Row],[suero_est_g_l]]*Tabla1[[#This Row],[suero_litros]]/1000</f>
        <v>0</v>
      </c>
    </row>
    <row r="9" spans="1:28" x14ac:dyDescent="0.25">
      <c r="A9" s="1">
        <v>45298</v>
      </c>
      <c r="B9">
        <v>5276</v>
      </c>
      <c r="C9">
        <v>5122</v>
      </c>
      <c r="D9">
        <v>42.73</v>
      </c>
      <c r="E9">
        <v>35.61</v>
      </c>
      <c r="F9">
        <v>0</v>
      </c>
      <c r="G9">
        <v>0</v>
      </c>
      <c r="H9">
        <v>0</v>
      </c>
      <c r="I9">
        <v>5122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f>Tabla1[[#This Row],[entrada_litros]]*Tabla1[[#This Row],[entrada_grasa_g_l]]/1000</f>
        <v>218.86305999999999</v>
      </c>
      <c r="R9">
        <f>Tabla1[[#This Row],[entrada_prot_g_l]]*Tabla1[[#This Row],[entrada_litros]]/1000</f>
        <v>182.39442</v>
      </c>
      <c r="S9">
        <f>Tabla1[[#This Row],[cuba_fab_litros]]*Tabla1[[#This Row],[cuba_fab_grasa_g_l]]/1000</f>
        <v>0</v>
      </c>
      <c r="T9">
        <f>Tabla1[[#This Row],[cuba_fab_litros]]*Tabla1[[#This Row],[cuba_fab_prot_g_l]]/1000</f>
        <v>0</v>
      </c>
      <c r="U9">
        <f>Tabla1[[#This Row],[queso_kg]]*Tabla1[[#This Row],[queso_est_pct]]/100</f>
        <v>0</v>
      </c>
      <c r="V9">
        <f>Tabla1[[#This Row],[queso_kg]]*Tabla1[[#This Row],[queso_mg_pct]]/100</f>
        <v>0</v>
      </c>
      <c r="W9">
        <f>Tabla1[[#This Row],[queso_est_kg]]-Tabla1[[#This Row],[queso_mg_kg]]</f>
        <v>0</v>
      </c>
      <c r="X9">
        <f>_xlfn.ISOWEEKNUM(Tabla1[[#This Row],[fecha]])</f>
        <v>1</v>
      </c>
      <c r="Y9">
        <v>2</v>
      </c>
      <c r="Z9" s="7">
        <f>Tabla1[[#This Row],[suero_litros]]*Tabla1[[#This Row],[suero_grasa_g_l]]/1000</f>
        <v>0</v>
      </c>
      <c r="AA9" s="7">
        <f>Tabla1[[#This Row],[suero_litros]]*Tabla1[[#This Row],[suero_prot_g_l]]/1000</f>
        <v>0</v>
      </c>
      <c r="AB9" s="7">
        <f>Tabla1[[#This Row],[suero_est_g_l]]*Tabla1[[#This Row],[suero_litros]]/1000</f>
        <v>0</v>
      </c>
    </row>
    <row r="10" spans="1:28" x14ac:dyDescent="0.25">
      <c r="A10" s="1">
        <v>45299</v>
      </c>
      <c r="B10">
        <v>5220</v>
      </c>
      <c r="C10">
        <v>5068</v>
      </c>
      <c r="D10">
        <v>43.1</v>
      </c>
      <c r="E10">
        <v>35.299999999999997</v>
      </c>
      <c r="F10">
        <v>5023</v>
      </c>
      <c r="G10">
        <v>40.69</v>
      </c>
      <c r="H10">
        <v>33.79</v>
      </c>
      <c r="I10">
        <v>5190</v>
      </c>
      <c r="J10">
        <v>666.77</v>
      </c>
      <c r="K10">
        <v>52.51</v>
      </c>
      <c r="L10">
        <v>26.94</v>
      </c>
      <c r="M10">
        <v>4397</v>
      </c>
      <c r="N10">
        <v>5.55</v>
      </c>
      <c r="O10">
        <v>3.1</v>
      </c>
      <c r="P10">
        <v>57.33</v>
      </c>
      <c r="Q10">
        <f>Tabla1[[#This Row],[entrada_litros]]*Tabla1[[#This Row],[entrada_grasa_g_l]]/1000</f>
        <v>218.4308</v>
      </c>
      <c r="R10">
        <f>Tabla1[[#This Row],[entrada_prot_g_l]]*Tabla1[[#This Row],[entrada_litros]]/1000</f>
        <v>178.90039999999999</v>
      </c>
      <c r="S10">
        <f>Tabla1[[#This Row],[cuba_fab_litros]]*Tabla1[[#This Row],[cuba_fab_grasa_g_l]]/1000</f>
        <v>204.38586999999998</v>
      </c>
      <c r="T10">
        <f>Tabla1[[#This Row],[cuba_fab_litros]]*Tabla1[[#This Row],[cuba_fab_prot_g_l]]/1000</f>
        <v>169.72716999999997</v>
      </c>
      <c r="U10">
        <f>Tabla1[[#This Row],[queso_kg]]*Tabla1[[#This Row],[queso_est_pct]]/100</f>
        <v>350.12092699999999</v>
      </c>
      <c r="V10">
        <f>Tabla1[[#This Row],[queso_kg]]*Tabla1[[#This Row],[queso_mg_pct]]/100</f>
        <v>179.627838</v>
      </c>
      <c r="W10">
        <f>Tabla1[[#This Row],[queso_est_kg]]-Tabla1[[#This Row],[queso_mg_kg]]</f>
        <v>170.493089</v>
      </c>
      <c r="X10">
        <f>_xlfn.ISOWEEKNUM(Tabla1[[#This Row],[fecha]])</f>
        <v>2</v>
      </c>
      <c r="Y10">
        <v>2</v>
      </c>
      <c r="Z10" s="7">
        <f>Tabla1[[#This Row],[suero_litros]]*Tabla1[[#This Row],[suero_grasa_g_l]]/1000</f>
        <v>24.40335</v>
      </c>
      <c r="AA10" s="7">
        <f>Tabla1[[#This Row],[suero_litros]]*Tabla1[[#This Row],[suero_prot_g_l]]/1000</f>
        <v>13.630700000000001</v>
      </c>
      <c r="AB10" s="7">
        <f>Tabla1[[#This Row],[suero_est_g_l]]*Tabla1[[#This Row],[suero_litros]]/1000</f>
        <v>252.08000999999999</v>
      </c>
    </row>
    <row r="11" spans="1:28" x14ac:dyDescent="0.25">
      <c r="A11" s="1">
        <v>45300</v>
      </c>
      <c r="B11">
        <v>4733</v>
      </c>
      <c r="C11">
        <v>4595</v>
      </c>
      <c r="D11">
        <v>43.37</v>
      </c>
      <c r="E11">
        <v>35.770000000000003</v>
      </c>
      <c r="F11">
        <v>5030</v>
      </c>
      <c r="G11">
        <v>41.49</v>
      </c>
      <c r="H11">
        <v>33.979999999999997</v>
      </c>
      <c r="I11">
        <v>4785</v>
      </c>
      <c r="J11">
        <v>599.49</v>
      </c>
      <c r="K11">
        <v>52.45</v>
      </c>
      <c r="L11">
        <v>27.1</v>
      </c>
      <c r="M11">
        <v>4470</v>
      </c>
      <c r="N11">
        <v>10.19</v>
      </c>
      <c r="O11">
        <v>6.65</v>
      </c>
      <c r="P11">
        <v>67.27</v>
      </c>
      <c r="Q11">
        <f>Tabla1[[#This Row],[entrada_litros]]*Tabla1[[#This Row],[entrada_grasa_g_l]]/1000</f>
        <v>199.28514999999999</v>
      </c>
      <c r="R11">
        <f>Tabla1[[#This Row],[entrada_prot_g_l]]*Tabla1[[#This Row],[entrada_litros]]/1000</f>
        <v>164.36315000000002</v>
      </c>
      <c r="S11">
        <f>Tabla1[[#This Row],[cuba_fab_litros]]*Tabla1[[#This Row],[cuba_fab_grasa_g_l]]/1000</f>
        <v>208.69470000000001</v>
      </c>
      <c r="T11">
        <f>Tabla1[[#This Row],[cuba_fab_litros]]*Tabla1[[#This Row],[cuba_fab_prot_g_l]]/1000</f>
        <v>170.9194</v>
      </c>
      <c r="U11">
        <f>Tabla1[[#This Row],[queso_kg]]*Tabla1[[#This Row],[queso_est_pct]]/100</f>
        <v>314.43250499999999</v>
      </c>
      <c r="V11">
        <f>Tabla1[[#This Row],[queso_kg]]*Tabla1[[#This Row],[queso_mg_pct]]/100</f>
        <v>162.46179000000001</v>
      </c>
      <c r="W11">
        <f>Tabla1[[#This Row],[queso_est_kg]]-Tabla1[[#This Row],[queso_mg_kg]]</f>
        <v>151.97071499999998</v>
      </c>
      <c r="X11">
        <f>_xlfn.ISOWEEKNUM(Tabla1[[#This Row],[fecha]])</f>
        <v>2</v>
      </c>
      <c r="Y11">
        <v>2</v>
      </c>
      <c r="Z11" s="7">
        <f>Tabla1[[#This Row],[suero_litros]]*Tabla1[[#This Row],[suero_grasa_g_l]]/1000</f>
        <v>45.549299999999995</v>
      </c>
      <c r="AA11" s="7">
        <f>Tabla1[[#This Row],[suero_litros]]*Tabla1[[#This Row],[suero_prot_g_l]]/1000</f>
        <v>29.7255</v>
      </c>
      <c r="AB11" s="7">
        <f>Tabla1[[#This Row],[suero_est_g_l]]*Tabla1[[#This Row],[suero_litros]]/1000</f>
        <v>300.69689999999997</v>
      </c>
    </row>
    <row r="12" spans="1:28" x14ac:dyDescent="0.25">
      <c r="A12" s="1">
        <v>45301</v>
      </c>
      <c r="B12">
        <v>4819</v>
      </c>
      <c r="C12">
        <v>4679</v>
      </c>
      <c r="D12">
        <v>41.81</v>
      </c>
      <c r="E12">
        <v>34.909999999999997</v>
      </c>
      <c r="F12">
        <v>5030</v>
      </c>
      <c r="G12">
        <v>40.6</v>
      </c>
      <c r="H12">
        <v>33.590000000000003</v>
      </c>
      <c r="I12">
        <v>4464</v>
      </c>
      <c r="J12">
        <v>608.41999999999996</v>
      </c>
      <c r="K12">
        <v>52.84</v>
      </c>
      <c r="L12">
        <v>27.34</v>
      </c>
      <c r="M12">
        <v>4461</v>
      </c>
      <c r="N12">
        <v>8.33</v>
      </c>
      <c r="O12">
        <v>6.52</v>
      </c>
      <c r="P12">
        <v>65.959999999999994</v>
      </c>
      <c r="Q12">
        <f>Tabla1[[#This Row],[entrada_litros]]*Tabla1[[#This Row],[entrada_grasa_g_l]]/1000</f>
        <v>195.62899000000002</v>
      </c>
      <c r="R12">
        <f>Tabla1[[#This Row],[entrada_prot_g_l]]*Tabla1[[#This Row],[entrada_litros]]/1000</f>
        <v>163.34388999999999</v>
      </c>
      <c r="S12">
        <f>Tabla1[[#This Row],[cuba_fab_litros]]*Tabla1[[#This Row],[cuba_fab_grasa_g_l]]/1000</f>
        <v>204.21799999999999</v>
      </c>
      <c r="T12">
        <f>Tabla1[[#This Row],[cuba_fab_litros]]*Tabla1[[#This Row],[cuba_fab_prot_g_l]]/1000</f>
        <v>168.95770000000002</v>
      </c>
      <c r="U12">
        <f>Tabla1[[#This Row],[queso_kg]]*Tabla1[[#This Row],[queso_est_pct]]/100</f>
        <v>321.48912799999999</v>
      </c>
      <c r="V12">
        <f>Tabla1[[#This Row],[queso_kg]]*Tabla1[[#This Row],[queso_mg_pct]]/100</f>
        <v>166.342028</v>
      </c>
      <c r="W12">
        <f>Tabla1[[#This Row],[queso_est_kg]]-Tabla1[[#This Row],[queso_mg_kg]]</f>
        <v>155.14709999999999</v>
      </c>
      <c r="X12">
        <f>_xlfn.ISOWEEKNUM(Tabla1[[#This Row],[fecha]])</f>
        <v>2</v>
      </c>
      <c r="Y12">
        <v>2</v>
      </c>
      <c r="Z12" s="7">
        <f>Tabla1[[#This Row],[suero_litros]]*Tabla1[[#This Row],[suero_grasa_g_l]]/1000</f>
        <v>37.160129999999995</v>
      </c>
      <c r="AA12" s="7">
        <f>Tabla1[[#This Row],[suero_litros]]*Tabla1[[#This Row],[suero_prot_g_l]]/1000</f>
        <v>29.085719999999998</v>
      </c>
      <c r="AB12" s="7">
        <f>Tabla1[[#This Row],[suero_est_g_l]]*Tabla1[[#This Row],[suero_litros]]/1000</f>
        <v>294.24756000000002</v>
      </c>
    </row>
    <row r="13" spans="1:28" x14ac:dyDescent="0.25">
      <c r="A13" s="1">
        <v>45302</v>
      </c>
      <c r="B13">
        <v>4898</v>
      </c>
      <c r="C13">
        <v>4755</v>
      </c>
      <c r="D13">
        <v>42.5</v>
      </c>
      <c r="E13">
        <v>35.51</v>
      </c>
      <c r="F13">
        <v>5014</v>
      </c>
      <c r="G13">
        <v>40.97</v>
      </c>
      <c r="H13">
        <v>33.85</v>
      </c>
      <c r="I13">
        <v>4219</v>
      </c>
      <c r="J13">
        <v>613.08000000000004</v>
      </c>
      <c r="K13">
        <v>53.21</v>
      </c>
      <c r="L13">
        <v>27.65</v>
      </c>
      <c r="M13">
        <v>4440</v>
      </c>
      <c r="N13">
        <v>8</v>
      </c>
      <c r="O13">
        <v>5.99</v>
      </c>
      <c r="P13">
        <v>66.3</v>
      </c>
      <c r="Q13">
        <f>Tabla1[[#This Row],[entrada_litros]]*Tabla1[[#This Row],[entrada_grasa_g_l]]/1000</f>
        <v>202.08750000000001</v>
      </c>
      <c r="R13">
        <f>Tabla1[[#This Row],[entrada_prot_g_l]]*Tabla1[[#This Row],[entrada_litros]]/1000</f>
        <v>168.85004999999998</v>
      </c>
      <c r="S13">
        <f>Tabla1[[#This Row],[cuba_fab_litros]]*Tabla1[[#This Row],[cuba_fab_grasa_g_l]]/1000</f>
        <v>205.42357999999999</v>
      </c>
      <c r="T13">
        <f>Tabla1[[#This Row],[cuba_fab_litros]]*Tabla1[[#This Row],[cuba_fab_prot_g_l]]/1000</f>
        <v>169.72389999999999</v>
      </c>
      <c r="U13">
        <f>Tabla1[[#This Row],[queso_kg]]*Tabla1[[#This Row],[queso_est_pct]]/100</f>
        <v>326.21986800000002</v>
      </c>
      <c r="V13">
        <f>Tabla1[[#This Row],[queso_kg]]*Tabla1[[#This Row],[queso_mg_pct]]/100</f>
        <v>169.51661999999999</v>
      </c>
      <c r="W13">
        <f>Tabla1[[#This Row],[queso_est_kg]]-Tabla1[[#This Row],[queso_mg_kg]]</f>
        <v>156.70324800000003</v>
      </c>
      <c r="X13">
        <f>_xlfn.ISOWEEKNUM(Tabla1[[#This Row],[fecha]])</f>
        <v>2</v>
      </c>
      <c r="Y13">
        <v>2</v>
      </c>
      <c r="Z13" s="7">
        <f>Tabla1[[#This Row],[suero_litros]]*Tabla1[[#This Row],[suero_grasa_g_l]]/1000</f>
        <v>35.520000000000003</v>
      </c>
      <c r="AA13" s="7">
        <f>Tabla1[[#This Row],[suero_litros]]*Tabla1[[#This Row],[suero_prot_g_l]]/1000</f>
        <v>26.595600000000001</v>
      </c>
      <c r="AB13" s="7">
        <f>Tabla1[[#This Row],[suero_est_g_l]]*Tabla1[[#This Row],[suero_litros]]/1000</f>
        <v>294.37200000000001</v>
      </c>
    </row>
    <row r="14" spans="1:28" x14ac:dyDescent="0.25">
      <c r="A14" s="1">
        <v>45303</v>
      </c>
      <c r="B14">
        <v>0</v>
      </c>
      <c r="C14">
        <v>0</v>
      </c>
      <c r="D14">
        <v>0</v>
      </c>
      <c r="E14">
        <v>0</v>
      </c>
      <c r="F14">
        <v>4236</v>
      </c>
      <c r="G14">
        <v>40.68</v>
      </c>
      <c r="H14">
        <v>34.22</v>
      </c>
      <c r="I14">
        <v>0</v>
      </c>
      <c r="J14">
        <v>527.29</v>
      </c>
      <c r="K14">
        <v>50.83</v>
      </c>
      <c r="L14">
        <v>26.01</v>
      </c>
      <c r="M14">
        <v>3742</v>
      </c>
      <c r="N14">
        <v>9.1199999999999992</v>
      </c>
      <c r="O14">
        <v>6.48</v>
      </c>
      <c r="P14">
        <v>66.45</v>
      </c>
      <c r="Q14">
        <f>Tabla1[[#This Row],[entrada_litros]]*Tabla1[[#This Row],[entrada_grasa_g_l]]/1000</f>
        <v>0</v>
      </c>
      <c r="R14">
        <f>Tabla1[[#This Row],[entrada_prot_g_l]]*Tabla1[[#This Row],[entrada_litros]]/1000</f>
        <v>0</v>
      </c>
      <c r="S14">
        <f>Tabla1[[#This Row],[cuba_fab_litros]]*Tabla1[[#This Row],[cuba_fab_grasa_g_l]]/1000</f>
        <v>172.32048</v>
      </c>
      <c r="T14">
        <f>Tabla1[[#This Row],[cuba_fab_litros]]*Tabla1[[#This Row],[cuba_fab_prot_g_l]]/1000</f>
        <v>144.95591999999999</v>
      </c>
      <c r="U14">
        <f>Tabla1[[#This Row],[queso_kg]]*Tabla1[[#This Row],[queso_est_pct]]/100</f>
        <v>268.02150699999999</v>
      </c>
      <c r="V14">
        <f>Tabla1[[#This Row],[queso_kg]]*Tabla1[[#This Row],[queso_mg_pct]]/100</f>
        <v>137.14812899999998</v>
      </c>
      <c r="W14">
        <f>Tabla1[[#This Row],[queso_est_kg]]-Tabla1[[#This Row],[queso_mg_kg]]</f>
        <v>130.873378</v>
      </c>
      <c r="X14">
        <f>_xlfn.ISOWEEKNUM(Tabla1[[#This Row],[fecha]])</f>
        <v>2</v>
      </c>
      <c r="Y14">
        <v>2</v>
      </c>
      <c r="Z14" s="7">
        <f>Tabla1[[#This Row],[suero_litros]]*Tabla1[[#This Row],[suero_grasa_g_l]]/1000</f>
        <v>34.127039999999994</v>
      </c>
      <c r="AA14" s="7">
        <f>Tabla1[[#This Row],[suero_litros]]*Tabla1[[#This Row],[suero_prot_g_l]]/1000</f>
        <v>24.248159999999999</v>
      </c>
      <c r="AB14" s="7">
        <f>Tabla1[[#This Row],[suero_est_g_l]]*Tabla1[[#This Row],[suero_litros]]/1000</f>
        <v>248.65590000000003</v>
      </c>
    </row>
    <row r="15" spans="1:28" x14ac:dyDescent="0.25">
      <c r="A15" s="1">
        <v>45304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f>Tabla1[[#This Row],[entrada_litros]]*Tabla1[[#This Row],[entrada_grasa_g_l]]/1000</f>
        <v>0</v>
      </c>
      <c r="R15">
        <f>Tabla1[[#This Row],[entrada_prot_g_l]]*Tabla1[[#This Row],[entrada_litros]]/1000</f>
        <v>0</v>
      </c>
      <c r="S15">
        <f>Tabla1[[#This Row],[cuba_fab_litros]]*Tabla1[[#This Row],[cuba_fab_grasa_g_l]]/1000</f>
        <v>0</v>
      </c>
      <c r="T15">
        <f>Tabla1[[#This Row],[cuba_fab_litros]]*Tabla1[[#This Row],[cuba_fab_prot_g_l]]/1000</f>
        <v>0</v>
      </c>
      <c r="U15">
        <f>Tabla1[[#This Row],[queso_kg]]*Tabla1[[#This Row],[queso_est_pct]]/100</f>
        <v>0</v>
      </c>
      <c r="V15">
        <f>Tabla1[[#This Row],[queso_kg]]*Tabla1[[#This Row],[queso_mg_pct]]/100</f>
        <v>0</v>
      </c>
      <c r="W15">
        <f>Tabla1[[#This Row],[queso_est_kg]]-Tabla1[[#This Row],[queso_mg_kg]]</f>
        <v>0</v>
      </c>
      <c r="X15">
        <f>_xlfn.ISOWEEKNUM(Tabla1[[#This Row],[fecha]])</f>
        <v>2</v>
      </c>
      <c r="Y15">
        <v>2</v>
      </c>
      <c r="Z15" s="7">
        <f>Tabla1[[#This Row],[suero_litros]]*Tabla1[[#This Row],[suero_grasa_g_l]]/1000</f>
        <v>0</v>
      </c>
      <c r="AA15" s="7">
        <f>Tabla1[[#This Row],[suero_litros]]*Tabla1[[#This Row],[suero_prot_g_l]]/1000</f>
        <v>0</v>
      </c>
      <c r="AB15" s="7">
        <f>Tabla1[[#This Row],[suero_est_g_l]]*Tabla1[[#This Row],[suero_litros]]/1000</f>
        <v>0</v>
      </c>
    </row>
    <row r="16" spans="1:28" x14ac:dyDescent="0.25">
      <c r="A16" s="1">
        <v>45305</v>
      </c>
      <c r="B16">
        <v>5157</v>
      </c>
      <c r="C16">
        <v>5007</v>
      </c>
      <c r="D16">
        <v>41.61</v>
      </c>
      <c r="E16">
        <v>37.01</v>
      </c>
      <c r="F16">
        <v>0</v>
      </c>
      <c r="G16">
        <v>0</v>
      </c>
      <c r="H16">
        <v>0</v>
      </c>
      <c r="I16">
        <v>5007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f>Tabla1[[#This Row],[entrada_litros]]*Tabla1[[#This Row],[entrada_grasa_g_l]]/1000</f>
        <v>208.34126999999998</v>
      </c>
      <c r="R16">
        <f>Tabla1[[#This Row],[entrada_prot_g_l]]*Tabla1[[#This Row],[entrada_litros]]/1000</f>
        <v>185.30906999999999</v>
      </c>
      <c r="S16">
        <f>Tabla1[[#This Row],[cuba_fab_litros]]*Tabla1[[#This Row],[cuba_fab_grasa_g_l]]/1000</f>
        <v>0</v>
      </c>
      <c r="T16">
        <f>Tabla1[[#This Row],[cuba_fab_litros]]*Tabla1[[#This Row],[cuba_fab_prot_g_l]]/1000</f>
        <v>0</v>
      </c>
      <c r="U16">
        <f>Tabla1[[#This Row],[queso_kg]]*Tabla1[[#This Row],[queso_est_pct]]/100</f>
        <v>0</v>
      </c>
      <c r="V16">
        <f>Tabla1[[#This Row],[queso_kg]]*Tabla1[[#This Row],[queso_mg_pct]]/100</f>
        <v>0</v>
      </c>
      <c r="W16">
        <f>Tabla1[[#This Row],[queso_est_kg]]-Tabla1[[#This Row],[queso_mg_kg]]</f>
        <v>0</v>
      </c>
      <c r="X16">
        <f>_xlfn.ISOWEEKNUM(Tabla1[[#This Row],[fecha]])</f>
        <v>2</v>
      </c>
      <c r="Y16">
        <v>3</v>
      </c>
      <c r="Z16" s="7">
        <f>Tabla1[[#This Row],[suero_litros]]*Tabla1[[#This Row],[suero_grasa_g_l]]/1000</f>
        <v>0</v>
      </c>
      <c r="AA16" s="7">
        <f>Tabla1[[#This Row],[suero_litros]]*Tabla1[[#This Row],[suero_prot_g_l]]/1000</f>
        <v>0</v>
      </c>
      <c r="AB16" s="7">
        <f>Tabla1[[#This Row],[suero_est_g_l]]*Tabla1[[#This Row],[suero_litros]]/1000</f>
        <v>0</v>
      </c>
    </row>
    <row r="17" spans="1:28" x14ac:dyDescent="0.25">
      <c r="A17" s="1">
        <v>45306</v>
      </c>
      <c r="B17">
        <v>4731</v>
      </c>
      <c r="C17">
        <v>4593</v>
      </c>
      <c r="D17">
        <v>41.78</v>
      </c>
      <c r="E17">
        <v>35.78</v>
      </c>
      <c r="F17">
        <v>5020</v>
      </c>
      <c r="G17">
        <v>39.51</v>
      </c>
      <c r="H17">
        <v>34.67</v>
      </c>
      <c r="I17">
        <v>4600</v>
      </c>
      <c r="J17">
        <v>639.62</v>
      </c>
      <c r="K17">
        <v>53.05</v>
      </c>
      <c r="L17">
        <v>27.64</v>
      </c>
      <c r="M17">
        <v>4420</v>
      </c>
      <c r="N17">
        <v>4.8</v>
      </c>
      <c r="O17">
        <v>5.52</v>
      </c>
      <c r="P17">
        <v>61.02</v>
      </c>
      <c r="Q17">
        <f>Tabla1[[#This Row],[entrada_litros]]*Tabla1[[#This Row],[entrada_grasa_g_l]]/1000</f>
        <v>191.89554000000001</v>
      </c>
      <c r="R17">
        <f>Tabla1[[#This Row],[entrada_prot_g_l]]*Tabla1[[#This Row],[entrada_litros]]/1000</f>
        <v>164.33754000000002</v>
      </c>
      <c r="S17">
        <f>Tabla1[[#This Row],[cuba_fab_litros]]*Tabla1[[#This Row],[cuba_fab_grasa_g_l]]/1000</f>
        <v>198.34019999999998</v>
      </c>
      <c r="T17">
        <f>Tabla1[[#This Row],[cuba_fab_litros]]*Tabla1[[#This Row],[cuba_fab_prot_g_l]]/1000</f>
        <v>174.04339999999999</v>
      </c>
      <c r="U17">
        <f>Tabla1[[#This Row],[queso_kg]]*Tabla1[[#This Row],[queso_est_pct]]/100</f>
        <v>339.31841000000003</v>
      </c>
      <c r="V17">
        <f>Tabla1[[#This Row],[queso_kg]]*Tabla1[[#This Row],[queso_mg_pct]]/100</f>
        <v>176.79096799999999</v>
      </c>
      <c r="W17">
        <f>Tabla1[[#This Row],[queso_est_kg]]-Tabla1[[#This Row],[queso_mg_kg]]</f>
        <v>162.52744200000004</v>
      </c>
      <c r="X17">
        <f>_xlfn.ISOWEEKNUM(Tabla1[[#This Row],[fecha]])</f>
        <v>3</v>
      </c>
      <c r="Y17">
        <v>3</v>
      </c>
      <c r="Z17" s="7">
        <f>Tabla1[[#This Row],[suero_litros]]*Tabla1[[#This Row],[suero_grasa_g_l]]/1000</f>
        <v>21.216000000000001</v>
      </c>
      <c r="AA17" s="7">
        <f>Tabla1[[#This Row],[suero_litros]]*Tabla1[[#This Row],[suero_prot_g_l]]/1000</f>
        <v>24.398399999999999</v>
      </c>
      <c r="AB17" s="7">
        <f>Tabla1[[#This Row],[suero_est_g_l]]*Tabla1[[#This Row],[suero_litros]]/1000</f>
        <v>269.70840000000004</v>
      </c>
    </row>
    <row r="18" spans="1:28" x14ac:dyDescent="0.25">
      <c r="A18" s="1">
        <v>45307</v>
      </c>
      <c r="B18">
        <v>5018</v>
      </c>
      <c r="C18">
        <v>4872</v>
      </c>
      <c r="D18">
        <v>43.23</v>
      </c>
      <c r="E18">
        <v>36.130000000000003</v>
      </c>
      <c r="F18">
        <v>5015</v>
      </c>
      <c r="G18">
        <v>40.58</v>
      </c>
      <c r="H18">
        <v>34.71</v>
      </c>
      <c r="I18">
        <v>4472</v>
      </c>
      <c r="J18">
        <v>624.45000000000005</v>
      </c>
      <c r="K18">
        <v>51.01</v>
      </c>
      <c r="L18">
        <v>26.27</v>
      </c>
      <c r="M18">
        <v>4430</v>
      </c>
      <c r="N18">
        <v>8.67</v>
      </c>
      <c r="O18">
        <v>6.83</v>
      </c>
      <c r="P18">
        <v>64.61</v>
      </c>
      <c r="Q18">
        <f>Tabla1[[#This Row],[entrada_litros]]*Tabla1[[#This Row],[entrada_grasa_g_l]]/1000</f>
        <v>210.61655999999999</v>
      </c>
      <c r="R18">
        <f>Tabla1[[#This Row],[entrada_prot_g_l]]*Tabla1[[#This Row],[entrada_litros]]/1000</f>
        <v>176.02536000000001</v>
      </c>
      <c r="S18">
        <f>Tabla1[[#This Row],[cuba_fab_litros]]*Tabla1[[#This Row],[cuba_fab_grasa_g_l]]/1000</f>
        <v>203.50869999999998</v>
      </c>
      <c r="T18">
        <f>Tabla1[[#This Row],[cuba_fab_litros]]*Tabla1[[#This Row],[cuba_fab_prot_g_l]]/1000</f>
        <v>174.07065</v>
      </c>
      <c r="U18">
        <f>Tabla1[[#This Row],[queso_kg]]*Tabla1[[#This Row],[queso_est_pct]]/100</f>
        <v>318.53194500000001</v>
      </c>
      <c r="V18">
        <f>Tabla1[[#This Row],[queso_kg]]*Tabla1[[#This Row],[queso_mg_pct]]/100</f>
        <v>164.04301500000003</v>
      </c>
      <c r="W18">
        <f>Tabla1[[#This Row],[queso_est_kg]]-Tabla1[[#This Row],[queso_mg_kg]]</f>
        <v>154.48892999999998</v>
      </c>
      <c r="X18">
        <f>_xlfn.ISOWEEKNUM(Tabla1[[#This Row],[fecha]])</f>
        <v>3</v>
      </c>
      <c r="Y18">
        <v>3</v>
      </c>
      <c r="Z18" s="7">
        <f>Tabla1[[#This Row],[suero_litros]]*Tabla1[[#This Row],[suero_grasa_g_l]]/1000</f>
        <v>38.408099999999997</v>
      </c>
      <c r="AA18" s="7">
        <f>Tabla1[[#This Row],[suero_litros]]*Tabla1[[#This Row],[suero_prot_g_l]]/1000</f>
        <v>30.256900000000002</v>
      </c>
      <c r="AB18" s="7">
        <f>Tabla1[[#This Row],[suero_est_g_l]]*Tabla1[[#This Row],[suero_litros]]/1000</f>
        <v>286.22229999999996</v>
      </c>
    </row>
    <row r="19" spans="1:28" x14ac:dyDescent="0.25">
      <c r="A19" s="1">
        <v>45308</v>
      </c>
      <c r="B19">
        <v>5535</v>
      </c>
      <c r="C19">
        <v>5374</v>
      </c>
      <c r="D19">
        <v>40.46</v>
      </c>
      <c r="E19">
        <v>36.47</v>
      </c>
      <c r="F19">
        <v>5023</v>
      </c>
      <c r="G19">
        <v>39.32</v>
      </c>
      <c r="H19">
        <v>34.69</v>
      </c>
      <c r="I19">
        <v>4846</v>
      </c>
      <c r="J19">
        <v>645.55999999999995</v>
      </c>
      <c r="K19">
        <v>51.76</v>
      </c>
      <c r="L19">
        <v>27.55</v>
      </c>
      <c r="M19">
        <v>4418</v>
      </c>
      <c r="N19">
        <v>4.3600000000000003</v>
      </c>
      <c r="O19">
        <v>6.21</v>
      </c>
      <c r="P19">
        <v>63.07</v>
      </c>
      <c r="Q19">
        <f>Tabla1[[#This Row],[entrada_litros]]*Tabla1[[#This Row],[entrada_grasa_g_l]]/1000</f>
        <v>217.43204</v>
      </c>
      <c r="R19">
        <f>Tabla1[[#This Row],[entrada_prot_g_l]]*Tabla1[[#This Row],[entrada_litros]]/1000</f>
        <v>195.98978</v>
      </c>
      <c r="S19">
        <f>Tabla1[[#This Row],[cuba_fab_litros]]*Tabla1[[#This Row],[cuba_fab_grasa_g_l]]/1000</f>
        <v>197.50436000000002</v>
      </c>
      <c r="T19">
        <f>Tabla1[[#This Row],[cuba_fab_litros]]*Tabla1[[#This Row],[cuba_fab_prot_g_l]]/1000</f>
        <v>174.24787000000001</v>
      </c>
      <c r="U19">
        <f>Tabla1[[#This Row],[queso_kg]]*Tabla1[[#This Row],[queso_est_pct]]/100</f>
        <v>334.14185599999996</v>
      </c>
      <c r="V19">
        <f>Tabla1[[#This Row],[queso_kg]]*Tabla1[[#This Row],[queso_mg_pct]]/100</f>
        <v>177.85177999999999</v>
      </c>
      <c r="W19">
        <f>Tabla1[[#This Row],[queso_est_kg]]-Tabla1[[#This Row],[queso_mg_kg]]</f>
        <v>156.29007599999997</v>
      </c>
      <c r="X19">
        <f>_xlfn.ISOWEEKNUM(Tabla1[[#This Row],[fecha]])</f>
        <v>3</v>
      </c>
      <c r="Y19">
        <v>3</v>
      </c>
      <c r="Z19" s="7">
        <f>Tabla1[[#This Row],[suero_litros]]*Tabla1[[#This Row],[suero_grasa_g_l]]/1000</f>
        <v>19.262480000000004</v>
      </c>
      <c r="AA19" s="7">
        <f>Tabla1[[#This Row],[suero_litros]]*Tabla1[[#This Row],[suero_prot_g_l]]/1000</f>
        <v>27.435779999999998</v>
      </c>
      <c r="AB19" s="7">
        <f>Tabla1[[#This Row],[suero_est_g_l]]*Tabla1[[#This Row],[suero_litros]]/1000</f>
        <v>278.64326</v>
      </c>
    </row>
    <row r="20" spans="1:28" x14ac:dyDescent="0.25">
      <c r="A20" s="1">
        <v>45309</v>
      </c>
      <c r="B20">
        <v>5364</v>
      </c>
      <c r="C20">
        <v>5208</v>
      </c>
      <c r="D20">
        <v>43.34</v>
      </c>
      <c r="E20">
        <v>34.880000000000003</v>
      </c>
      <c r="F20">
        <v>5023</v>
      </c>
      <c r="G20">
        <v>40.65</v>
      </c>
      <c r="H20">
        <v>34.08</v>
      </c>
      <c r="I20">
        <v>5054</v>
      </c>
      <c r="J20">
        <v>599.72</v>
      </c>
      <c r="K20">
        <v>50.07</v>
      </c>
      <c r="L20">
        <v>26.12</v>
      </c>
      <c r="M20">
        <v>4462</v>
      </c>
      <c r="N20">
        <v>10.51</v>
      </c>
      <c r="O20">
        <v>6.36</v>
      </c>
      <c r="P20">
        <v>66.260000000000005</v>
      </c>
      <c r="Q20">
        <f>Tabla1[[#This Row],[entrada_litros]]*Tabla1[[#This Row],[entrada_grasa_g_l]]/1000</f>
        <v>225.71472000000003</v>
      </c>
      <c r="R20">
        <f>Tabla1[[#This Row],[entrada_prot_g_l]]*Tabla1[[#This Row],[entrada_litros]]/1000</f>
        <v>181.65504000000001</v>
      </c>
      <c r="S20">
        <f>Tabla1[[#This Row],[cuba_fab_litros]]*Tabla1[[#This Row],[cuba_fab_grasa_g_l]]/1000</f>
        <v>204.18494999999999</v>
      </c>
      <c r="T20">
        <f>Tabla1[[#This Row],[cuba_fab_litros]]*Tabla1[[#This Row],[cuba_fab_prot_g_l]]/1000</f>
        <v>171.18384</v>
      </c>
      <c r="U20">
        <f>Tabla1[[#This Row],[queso_kg]]*Tabla1[[#This Row],[queso_est_pct]]/100</f>
        <v>300.27980400000001</v>
      </c>
      <c r="V20">
        <f>Tabla1[[#This Row],[queso_kg]]*Tabla1[[#This Row],[queso_mg_pct]]/100</f>
        <v>156.64686399999999</v>
      </c>
      <c r="W20">
        <f>Tabla1[[#This Row],[queso_est_kg]]-Tabla1[[#This Row],[queso_mg_kg]]</f>
        <v>143.63294000000002</v>
      </c>
      <c r="X20">
        <f>_xlfn.ISOWEEKNUM(Tabla1[[#This Row],[fecha]])</f>
        <v>3</v>
      </c>
      <c r="Y20">
        <v>3</v>
      </c>
      <c r="Z20" s="7">
        <f>Tabla1[[#This Row],[suero_litros]]*Tabla1[[#This Row],[suero_grasa_g_l]]/1000</f>
        <v>46.895620000000001</v>
      </c>
      <c r="AA20" s="7">
        <f>Tabla1[[#This Row],[suero_litros]]*Tabla1[[#This Row],[suero_prot_g_l]]/1000</f>
        <v>28.378319999999999</v>
      </c>
      <c r="AB20" s="7">
        <f>Tabla1[[#This Row],[suero_est_g_l]]*Tabla1[[#This Row],[suero_litros]]/1000</f>
        <v>295.65211999999997</v>
      </c>
    </row>
    <row r="21" spans="1:28" x14ac:dyDescent="0.25">
      <c r="A21" s="1">
        <v>45310</v>
      </c>
      <c r="B21">
        <v>0</v>
      </c>
      <c r="C21">
        <v>0</v>
      </c>
      <c r="D21">
        <v>0</v>
      </c>
      <c r="E21">
        <v>0</v>
      </c>
      <c r="F21">
        <v>5086</v>
      </c>
      <c r="G21">
        <v>40.43</v>
      </c>
      <c r="H21">
        <v>34.28</v>
      </c>
      <c r="I21">
        <v>0</v>
      </c>
      <c r="J21">
        <v>647.78</v>
      </c>
      <c r="K21">
        <v>51.36</v>
      </c>
      <c r="L21">
        <v>26.31</v>
      </c>
      <c r="M21">
        <v>4479</v>
      </c>
      <c r="N21">
        <v>7.7</v>
      </c>
      <c r="O21">
        <v>4.67</v>
      </c>
      <c r="P21">
        <v>64.27</v>
      </c>
      <c r="Q21">
        <f>Tabla1[[#This Row],[entrada_litros]]*Tabla1[[#This Row],[entrada_grasa_g_l]]/1000</f>
        <v>0</v>
      </c>
      <c r="R21">
        <f>Tabla1[[#This Row],[entrada_prot_g_l]]*Tabla1[[#This Row],[entrada_litros]]/1000</f>
        <v>0</v>
      </c>
      <c r="S21">
        <f>Tabla1[[#This Row],[cuba_fab_litros]]*Tabla1[[#This Row],[cuba_fab_grasa_g_l]]/1000</f>
        <v>205.62698</v>
      </c>
      <c r="T21">
        <f>Tabla1[[#This Row],[cuba_fab_litros]]*Tabla1[[#This Row],[cuba_fab_prot_g_l]]/1000</f>
        <v>174.34808000000001</v>
      </c>
      <c r="U21">
        <f>Tabla1[[#This Row],[queso_kg]]*Tabla1[[#This Row],[queso_est_pct]]/100</f>
        <v>332.69980799999996</v>
      </c>
      <c r="V21">
        <f>Tabla1[[#This Row],[queso_kg]]*Tabla1[[#This Row],[queso_mg_pct]]/100</f>
        <v>170.43091799999999</v>
      </c>
      <c r="W21">
        <f>Tabla1[[#This Row],[queso_est_kg]]-Tabla1[[#This Row],[queso_mg_kg]]</f>
        <v>162.26888999999997</v>
      </c>
      <c r="X21">
        <f>_xlfn.ISOWEEKNUM(Tabla1[[#This Row],[fecha]])</f>
        <v>3</v>
      </c>
      <c r="Y21">
        <v>3</v>
      </c>
      <c r="Z21" s="7">
        <f>Tabla1[[#This Row],[suero_litros]]*Tabla1[[#This Row],[suero_grasa_g_l]]/1000</f>
        <v>34.488300000000002</v>
      </c>
      <c r="AA21" s="7">
        <f>Tabla1[[#This Row],[suero_litros]]*Tabla1[[#This Row],[suero_prot_g_l]]/1000</f>
        <v>20.916930000000001</v>
      </c>
      <c r="AB21" s="7">
        <f>Tabla1[[#This Row],[suero_est_g_l]]*Tabla1[[#This Row],[suero_litros]]/1000</f>
        <v>287.86532999999997</v>
      </c>
    </row>
    <row r="22" spans="1:28" x14ac:dyDescent="0.25">
      <c r="A22" s="1">
        <v>45311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f>Tabla1[[#This Row],[entrada_litros]]*Tabla1[[#This Row],[entrada_grasa_g_l]]/1000</f>
        <v>0</v>
      </c>
      <c r="R22">
        <f>Tabla1[[#This Row],[entrada_prot_g_l]]*Tabla1[[#This Row],[entrada_litros]]/1000</f>
        <v>0</v>
      </c>
      <c r="S22">
        <f>Tabla1[[#This Row],[cuba_fab_litros]]*Tabla1[[#This Row],[cuba_fab_grasa_g_l]]/1000</f>
        <v>0</v>
      </c>
      <c r="T22">
        <f>Tabla1[[#This Row],[cuba_fab_litros]]*Tabla1[[#This Row],[cuba_fab_prot_g_l]]/1000</f>
        <v>0</v>
      </c>
      <c r="U22">
        <f>Tabla1[[#This Row],[queso_kg]]*Tabla1[[#This Row],[queso_est_pct]]/100</f>
        <v>0</v>
      </c>
      <c r="V22">
        <f>Tabla1[[#This Row],[queso_kg]]*Tabla1[[#This Row],[queso_mg_pct]]/100</f>
        <v>0</v>
      </c>
      <c r="W22">
        <f>Tabla1[[#This Row],[queso_est_kg]]-Tabla1[[#This Row],[queso_mg_kg]]</f>
        <v>0</v>
      </c>
      <c r="X22">
        <f>_xlfn.ISOWEEKNUM(Tabla1[[#This Row],[fecha]])</f>
        <v>3</v>
      </c>
      <c r="Y22">
        <v>3</v>
      </c>
      <c r="Z22" s="7">
        <f>Tabla1[[#This Row],[suero_litros]]*Tabla1[[#This Row],[suero_grasa_g_l]]/1000</f>
        <v>0</v>
      </c>
      <c r="AA22" s="7">
        <f>Tabla1[[#This Row],[suero_litros]]*Tabla1[[#This Row],[suero_prot_g_l]]/1000</f>
        <v>0</v>
      </c>
      <c r="AB22" s="7">
        <f>Tabla1[[#This Row],[suero_est_g_l]]*Tabla1[[#This Row],[suero_litros]]/1000</f>
        <v>0</v>
      </c>
    </row>
    <row r="23" spans="1:28" x14ac:dyDescent="0.25">
      <c r="A23" s="1">
        <v>45312</v>
      </c>
      <c r="B23">
        <v>4846</v>
      </c>
      <c r="C23">
        <v>4705</v>
      </c>
      <c r="D23">
        <v>42.02</v>
      </c>
      <c r="E23">
        <v>35.83</v>
      </c>
      <c r="F23">
        <v>0</v>
      </c>
      <c r="G23">
        <v>0</v>
      </c>
      <c r="H23">
        <v>0</v>
      </c>
      <c r="I23">
        <v>4705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f>Tabla1[[#This Row],[entrada_litros]]*Tabla1[[#This Row],[entrada_grasa_g_l]]/1000</f>
        <v>197.70410000000001</v>
      </c>
      <c r="R23">
        <f>Tabla1[[#This Row],[entrada_prot_g_l]]*Tabla1[[#This Row],[entrada_litros]]/1000</f>
        <v>168.58015</v>
      </c>
      <c r="S23">
        <f>Tabla1[[#This Row],[cuba_fab_litros]]*Tabla1[[#This Row],[cuba_fab_grasa_g_l]]/1000</f>
        <v>0</v>
      </c>
      <c r="T23">
        <f>Tabla1[[#This Row],[cuba_fab_litros]]*Tabla1[[#This Row],[cuba_fab_prot_g_l]]/1000</f>
        <v>0</v>
      </c>
      <c r="U23">
        <f>Tabla1[[#This Row],[queso_kg]]*Tabla1[[#This Row],[queso_est_pct]]/100</f>
        <v>0</v>
      </c>
      <c r="V23">
        <f>Tabla1[[#This Row],[queso_kg]]*Tabla1[[#This Row],[queso_mg_pct]]/100</f>
        <v>0</v>
      </c>
      <c r="W23">
        <f>Tabla1[[#This Row],[queso_est_kg]]-Tabla1[[#This Row],[queso_mg_kg]]</f>
        <v>0</v>
      </c>
      <c r="X23">
        <f>_xlfn.ISOWEEKNUM(Tabla1[[#This Row],[fecha]])</f>
        <v>3</v>
      </c>
      <c r="Y23">
        <v>4</v>
      </c>
      <c r="Z23" s="7">
        <f>Tabla1[[#This Row],[suero_litros]]*Tabla1[[#This Row],[suero_grasa_g_l]]/1000</f>
        <v>0</v>
      </c>
      <c r="AA23" s="7">
        <f>Tabla1[[#This Row],[suero_litros]]*Tabla1[[#This Row],[suero_prot_g_l]]/1000</f>
        <v>0</v>
      </c>
      <c r="AB23" s="7">
        <f>Tabla1[[#This Row],[suero_est_g_l]]*Tabla1[[#This Row],[suero_litros]]/1000</f>
        <v>0</v>
      </c>
    </row>
    <row r="24" spans="1:28" x14ac:dyDescent="0.25">
      <c r="A24" s="1">
        <v>45313</v>
      </c>
      <c r="B24">
        <v>5228</v>
      </c>
      <c r="C24">
        <v>5076</v>
      </c>
      <c r="D24">
        <v>46.77</v>
      </c>
      <c r="E24">
        <v>35.49</v>
      </c>
      <c r="F24">
        <v>5024</v>
      </c>
      <c r="G24">
        <v>42.6</v>
      </c>
      <c r="H24">
        <v>34.200000000000003</v>
      </c>
      <c r="I24">
        <v>4781</v>
      </c>
      <c r="J24">
        <v>614.11</v>
      </c>
      <c r="K24">
        <v>53.06</v>
      </c>
      <c r="L24">
        <v>28.3</v>
      </c>
      <c r="M24">
        <v>4449</v>
      </c>
      <c r="N24">
        <v>8.86</v>
      </c>
      <c r="O24">
        <v>6.25</v>
      </c>
      <c r="P24">
        <v>68.040000000000006</v>
      </c>
      <c r="Q24">
        <f>Tabla1[[#This Row],[entrada_litros]]*Tabla1[[#This Row],[entrada_grasa_g_l]]/1000</f>
        <v>237.40452000000002</v>
      </c>
      <c r="R24">
        <f>Tabla1[[#This Row],[entrada_prot_g_l]]*Tabla1[[#This Row],[entrada_litros]]/1000</f>
        <v>180.14724000000001</v>
      </c>
      <c r="S24">
        <f>Tabla1[[#This Row],[cuba_fab_litros]]*Tabla1[[#This Row],[cuba_fab_grasa_g_l]]/1000</f>
        <v>214.0224</v>
      </c>
      <c r="T24">
        <f>Tabla1[[#This Row],[cuba_fab_litros]]*Tabla1[[#This Row],[cuba_fab_prot_g_l]]/1000</f>
        <v>171.82080000000002</v>
      </c>
      <c r="U24">
        <f>Tabla1[[#This Row],[queso_kg]]*Tabla1[[#This Row],[queso_est_pct]]/100</f>
        <v>325.846766</v>
      </c>
      <c r="V24">
        <f>Tabla1[[#This Row],[queso_kg]]*Tabla1[[#This Row],[queso_mg_pct]]/100</f>
        <v>173.79313000000002</v>
      </c>
      <c r="W24">
        <f>Tabla1[[#This Row],[queso_est_kg]]-Tabla1[[#This Row],[queso_mg_kg]]</f>
        <v>152.05363599999998</v>
      </c>
      <c r="X24">
        <f>_xlfn.ISOWEEKNUM(Tabla1[[#This Row],[fecha]])</f>
        <v>4</v>
      </c>
      <c r="Y24">
        <v>4</v>
      </c>
      <c r="Z24" s="7">
        <f>Tabla1[[#This Row],[suero_litros]]*Tabla1[[#This Row],[suero_grasa_g_l]]/1000</f>
        <v>39.418140000000001</v>
      </c>
      <c r="AA24" s="7">
        <f>Tabla1[[#This Row],[suero_litros]]*Tabla1[[#This Row],[suero_prot_g_l]]/1000</f>
        <v>27.806249999999999</v>
      </c>
      <c r="AB24" s="7">
        <f>Tabla1[[#This Row],[suero_est_g_l]]*Tabla1[[#This Row],[suero_litros]]/1000</f>
        <v>302.70996000000002</v>
      </c>
    </row>
    <row r="25" spans="1:28" x14ac:dyDescent="0.25">
      <c r="A25" s="1">
        <v>45314</v>
      </c>
      <c r="B25">
        <v>4899</v>
      </c>
      <c r="C25">
        <v>4756</v>
      </c>
      <c r="D25">
        <v>40.299999999999997</v>
      </c>
      <c r="E25">
        <v>36.71</v>
      </c>
      <c r="F25">
        <v>5022</v>
      </c>
      <c r="G25">
        <v>40.56</v>
      </c>
      <c r="H25">
        <v>34.520000000000003</v>
      </c>
      <c r="I25">
        <v>4537</v>
      </c>
      <c r="J25">
        <v>616.08000000000004</v>
      </c>
      <c r="K25">
        <v>53.14</v>
      </c>
      <c r="L25">
        <v>27.9</v>
      </c>
      <c r="M25">
        <v>4445</v>
      </c>
      <c r="N25">
        <v>7.07</v>
      </c>
      <c r="O25">
        <v>7.12</v>
      </c>
      <c r="P25">
        <v>65.400000000000006</v>
      </c>
      <c r="Q25">
        <f>Tabla1[[#This Row],[entrada_litros]]*Tabla1[[#This Row],[entrada_grasa_g_l]]/1000</f>
        <v>191.66679999999999</v>
      </c>
      <c r="R25">
        <f>Tabla1[[#This Row],[entrada_prot_g_l]]*Tabla1[[#This Row],[entrada_litros]]/1000</f>
        <v>174.59276</v>
      </c>
      <c r="S25">
        <f>Tabla1[[#This Row],[cuba_fab_litros]]*Tabla1[[#This Row],[cuba_fab_grasa_g_l]]/1000</f>
        <v>203.69232</v>
      </c>
      <c r="T25">
        <f>Tabla1[[#This Row],[cuba_fab_litros]]*Tabla1[[#This Row],[cuba_fab_prot_g_l]]/1000</f>
        <v>173.35944000000001</v>
      </c>
      <c r="U25">
        <f>Tabla1[[#This Row],[queso_kg]]*Tabla1[[#This Row],[queso_est_pct]]/100</f>
        <v>327.38491200000004</v>
      </c>
      <c r="V25">
        <f>Tabla1[[#This Row],[queso_kg]]*Tabla1[[#This Row],[queso_mg_pct]]/100</f>
        <v>171.88632000000001</v>
      </c>
      <c r="W25">
        <f>Tabla1[[#This Row],[queso_est_kg]]-Tabla1[[#This Row],[queso_mg_kg]]</f>
        <v>155.49859200000003</v>
      </c>
      <c r="X25">
        <f>_xlfn.ISOWEEKNUM(Tabla1[[#This Row],[fecha]])</f>
        <v>4</v>
      </c>
      <c r="Y25">
        <v>4</v>
      </c>
      <c r="Z25" s="7">
        <f>Tabla1[[#This Row],[suero_litros]]*Tabla1[[#This Row],[suero_grasa_g_l]]/1000</f>
        <v>31.42615</v>
      </c>
      <c r="AA25" s="7">
        <f>Tabla1[[#This Row],[suero_litros]]*Tabla1[[#This Row],[suero_prot_g_l]]/1000</f>
        <v>31.648400000000002</v>
      </c>
      <c r="AB25" s="7">
        <f>Tabla1[[#This Row],[suero_est_g_l]]*Tabla1[[#This Row],[suero_litros]]/1000</f>
        <v>290.70299999999997</v>
      </c>
    </row>
    <row r="26" spans="1:28" x14ac:dyDescent="0.25">
      <c r="A26" s="1">
        <v>45315</v>
      </c>
      <c r="B26">
        <v>5189</v>
      </c>
      <c r="C26">
        <v>5038</v>
      </c>
      <c r="D26">
        <v>43.83</v>
      </c>
      <c r="E26">
        <v>35.200000000000003</v>
      </c>
      <c r="F26">
        <v>5023</v>
      </c>
      <c r="G26">
        <v>41.07</v>
      </c>
      <c r="H26">
        <v>34.06</v>
      </c>
      <c r="I26">
        <v>4575</v>
      </c>
      <c r="J26">
        <v>626.76</v>
      </c>
      <c r="K26">
        <v>53.6</v>
      </c>
      <c r="L26">
        <v>27.58</v>
      </c>
      <c r="M26">
        <v>4436</v>
      </c>
      <c r="N26">
        <v>7.4</v>
      </c>
      <c r="O26">
        <v>5.36</v>
      </c>
      <c r="P26">
        <v>64.209999999999994</v>
      </c>
      <c r="Q26">
        <f>Tabla1[[#This Row],[entrada_litros]]*Tabla1[[#This Row],[entrada_grasa_g_l]]/1000</f>
        <v>220.81553999999997</v>
      </c>
      <c r="R26">
        <f>Tabla1[[#This Row],[entrada_prot_g_l]]*Tabla1[[#This Row],[entrada_litros]]/1000</f>
        <v>177.33760000000001</v>
      </c>
      <c r="S26">
        <f>Tabla1[[#This Row],[cuba_fab_litros]]*Tabla1[[#This Row],[cuba_fab_grasa_g_l]]/1000</f>
        <v>206.29461000000001</v>
      </c>
      <c r="T26">
        <f>Tabla1[[#This Row],[cuba_fab_litros]]*Tabla1[[#This Row],[cuba_fab_prot_g_l]]/1000</f>
        <v>171.08338000000001</v>
      </c>
      <c r="U26">
        <f>Tabla1[[#This Row],[queso_kg]]*Tabla1[[#This Row],[queso_est_pct]]/100</f>
        <v>335.94336000000004</v>
      </c>
      <c r="V26">
        <f>Tabla1[[#This Row],[queso_kg]]*Tabla1[[#This Row],[queso_mg_pct]]/100</f>
        <v>172.86040799999998</v>
      </c>
      <c r="W26">
        <f>Tabla1[[#This Row],[queso_est_kg]]-Tabla1[[#This Row],[queso_mg_kg]]</f>
        <v>163.08295200000006</v>
      </c>
      <c r="X26">
        <f>_xlfn.ISOWEEKNUM(Tabla1[[#This Row],[fecha]])</f>
        <v>4</v>
      </c>
      <c r="Y26">
        <v>4</v>
      </c>
      <c r="Z26" s="7">
        <f>Tabla1[[#This Row],[suero_litros]]*Tabla1[[#This Row],[suero_grasa_g_l]]/1000</f>
        <v>32.8264</v>
      </c>
      <c r="AA26" s="7">
        <f>Tabla1[[#This Row],[suero_litros]]*Tabla1[[#This Row],[suero_prot_g_l]]/1000</f>
        <v>23.776960000000003</v>
      </c>
      <c r="AB26" s="7">
        <f>Tabla1[[#This Row],[suero_est_g_l]]*Tabla1[[#This Row],[suero_litros]]/1000</f>
        <v>284.83555999999999</v>
      </c>
    </row>
    <row r="27" spans="1:28" x14ac:dyDescent="0.25">
      <c r="A27" s="1">
        <v>45316</v>
      </c>
      <c r="B27">
        <v>5358</v>
      </c>
      <c r="C27">
        <v>5202</v>
      </c>
      <c r="D27">
        <v>41.55</v>
      </c>
      <c r="E27">
        <v>35.630000000000003</v>
      </c>
      <c r="F27">
        <v>5027</v>
      </c>
      <c r="G27">
        <v>40.67</v>
      </c>
      <c r="H27">
        <v>33.68</v>
      </c>
      <c r="I27">
        <v>4777</v>
      </c>
      <c r="J27">
        <v>657.54</v>
      </c>
      <c r="K27">
        <v>51.58</v>
      </c>
      <c r="L27">
        <v>26.13</v>
      </c>
      <c r="M27">
        <v>4410</v>
      </c>
      <c r="N27">
        <v>7.23</v>
      </c>
      <c r="O27">
        <v>3.64</v>
      </c>
      <c r="P27">
        <v>62.52</v>
      </c>
      <c r="Q27">
        <f>Tabla1[[#This Row],[entrada_litros]]*Tabla1[[#This Row],[entrada_grasa_g_l]]/1000</f>
        <v>216.14309999999998</v>
      </c>
      <c r="R27">
        <f>Tabla1[[#This Row],[entrada_prot_g_l]]*Tabla1[[#This Row],[entrada_litros]]/1000</f>
        <v>185.34726000000001</v>
      </c>
      <c r="S27">
        <f>Tabla1[[#This Row],[cuba_fab_litros]]*Tabla1[[#This Row],[cuba_fab_grasa_g_l]]/1000</f>
        <v>204.44809000000001</v>
      </c>
      <c r="T27">
        <f>Tabla1[[#This Row],[cuba_fab_litros]]*Tabla1[[#This Row],[cuba_fab_prot_g_l]]/1000</f>
        <v>169.30936</v>
      </c>
      <c r="U27">
        <f>Tabla1[[#This Row],[queso_kg]]*Tabla1[[#This Row],[queso_est_pct]]/100</f>
        <v>339.15913199999994</v>
      </c>
      <c r="V27">
        <f>Tabla1[[#This Row],[queso_kg]]*Tabla1[[#This Row],[queso_mg_pct]]/100</f>
        <v>171.815202</v>
      </c>
      <c r="W27">
        <f>Tabla1[[#This Row],[queso_est_kg]]-Tabla1[[#This Row],[queso_mg_kg]]</f>
        <v>167.34392999999994</v>
      </c>
      <c r="X27">
        <f>_xlfn.ISOWEEKNUM(Tabla1[[#This Row],[fecha]])</f>
        <v>4</v>
      </c>
      <c r="Y27">
        <v>4</v>
      </c>
      <c r="Z27" s="7">
        <f>Tabla1[[#This Row],[suero_litros]]*Tabla1[[#This Row],[suero_grasa_g_l]]/1000</f>
        <v>31.884300000000003</v>
      </c>
      <c r="AA27" s="7">
        <f>Tabla1[[#This Row],[suero_litros]]*Tabla1[[#This Row],[suero_prot_g_l]]/1000</f>
        <v>16.052400000000002</v>
      </c>
      <c r="AB27" s="7">
        <f>Tabla1[[#This Row],[suero_est_g_l]]*Tabla1[[#This Row],[suero_litros]]/1000</f>
        <v>275.71320000000003</v>
      </c>
    </row>
    <row r="28" spans="1:28" x14ac:dyDescent="0.25">
      <c r="A28" s="1">
        <v>45317</v>
      </c>
      <c r="B28">
        <v>0</v>
      </c>
      <c r="C28">
        <v>0</v>
      </c>
      <c r="D28">
        <v>0</v>
      </c>
      <c r="E28">
        <v>0</v>
      </c>
      <c r="F28">
        <v>4796</v>
      </c>
      <c r="G28">
        <v>40.32</v>
      </c>
      <c r="H28">
        <v>34.39</v>
      </c>
      <c r="I28">
        <v>0</v>
      </c>
      <c r="J28">
        <v>618.37</v>
      </c>
      <c r="K28">
        <v>50.59</v>
      </c>
      <c r="L28">
        <v>26.7</v>
      </c>
      <c r="M28">
        <v>4216</v>
      </c>
      <c r="N28">
        <v>6.6</v>
      </c>
      <c r="O28">
        <v>5.46</v>
      </c>
      <c r="P28">
        <v>63.81</v>
      </c>
      <c r="Q28">
        <f>Tabla1[[#This Row],[entrada_litros]]*Tabla1[[#This Row],[entrada_grasa_g_l]]/1000</f>
        <v>0</v>
      </c>
      <c r="R28">
        <f>Tabla1[[#This Row],[entrada_prot_g_l]]*Tabla1[[#This Row],[entrada_litros]]/1000</f>
        <v>0</v>
      </c>
      <c r="S28">
        <f>Tabla1[[#This Row],[cuba_fab_litros]]*Tabla1[[#This Row],[cuba_fab_grasa_g_l]]/1000</f>
        <v>193.37472</v>
      </c>
      <c r="T28">
        <f>Tabla1[[#This Row],[cuba_fab_litros]]*Tabla1[[#This Row],[cuba_fab_prot_g_l]]/1000</f>
        <v>164.93444</v>
      </c>
      <c r="U28">
        <f>Tabla1[[#This Row],[queso_kg]]*Tabla1[[#This Row],[queso_est_pct]]/100</f>
        <v>312.83338300000003</v>
      </c>
      <c r="V28">
        <f>Tabla1[[#This Row],[queso_kg]]*Tabla1[[#This Row],[queso_mg_pct]]/100</f>
        <v>165.10478999999998</v>
      </c>
      <c r="W28">
        <f>Tabla1[[#This Row],[queso_est_kg]]-Tabla1[[#This Row],[queso_mg_kg]]</f>
        <v>147.72859300000005</v>
      </c>
      <c r="X28">
        <f>_xlfn.ISOWEEKNUM(Tabla1[[#This Row],[fecha]])</f>
        <v>4</v>
      </c>
      <c r="Y28">
        <v>4</v>
      </c>
      <c r="Z28" s="7">
        <f>Tabla1[[#This Row],[suero_litros]]*Tabla1[[#This Row],[suero_grasa_g_l]]/1000</f>
        <v>27.825599999999998</v>
      </c>
      <c r="AA28" s="7">
        <f>Tabla1[[#This Row],[suero_litros]]*Tabla1[[#This Row],[suero_prot_g_l]]/1000</f>
        <v>23.019359999999999</v>
      </c>
      <c r="AB28" s="7">
        <f>Tabla1[[#This Row],[suero_est_g_l]]*Tabla1[[#This Row],[suero_litros]]/1000</f>
        <v>269.02296000000001</v>
      </c>
    </row>
    <row r="29" spans="1:28" x14ac:dyDescent="0.25">
      <c r="A29" s="1">
        <v>45318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f>Tabla1[[#This Row],[entrada_litros]]*Tabla1[[#This Row],[entrada_grasa_g_l]]/1000</f>
        <v>0</v>
      </c>
      <c r="R29">
        <f>Tabla1[[#This Row],[entrada_prot_g_l]]*Tabla1[[#This Row],[entrada_litros]]/1000</f>
        <v>0</v>
      </c>
      <c r="S29">
        <f>Tabla1[[#This Row],[cuba_fab_litros]]*Tabla1[[#This Row],[cuba_fab_grasa_g_l]]/1000</f>
        <v>0</v>
      </c>
      <c r="T29">
        <f>Tabla1[[#This Row],[cuba_fab_litros]]*Tabla1[[#This Row],[cuba_fab_prot_g_l]]/1000</f>
        <v>0</v>
      </c>
      <c r="U29">
        <f>Tabla1[[#This Row],[queso_kg]]*Tabla1[[#This Row],[queso_est_pct]]/100</f>
        <v>0</v>
      </c>
      <c r="V29">
        <f>Tabla1[[#This Row],[queso_kg]]*Tabla1[[#This Row],[queso_mg_pct]]/100</f>
        <v>0</v>
      </c>
      <c r="W29">
        <f>Tabla1[[#This Row],[queso_est_kg]]-Tabla1[[#This Row],[queso_mg_kg]]</f>
        <v>0</v>
      </c>
      <c r="X29">
        <f>_xlfn.ISOWEEKNUM(Tabla1[[#This Row],[fecha]])</f>
        <v>4</v>
      </c>
      <c r="Y29">
        <v>4</v>
      </c>
      <c r="Z29" s="7">
        <f>Tabla1[[#This Row],[suero_litros]]*Tabla1[[#This Row],[suero_grasa_g_l]]/1000</f>
        <v>0</v>
      </c>
      <c r="AA29" s="7">
        <f>Tabla1[[#This Row],[suero_litros]]*Tabla1[[#This Row],[suero_prot_g_l]]/1000</f>
        <v>0</v>
      </c>
      <c r="AB29" s="7">
        <f>Tabla1[[#This Row],[suero_est_g_l]]*Tabla1[[#This Row],[suero_litros]]/1000</f>
        <v>0</v>
      </c>
    </row>
    <row r="30" spans="1:28" x14ac:dyDescent="0.25">
      <c r="A30" s="1">
        <v>45319</v>
      </c>
      <c r="B30">
        <v>5972</v>
      </c>
      <c r="C30">
        <v>5798</v>
      </c>
      <c r="D30">
        <v>43.27</v>
      </c>
      <c r="E30">
        <v>35.380000000000003</v>
      </c>
      <c r="F30">
        <v>0</v>
      </c>
      <c r="G30">
        <v>0</v>
      </c>
      <c r="H30">
        <v>0</v>
      </c>
      <c r="I30">
        <v>5798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f>Tabla1[[#This Row],[entrada_litros]]*Tabla1[[#This Row],[entrada_grasa_g_l]]/1000</f>
        <v>250.87946000000002</v>
      </c>
      <c r="R30">
        <f>Tabla1[[#This Row],[entrada_prot_g_l]]*Tabla1[[#This Row],[entrada_litros]]/1000</f>
        <v>205.13324000000003</v>
      </c>
      <c r="S30">
        <f>Tabla1[[#This Row],[cuba_fab_litros]]*Tabla1[[#This Row],[cuba_fab_grasa_g_l]]/1000</f>
        <v>0</v>
      </c>
      <c r="T30">
        <f>Tabla1[[#This Row],[cuba_fab_litros]]*Tabla1[[#This Row],[cuba_fab_prot_g_l]]/1000</f>
        <v>0</v>
      </c>
      <c r="U30">
        <f>Tabla1[[#This Row],[queso_kg]]*Tabla1[[#This Row],[queso_est_pct]]/100</f>
        <v>0</v>
      </c>
      <c r="V30">
        <f>Tabla1[[#This Row],[queso_kg]]*Tabla1[[#This Row],[queso_mg_pct]]/100</f>
        <v>0</v>
      </c>
      <c r="W30">
        <f>Tabla1[[#This Row],[queso_est_kg]]-Tabla1[[#This Row],[queso_mg_kg]]</f>
        <v>0</v>
      </c>
      <c r="X30">
        <f>_xlfn.ISOWEEKNUM(Tabla1[[#This Row],[fecha]])</f>
        <v>4</v>
      </c>
      <c r="Y30">
        <v>5</v>
      </c>
      <c r="Z30" s="7">
        <f>Tabla1[[#This Row],[suero_litros]]*Tabla1[[#This Row],[suero_grasa_g_l]]/1000</f>
        <v>0</v>
      </c>
      <c r="AA30" s="7">
        <f>Tabla1[[#This Row],[suero_litros]]*Tabla1[[#This Row],[suero_prot_g_l]]/1000</f>
        <v>0</v>
      </c>
      <c r="AB30" s="7">
        <f>Tabla1[[#This Row],[suero_est_g_l]]*Tabla1[[#This Row],[suero_litros]]/1000</f>
        <v>0</v>
      </c>
    </row>
    <row r="31" spans="1:28" x14ac:dyDescent="0.25">
      <c r="A31" s="1">
        <v>45320</v>
      </c>
      <c r="B31">
        <v>5301</v>
      </c>
      <c r="C31">
        <v>5147</v>
      </c>
      <c r="D31">
        <v>41.76</v>
      </c>
      <c r="E31">
        <v>37.229999999999997</v>
      </c>
      <c r="F31">
        <v>5028</v>
      </c>
      <c r="G31">
        <v>40.61</v>
      </c>
      <c r="H31">
        <v>34.46</v>
      </c>
      <c r="I31">
        <v>5945</v>
      </c>
      <c r="J31">
        <v>640.54999999999995</v>
      </c>
      <c r="K31">
        <v>51.76</v>
      </c>
      <c r="L31">
        <v>27.28</v>
      </c>
      <c r="M31">
        <v>4428</v>
      </c>
      <c r="N31">
        <v>6.51</v>
      </c>
      <c r="O31">
        <v>5.14</v>
      </c>
      <c r="P31">
        <v>62.19</v>
      </c>
      <c r="Q31">
        <f>Tabla1[[#This Row],[entrada_litros]]*Tabla1[[#This Row],[entrada_grasa_g_l]]/1000</f>
        <v>214.93871999999999</v>
      </c>
      <c r="R31">
        <f>Tabla1[[#This Row],[entrada_prot_g_l]]*Tabla1[[#This Row],[entrada_litros]]/1000</f>
        <v>191.62280999999999</v>
      </c>
      <c r="S31">
        <f>Tabla1[[#This Row],[cuba_fab_litros]]*Tabla1[[#This Row],[cuba_fab_grasa_g_l]]/1000</f>
        <v>204.18707999999998</v>
      </c>
      <c r="T31">
        <f>Tabla1[[#This Row],[cuba_fab_litros]]*Tabla1[[#This Row],[cuba_fab_prot_g_l]]/1000</f>
        <v>173.26488000000001</v>
      </c>
      <c r="U31">
        <f>Tabla1[[#This Row],[queso_kg]]*Tabla1[[#This Row],[queso_est_pct]]/100</f>
        <v>331.54867999999993</v>
      </c>
      <c r="V31">
        <f>Tabla1[[#This Row],[queso_kg]]*Tabla1[[#This Row],[queso_mg_pct]]/100</f>
        <v>174.74203999999997</v>
      </c>
      <c r="W31">
        <f>Tabla1[[#This Row],[queso_est_kg]]-Tabla1[[#This Row],[queso_mg_kg]]</f>
        <v>156.80663999999996</v>
      </c>
      <c r="X31">
        <f>_xlfn.ISOWEEKNUM(Tabla1[[#This Row],[fecha]])</f>
        <v>5</v>
      </c>
      <c r="Y31">
        <v>5</v>
      </c>
      <c r="Z31" s="7">
        <f>Tabla1[[#This Row],[suero_litros]]*Tabla1[[#This Row],[suero_grasa_g_l]]/1000</f>
        <v>28.826280000000001</v>
      </c>
      <c r="AA31" s="7">
        <f>Tabla1[[#This Row],[suero_litros]]*Tabla1[[#This Row],[suero_prot_g_l]]/1000</f>
        <v>22.759919999999997</v>
      </c>
      <c r="AB31" s="7">
        <f>Tabla1[[#This Row],[suero_est_g_l]]*Tabla1[[#This Row],[suero_litros]]/1000</f>
        <v>275.37732</v>
      </c>
    </row>
    <row r="32" spans="1:28" x14ac:dyDescent="0.25">
      <c r="A32" s="1">
        <v>45321</v>
      </c>
      <c r="B32">
        <v>5557</v>
      </c>
      <c r="C32">
        <v>5395</v>
      </c>
      <c r="D32">
        <v>42.27</v>
      </c>
      <c r="E32">
        <v>34.75</v>
      </c>
      <c r="F32">
        <v>5026</v>
      </c>
      <c r="G32">
        <v>40.49</v>
      </c>
      <c r="H32">
        <v>33.549999999999997</v>
      </c>
      <c r="I32">
        <v>6340</v>
      </c>
      <c r="J32">
        <v>666.51</v>
      </c>
      <c r="K32">
        <v>51.75</v>
      </c>
      <c r="L32">
        <v>27.2</v>
      </c>
      <c r="M32">
        <v>4400</v>
      </c>
      <c r="N32">
        <v>4.99</v>
      </c>
      <c r="O32">
        <v>4.01</v>
      </c>
      <c r="P32">
        <v>59.58</v>
      </c>
      <c r="Q32">
        <f>Tabla1[[#This Row],[entrada_litros]]*Tabla1[[#This Row],[entrada_grasa_g_l]]/1000</f>
        <v>228.04665000000003</v>
      </c>
      <c r="R32">
        <f>Tabla1[[#This Row],[entrada_prot_g_l]]*Tabla1[[#This Row],[entrada_litros]]/1000</f>
        <v>187.47624999999999</v>
      </c>
      <c r="S32">
        <f>Tabla1[[#This Row],[cuba_fab_litros]]*Tabla1[[#This Row],[cuba_fab_grasa_g_l]]/1000</f>
        <v>203.50274000000002</v>
      </c>
      <c r="T32">
        <f>Tabla1[[#This Row],[cuba_fab_litros]]*Tabla1[[#This Row],[cuba_fab_prot_g_l]]/1000</f>
        <v>168.6223</v>
      </c>
      <c r="U32">
        <f>Tabla1[[#This Row],[queso_kg]]*Tabla1[[#This Row],[queso_est_pct]]/100</f>
        <v>344.918925</v>
      </c>
      <c r="V32">
        <f>Tabla1[[#This Row],[queso_kg]]*Tabla1[[#This Row],[queso_mg_pct]]/100</f>
        <v>181.29071999999999</v>
      </c>
      <c r="W32">
        <f>Tabla1[[#This Row],[queso_est_kg]]-Tabla1[[#This Row],[queso_mg_kg]]</f>
        <v>163.62820500000001</v>
      </c>
      <c r="X32">
        <f>_xlfn.ISOWEEKNUM(Tabla1[[#This Row],[fecha]])</f>
        <v>5</v>
      </c>
      <c r="Y32">
        <v>5</v>
      </c>
      <c r="Z32" s="7">
        <f>Tabla1[[#This Row],[suero_litros]]*Tabla1[[#This Row],[suero_grasa_g_l]]/1000</f>
        <v>21.956</v>
      </c>
      <c r="AA32" s="7">
        <f>Tabla1[[#This Row],[suero_litros]]*Tabla1[[#This Row],[suero_prot_g_l]]/1000</f>
        <v>17.643999999999998</v>
      </c>
      <c r="AB32" s="7">
        <f>Tabla1[[#This Row],[suero_est_g_l]]*Tabla1[[#This Row],[suero_litros]]/1000</f>
        <v>262.15199999999999</v>
      </c>
    </row>
    <row r="33" spans="1:28" x14ac:dyDescent="0.25">
      <c r="A33" s="1">
        <v>45322</v>
      </c>
      <c r="B33">
        <v>5324</v>
      </c>
      <c r="C33">
        <v>5169</v>
      </c>
      <c r="D33">
        <v>42.86</v>
      </c>
      <c r="E33">
        <v>33.4</v>
      </c>
      <c r="F33">
        <v>5029</v>
      </c>
      <c r="G33">
        <v>40.549999999999997</v>
      </c>
      <c r="H33">
        <v>33.24</v>
      </c>
      <c r="I33">
        <v>6509</v>
      </c>
      <c r="J33">
        <v>662.04</v>
      </c>
      <c r="K33">
        <v>50.4</v>
      </c>
      <c r="L33">
        <v>25.84</v>
      </c>
      <c r="M33">
        <v>4408</v>
      </c>
      <c r="N33">
        <v>7.38</v>
      </c>
      <c r="O33">
        <v>3.69</v>
      </c>
      <c r="P33">
        <v>61.58</v>
      </c>
      <c r="Q33">
        <f>Tabla1[[#This Row],[entrada_litros]]*Tabla1[[#This Row],[entrada_grasa_g_l]]/1000</f>
        <v>221.54334</v>
      </c>
      <c r="R33">
        <f>Tabla1[[#This Row],[entrada_prot_g_l]]*Tabla1[[#This Row],[entrada_litros]]/1000</f>
        <v>172.6446</v>
      </c>
      <c r="S33">
        <f>Tabla1[[#This Row],[cuba_fab_litros]]*Tabla1[[#This Row],[cuba_fab_grasa_g_l]]/1000</f>
        <v>203.92594999999997</v>
      </c>
      <c r="T33">
        <f>Tabla1[[#This Row],[cuba_fab_litros]]*Tabla1[[#This Row],[cuba_fab_prot_g_l]]/1000</f>
        <v>167.16396000000003</v>
      </c>
      <c r="U33">
        <f>Tabla1[[#This Row],[queso_kg]]*Tabla1[[#This Row],[queso_est_pct]]/100</f>
        <v>333.66816</v>
      </c>
      <c r="V33">
        <f>Tabla1[[#This Row],[queso_kg]]*Tabla1[[#This Row],[queso_mg_pct]]/100</f>
        <v>171.071136</v>
      </c>
      <c r="W33">
        <f>Tabla1[[#This Row],[queso_est_kg]]-Tabla1[[#This Row],[queso_mg_kg]]</f>
        <v>162.597024</v>
      </c>
      <c r="X33">
        <f>_xlfn.ISOWEEKNUM(Tabla1[[#This Row],[fecha]])</f>
        <v>5</v>
      </c>
      <c r="Y33">
        <v>5</v>
      </c>
      <c r="Z33" s="7">
        <f>Tabla1[[#This Row],[suero_litros]]*Tabla1[[#This Row],[suero_grasa_g_l]]/1000</f>
        <v>32.531040000000004</v>
      </c>
      <c r="AA33" s="7">
        <f>Tabla1[[#This Row],[suero_litros]]*Tabla1[[#This Row],[suero_prot_g_l]]/1000</f>
        <v>16.265520000000002</v>
      </c>
      <c r="AB33" s="7">
        <f>Tabla1[[#This Row],[suero_est_g_l]]*Tabla1[[#This Row],[suero_litros]]/1000</f>
        <v>271.44463999999999</v>
      </c>
    </row>
    <row r="34" spans="1:28" x14ac:dyDescent="0.25">
      <c r="A34" s="1">
        <v>45323</v>
      </c>
      <c r="B34">
        <v>5446</v>
      </c>
      <c r="C34">
        <v>5287</v>
      </c>
      <c r="D34">
        <v>44.34</v>
      </c>
      <c r="E34">
        <v>34.67</v>
      </c>
      <c r="F34">
        <v>5030</v>
      </c>
      <c r="G34">
        <v>41.26</v>
      </c>
      <c r="H34">
        <v>33.11</v>
      </c>
      <c r="I34">
        <v>6796</v>
      </c>
      <c r="J34">
        <v>601.17999999999995</v>
      </c>
      <c r="K34">
        <v>51.97</v>
      </c>
      <c r="L34">
        <v>27.84</v>
      </c>
      <c r="M34">
        <v>4468</v>
      </c>
      <c r="N34">
        <v>8.85</v>
      </c>
      <c r="O34">
        <v>5.81</v>
      </c>
      <c r="P34">
        <v>65.739999999999995</v>
      </c>
      <c r="Q34">
        <f>Tabla1[[#This Row],[entrada_litros]]*Tabla1[[#This Row],[entrada_grasa_g_l]]/1000</f>
        <v>234.42558000000002</v>
      </c>
      <c r="R34">
        <f>Tabla1[[#This Row],[entrada_prot_g_l]]*Tabla1[[#This Row],[entrada_litros]]/1000</f>
        <v>183.30029000000002</v>
      </c>
      <c r="S34">
        <f>Tabla1[[#This Row],[cuba_fab_litros]]*Tabla1[[#This Row],[cuba_fab_grasa_g_l]]/1000</f>
        <v>207.53779999999998</v>
      </c>
      <c r="T34">
        <f>Tabla1[[#This Row],[cuba_fab_litros]]*Tabla1[[#This Row],[cuba_fab_prot_g_l]]/1000</f>
        <v>166.54329999999999</v>
      </c>
      <c r="U34">
        <f>Tabla1[[#This Row],[queso_kg]]*Tabla1[[#This Row],[queso_est_pct]]/100</f>
        <v>312.43324599999994</v>
      </c>
      <c r="V34">
        <f>Tabla1[[#This Row],[queso_kg]]*Tabla1[[#This Row],[queso_mg_pct]]/100</f>
        <v>167.36851199999998</v>
      </c>
      <c r="W34">
        <f>Tabla1[[#This Row],[queso_est_kg]]-Tabla1[[#This Row],[queso_mg_kg]]</f>
        <v>145.06473399999996</v>
      </c>
      <c r="X34">
        <f>_xlfn.ISOWEEKNUM(Tabla1[[#This Row],[fecha]])</f>
        <v>5</v>
      </c>
      <c r="Y34">
        <v>5</v>
      </c>
      <c r="Z34" s="7">
        <f>Tabla1[[#This Row],[suero_litros]]*Tabla1[[#This Row],[suero_grasa_g_l]]/1000</f>
        <v>39.541799999999995</v>
      </c>
      <c r="AA34" s="7">
        <f>Tabla1[[#This Row],[suero_litros]]*Tabla1[[#This Row],[suero_prot_g_l]]/1000</f>
        <v>25.959079999999997</v>
      </c>
      <c r="AB34" s="7">
        <f>Tabla1[[#This Row],[suero_est_g_l]]*Tabla1[[#This Row],[suero_litros]]/1000</f>
        <v>293.72631999999993</v>
      </c>
    </row>
    <row r="35" spans="1:28" x14ac:dyDescent="0.25">
      <c r="A35" s="1">
        <v>45324</v>
      </c>
      <c r="B35">
        <v>0</v>
      </c>
      <c r="C35">
        <v>0</v>
      </c>
      <c r="D35">
        <v>0</v>
      </c>
      <c r="E35">
        <v>0</v>
      </c>
      <c r="F35">
        <v>6827</v>
      </c>
      <c r="G35">
        <v>41.77</v>
      </c>
      <c r="H35">
        <v>33.06</v>
      </c>
      <c r="I35">
        <v>0</v>
      </c>
      <c r="J35">
        <v>861.92</v>
      </c>
      <c r="K35">
        <v>53.25</v>
      </c>
      <c r="L35">
        <v>27.45</v>
      </c>
      <c r="M35">
        <v>6019</v>
      </c>
      <c r="N35">
        <v>8.01</v>
      </c>
      <c r="O35">
        <v>4.09</v>
      </c>
      <c r="P35">
        <v>64.040000000000006</v>
      </c>
      <c r="Q35">
        <f>Tabla1[[#This Row],[entrada_litros]]*Tabla1[[#This Row],[entrada_grasa_g_l]]/1000</f>
        <v>0</v>
      </c>
      <c r="R35">
        <f>Tabla1[[#This Row],[entrada_prot_g_l]]*Tabla1[[#This Row],[entrada_litros]]/1000</f>
        <v>0</v>
      </c>
      <c r="S35">
        <f>Tabla1[[#This Row],[cuba_fab_litros]]*Tabla1[[#This Row],[cuba_fab_grasa_g_l]]/1000</f>
        <v>285.16379000000006</v>
      </c>
      <c r="T35">
        <f>Tabla1[[#This Row],[cuba_fab_litros]]*Tabla1[[#This Row],[cuba_fab_prot_g_l]]/1000</f>
        <v>225.70062000000001</v>
      </c>
      <c r="U35">
        <f>Tabla1[[#This Row],[queso_kg]]*Tabla1[[#This Row],[queso_est_pct]]/100</f>
        <v>458.97239999999999</v>
      </c>
      <c r="V35">
        <f>Tabla1[[#This Row],[queso_kg]]*Tabla1[[#This Row],[queso_mg_pct]]/100</f>
        <v>236.59703999999999</v>
      </c>
      <c r="W35">
        <f>Tabla1[[#This Row],[queso_est_kg]]-Tabla1[[#This Row],[queso_mg_kg]]</f>
        <v>222.37536</v>
      </c>
      <c r="X35">
        <f>_xlfn.ISOWEEKNUM(Tabla1[[#This Row],[fecha]])</f>
        <v>5</v>
      </c>
      <c r="Y35">
        <v>5</v>
      </c>
      <c r="Z35" s="7">
        <f>Tabla1[[#This Row],[suero_litros]]*Tabla1[[#This Row],[suero_grasa_g_l]]/1000</f>
        <v>48.21219</v>
      </c>
      <c r="AA35" s="7">
        <f>Tabla1[[#This Row],[suero_litros]]*Tabla1[[#This Row],[suero_prot_g_l]]/1000</f>
        <v>24.617709999999999</v>
      </c>
      <c r="AB35" s="7">
        <f>Tabla1[[#This Row],[suero_est_g_l]]*Tabla1[[#This Row],[suero_litros]]/1000</f>
        <v>385.45676000000003</v>
      </c>
    </row>
    <row r="36" spans="1:28" x14ac:dyDescent="0.25">
      <c r="A36" s="1">
        <v>45325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f>Tabla1[[#This Row],[entrada_litros]]*Tabla1[[#This Row],[entrada_grasa_g_l]]/1000</f>
        <v>0</v>
      </c>
      <c r="R36">
        <f>Tabla1[[#This Row],[entrada_prot_g_l]]*Tabla1[[#This Row],[entrada_litros]]/1000</f>
        <v>0</v>
      </c>
      <c r="S36">
        <f>Tabla1[[#This Row],[cuba_fab_litros]]*Tabla1[[#This Row],[cuba_fab_grasa_g_l]]/1000</f>
        <v>0</v>
      </c>
      <c r="T36">
        <f>Tabla1[[#This Row],[cuba_fab_litros]]*Tabla1[[#This Row],[cuba_fab_prot_g_l]]/1000</f>
        <v>0</v>
      </c>
      <c r="U36">
        <f>Tabla1[[#This Row],[queso_kg]]*Tabla1[[#This Row],[queso_est_pct]]/100</f>
        <v>0</v>
      </c>
      <c r="V36">
        <f>Tabla1[[#This Row],[queso_kg]]*Tabla1[[#This Row],[queso_mg_pct]]/100</f>
        <v>0</v>
      </c>
      <c r="W36">
        <f>Tabla1[[#This Row],[queso_est_kg]]-Tabla1[[#This Row],[queso_mg_kg]]</f>
        <v>0</v>
      </c>
      <c r="X36">
        <f>_xlfn.ISOWEEKNUM(Tabla1[[#This Row],[fecha]])</f>
        <v>5</v>
      </c>
      <c r="Y36">
        <v>5</v>
      </c>
      <c r="Z36" s="7">
        <f>Tabla1[[#This Row],[suero_litros]]*Tabla1[[#This Row],[suero_grasa_g_l]]/1000</f>
        <v>0</v>
      </c>
      <c r="AA36" s="7">
        <f>Tabla1[[#This Row],[suero_litros]]*Tabla1[[#This Row],[suero_prot_g_l]]/1000</f>
        <v>0</v>
      </c>
      <c r="AB36" s="7">
        <f>Tabla1[[#This Row],[suero_est_g_l]]*Tabla1[[#This Row],[suero_litros]]/1000</f>
        <v>0</v>
      </c>
    </row>
    <row r="37" spans="1:28" x14ac:dyDescent="0.25">
      <c r="A37" s="1">
        <v>45326</v>
      </c>
      <c r="B37">
        <v>4994</v>
      </c>
      <c r="C37">
        <v>4849</v>
      </c>
      <c r="D37">
        <v>44.74</v>
      </c>
      <c r="E37">
        <v>36.700000000000003</v>
      </c>
      <c r="F37">
        <v>0</v>
      </c>
      <c r="G37">
        <v>0</v>
      </c>
      <c r="H37">
        <v>0</v>
      </c>
      <c r="I37">
        <v>4849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f>Tabla1[[#This Row],[entrada_litros]]*Tabla1[[#This Row],[entrada_grasa_g_l]]/1000</f>
        <v>216.94426000000001</v>
      </c>
      <c r="R37">
        <f>Tabla1[[#This Row],[entrada_prot_g_l]]*Tabla1[[#This Row],[entrada_litros]]/1000</f>
        <v>177.95830000000001</v>
      </c>
      <c r="S37">
        <f>Tabla1[[#This Row],[cuba_fab_litros]]*Tabla1[[#This Row],[cuba_fab_grasa_g_l]]/1000</f>
        <v>0</v>
      </c>
      <c r="T37">
        <f>Tabla1[[#This Row],[cuba_fab_litros]]*Tabla1[[#This Row],[cuba_fab_prot_g_l]]/1000</f>
        <v>0</v>
      </c>
      <c r="U37">
        <f>Tabla1[[#This Row],[queso_kg]]*Tabla1[[#This Row],[queso_est_pct]]/100</f>
        <v>0</v>
      </c>
      <c r="V37">
        <f>Tabla1[[#This Row],[queso_kg]]*Tabla1[[#This Row],[queso_mg_pct]]/100</f>
        <v>0</v>
      </c>
      <c r="W37">
        <f>Tabla1[[#This Row],[queso_est_kg]]-Tabla1[[#This Row],[queso_mg_kg]]</f>
        <v>0</v>
      </c>
      <c r="X37">
        <f>_xlfn.ISOWEEKNUM(Tabla1[[#This Row],[fecha]])</f>
        <v>5</v>
      </c>
      <c r="Y37">
        <v>6</v>
      </c>
      <c r="Z37" s="7">
        <f>Tabla1[[#This Row],[suero_litros]]*Tabla1[[#This Row],[suero_grasa_g_l]]/1000</f>
        <v>0</v>
      </c>
      <c r="AA37" s="7">
        <f>Tabla1[[#This Row],[suero_litros]]*Tabla1[[#This Row],[suero_prot_g_l]]/1000</f>
        <v>0</v>
      </c>
      <c r="AB37" s="7">
        <f>Tabla1[[#This Row],[suero_est_g_l]]*Tabla1[[#This Row],[suero_litros]]/1000</f>
        <v>0</v>
      </c>
    </row>
    <row r="38" spans="1:28" x14ac:dyDescent="0.25">
      <c r="A38" s="1">
        <v>45327</v>
      </c>
      <c r="B38">
        <v>5428</v>
      </c>
      <c r="C38">
        <v>5270</v>
      </c>
      <c r="D38">
        <v>41.25</v>
      </c>
      <c r="E38">
        <v>35.89</v>
      </c>
      <c r="F38">
        <v>5020</v>
      </c>
      <c r="G38">
        <v>41.22</v>
      </c>
      <c r="H38">
        <v>34.770000000000003</v>
      </c>
      <c r="I38">
        <v>5119</v>
      </c>
      <c r="J38">
        <v>623.04999999999995</v>
      </c>
      <c r="K38">
        <v>54.53</v>
      </c>
      <c r="L38">
        <v>27.7</v>
      </c>
      <c r="M38">
        <v>4437</v>
      </c>
      <c r="N38">
        <v>7.53</v>
      </c>
      <c r="O38">
        <v>6.58</v>
      </c>
      <c r="P38">
        <v>65.819999999999993</v>
      </c>
      <c r="Q38">
        <f>Tabla1[[#This Row],[entrada_litros]]*Tabla1[[#This Row],[entrada_grasa_g_l]]/1000</f>
        <v>217.38749999999999</v>
      </c>
      <c r="R38">
        <f>Tabla1[[#This Row],[entrada_prot_g_l]]*Tabla1[[#This Row],[entrada_litros]]/1000</f>
        <v>189.14030000000002</v>
      </c>
      <c r="S38">
        <f>Tabla1[[#This Row],[cuba_fab_litros]]*Tabla1[[#This Row],[cuba_fab_grasa_g_l]]/1000</f>
        <v>206.92439999999999</v>
      </c>
      <c r="T38">
        <f>Tabla1[[#This Row],[cuba_fab_litros]]*Tabla1[[#This Row],[cuba_fab_prot_g_l]]/1000</f>
        <v>174.54540000000003</v>
      </c>
      <c r="U38">
        <f>Tabla1[[#This Row],[queso_kg]]*Tabla1[[#This Row],[queso_est_pct]]/100</f>
        <v>339.749165</v>
      </c>
      <c r="V38">
        <f>Tabla1[[#This Row],[queso_kg]]*Tabla1[[#This Row],[queso_mg_pct]]/100</f>
        <v>172.58484999999996</v>
      </c>
      <c r="W38">
        <f>Tabla1[[#This Row],[queso_est_kg]]-Tabla1[[#This Row],[queso_mg_kg]]</f>
        <v>167.16431500000004</v>
      </c>
      <c r="X38">
        <f>_xlfn.ISOWEEKNUM(Tabla1[[#This Row],[fecha]])</f>
        <v>6</v>
      </c>
      <c r="Y38">
        <v>6</v>
      </c>
      <c r="Z38" s="7">
        <f>Tabla1[[#This Row],[suero_litros]]*Tabla1[[#This Row],[suero_grasa_g_l]]/1000</f>
        <v>33.410609999999998</v>
      </c>
      <c r="AA38" s="7">
        <f>Tabla1[[#This Row],[suero_litros]]*Tabla1[[#This Row],[suero_prot_g_l]]/1000</f>
        <v>29.195460000000001</v>
      </c>
      <c r="AB38" s="7">
        <f>Tabla1[[#This Row],[suero_est_g_l]]*Tabla1[[#This Row],[suero_litros]]/1000</f>
        <v>292.04333999999994</v>
      </c>
    </row>
    <row r="39" spans="1:28" x14ac:dyDescent="0.25">
      <c r="A39" s="1">
        <v>45328</v>
      </c>
      <c r="B39">
        <v>4771</v>
      </c>
      <c r="C39">
        <v>4632</v>
      </c>
      <c r="D39">
        <v>40.869999999999997</v>
      </c>
      <c r="E39">
        <v>36.33</v>
      </c>
      <c r="F39">
        <v>5027</v>
      </c>
      <c r="G39">
        <v>40.03</v>
      </c>
      <c r="H39">
        <v>34.47</v>
      </c>
      <c r="I39">
        <v>4751</v>
      </c>
      <c r="J39">
        <v>638.84</v>
      </c>
      <c r="K39">
        <v>50.52</v>
      </c>
      <c r="L39">
        <v>26.28</v>
      </c>
      <c r="M39">
        <v>4428</v>
      </c>
      <c r="N39">
        <v>7.39</v>
      </c>
      <c r="O39">
        <v>5.33</v>
      </c>
      <c r="P39">
        <v>64.44</v>
      </c>
      <c r="Q39">
        <f>Tabla1[[#This Row],[entrada_litros]]*Tabla1[[#This Row],[entrada_grasa_g_l]]/1000</f>
        <v>189.30984000000001</v>
      </c>
      <c r="R39">
        <f>Tabla1[[#This Row],[entrada_prot_g_l]]*Tabla1[[#This Row],[entrada_litros]]/1000</f>
        <v>168.28056000000001</v>
      </c>
      <c r="S39">
        <f>Tabla1[[#This Row],[cuba_fab_litros]]*Tabla1[[#This Row],[cuba_fab_grasa_g_l]]/1000</f>
        <v>201.23080999999999</v>
      </c>
      <c r="T39">
        <f>Tabla1[[#This Row],[cuba_fab_litros]]*Tabla1[[#This Row],[cuba_fab_prot_g_l]]/1000</f>
        <v>173.28068999999999</v>
      </c>
      <c r="U39">
        <f>Tabla1[[#This Row],[queso_kg]]*Tabla1[[#This Row],[queso_est_pct]]/100</f>
        <v>322.74196800000004</v>
      </c>
      <c r="V39">
        <f>Tabla1[[#This Row],[queso_kg]]*Tabla1[[#This Row],[queso_mg_pct]]/100</f>
        <v>167.88715200000001</v>
      </c>
      <c r="W39">
        <f>Tabla1[[#This Row],[queso_est_kg]]-Tabla1[[#This Row],[queso_mg_kg]]</f>
        <v>154.85481600000003</v>
      </c>
      <c r="X39">
        <f>_xlfn.ISOWEEKNUM(Tabla1[[#This Row],[fecha]])</f>
        <v>6</v>
      </c>
      <c r="Y39">
        <v>6</v>
      </c>
      <c r="Z39" s="7">
        <f>Tabla1[[#This Row],[suero_litros]]*Tabla1[[#This Row],[suero_grasa_g_l]]/1000</f>
        <v>32.722919999999995</v>
      </c>
      <c r="AA39" s="7">
        <f>Tabla1[[#This Row],[suero_litros]]*Tabla1[[#This Row],[suero_prot_g_l]]/1000</f>
        <v>23.601240000000001</v>
      </c>
      <c r="AB39" s="7">
        <f>Tabla1[[#This Row],[suero_est_g_l]]*Tabla1[[#This Row],[suero_litros]]/1000</f>
        <v>285.34032000000002</v>
      </c>
    </row>
    <row r="40" spans="1:28" x14ac:dyDescent="0.25">
      <c r="A40" s="1">
        <v>45329</v>
      </c>
      <c r="B40">
        <v>4823</v>
      </c>
      <c r="C40">
        <v>4683</v>
      </c>
      <c r="D40">
        <v>44.6</v>
      </c>
      <c r="E40">
        <v>34.729999999999997</v>
      </c>
      <c r="F40">
        <v>5034</v>
      </c>
      <c r="G40">
        <v>41.46</v>
      </c>
      <c r="H40">
        <v>33.880000000000003</v>
      </c>
      <c r="I40">
        <v>4434</v>
      </c>
      <c r="J40">
        <v>614.52</v>
      </c>
      <c r="K40">
        <v>52.44</v>
      </c>
      <c r="L40">
        <v>26.62</v>
      </c>
      <c r="M40">
        <v>4459</v>
      </c>
      <c r="N40">
        <v>9.89</v>
      </c>
      <c r="O40">
        <v>6.06</v>
      </c>
      <c r="P40">
        <v>67.459999999999994</v>
      </c>
      <c r="Q40">
        <f>Tabla1[[#This Row],[entrada_litros]]*Tabla1[[#This Row],[entrada_grasa_g_l]]/1000</f>
        <v>208.86180000000002</v>
      </c>
      <c r="R40">
        <f>Tabla1[[#This Row],[entrada_prot_g_l]]*Tabla1[[#This Row],[entrada_litros]]/1000</f>
        <v>162.64059</v>
      </c>
      <c r="S40">
        <f>Tabla1[[#This Row],[cuba_fab_litros]]*Tabla1[[#This Row],[cuba_fab_grasa_g_l]]/1000</f>
        <v>208.70964000000001</v>
      </c>
      <c r="T40">
        <f>Tabla1[[#This Row],[cuba_fab_litros]]*Tabla1[[#This Row],[cuba_fab_prot_g_l]]/1000</f>
        <v>170.55192000000002</v>
      </c>
      <c r="U40">
        <f>Tabla1[[#This Row],[queso_kg]]*Tabla1[[#This Row],[queso_est_pct]]/100</f>
        <v>322.25428799999997</v>
      </c>
      <c r="V40">
        <f>Tabla1[[#This Row],[queso_kg]]*Tabla1[[#This Row],[queso_mg_pct]]/100</f>
        <v>163.58522400000001</v>
      </c>
      <c r="W40">
        <f>Tabla1[[#This Row],[queso_est_kg]]-Tabla1[[#This Row],[queso_mg_kg]]</f>
        <v>158.66906399999996</v>
      </c>
      <c r="X40">
        <f>_xlfn.ISOWEEKNUM(Tabla1[[#This Row],[fecha]])</f>
        <v>6</v>
      </c>
      <c r="Y40">
        <v>6</v>
      </c>
      <c r="Z40" s="7">
        <f>Tabla1[[#This Row],[suero_litros]]*Tabla1[[#This Row],[suero_grasa_g_l]]/1000</f>
        <v>44.099510000000002</v>
      </c>
      <c r="AA40" s="7">
        <f>Tabla1[[#This Row],[suero_litros]]*Tabla1[[#This Row],[suero_prot_g_l]]/1000</f>
        <v>27.021539999999998</v>
      </c>
      <c r="AB40" s="7">
        <f>Tabla1[[#This Row],[suero_est_g_l]]*Tabla1[[#This Row],[suero_litros]]/1000</f>
        <v>300.80413999999996</v>
      </c>
    </row>
    <row r="41" spans="1:28" x14ac:dyDescent="0.25">
      <c r="A41" s="1">
        <v>45330</v>
      </c>
      <c r="B41">
        <v>5276</v>
      </c>
      <c r="C41">
        <v>5122</v>
      </c>
      <c r="D41">
        <v>42.11</v>
      </c>
      <c r="E41">
        <v>36.159999999999997</v>
      </c>
      <c r="F41">
        <v>5016</v>
      </c>
      <c r="G41">
        <v>40.619999999999997</v>
      </c>
      <c r="H41">
        <v>34.32</v>
      </c>
      <c r="I41">
        <v>4556</v>
      </c>
      <c r="J41">
        <v>599.02</v>
      </c>
      <c r="K41">
        <v>55.19</v>
      </c>
      <c r="L41">
        <v>28.65</v>
      </c>
      <c r="M41">
        <v>4456</v>
      </c>
      <c r="N41">
        <v>7.11</v>
      </c>
      <c r="O41">
        <v>7.52</v>
      </c>
      <c r="P41">
        <v>65.739999999999995</v>
      </c>
      <c r="Q41">
        <f>Tabla1[[#This Row],[entrada_litros]]*Tabla1[[#This Row],[entrada_grasa_g_l]]/1000</f>
        <v>215.68741999999997</v>
      </c>
      <c r="R41">
        <f>Tabla1[[#This Row],[entrada_prot_g_l]]*Tabla1[[#This Row],[entrada_litros]]/1000</f>
        <v>185.21151999999998</v>
      </c>
      <c r="S41">
        <f>Tabla1[[#This Row],[cuba_fab_litros]]*Tabla1[[#This Row],[cuba_fab_grasa_g_l]]/1000</f>
        <v>203.74991999999997</v>
      </c>
      <c r="T41">
        <f>Tabla1[[#This Row],[cuba_fab_litros]]*Tabla1[[#This Row],[cuba_fab_prot_g_l]]/1000</f>
        <v>172.14911999999998</v>
      </c>
      <c r="U41">
        <f>Tabla1[[#This Row],[queso_kg]]*Tabla1[[#This Row],[queso_est_pct]]/100</f>
        <v>330.59913799999993</v>
      </c>
      <c r="V41">
        <f>Tabla1[[#This Row],[queso_kg]]*Tabla1[[#This Row],[queso_mg_pct]]/100</f>
        <v>171.61922999999999</v>
      </c>
      <c r="W41">
        <f>Tabla1[[#This Row],[queso_est_kg]]-Tabla1[[#This Row],[queso_mg_kg]]</f>
        <v>158.97990799999994</v>
      </c>
      <c r="X41">
        <f>_xlfn.ISOWEEKNUM(Tabla1[[#This Row],[fecha]])</f>
        <v>6</v>
      </c>
      <c r="Y41">
        <v>6</v>
      </c>
      <c r="Z41" s="7">
        <f>Tabla1[[#This Row],[suero_litros]]*Tabla1[[#This Row],[suero_grasa_g_l]]/1000</f>
        <v>31.68216</v>
      </c>
      <c r="AA41" s="7">
        <f>Tabla1[[#This Row],[suero_litros]]*Tabla1[[#This Row],[suero_prot_g_l]]/1000</f>
        <v>33.509119999999996</v>
      </c>
      <c r="AB41" s="7">
        <f>Tabla1[[#This Row],[suero_est_g_l]]*Tabla1[[#This Row],[suero_litros]]/1000</f>
        <v>292.93743999999998</v>
      </c>
    </row>
    <row r="42" spans="1:28" x14ac:dyDescent="0.25">
      <c r="A42" s="1">
        <v>45331</v>
      </c>
      <c r="B42">
        <v>0</v>
      </c>
      <c r="C42">
        <v>0</v>
      </c>
      <c r="D42">
        <v>0</v>
      </c>
      <c r="E42">
        <v>0</v>
      </c>
      <c r="F42">
        <v>4578</v>
      </c>
      <c r="G42">
        <v>40.869999999999997</v>
      </c>
      <c r="H42">
        <v>34.39</v>
      </c>
      <c r="I42">
        <v>0</v>
      </c>
      <c r="J42">
        <v>578.47</v>
      </c>
      <c r="K42">
        <v>51.97</v>
      </c>
      <c r="L42">
        <v>27.14</v>
      </c>
      <c r="M42">
        <v>4036</v>
      </c>
      <c r="N42">
        <v>7.36</v>
      </c>
      <c r="O42">
        <v>6.39</v>
      </c>
      <c r="P42">
        <v>64.150000000000006</v>
      </c>
      <c r="Q42">
        <f>Tabla1[[#This Row],[entrada_litros]]*Tabla1[[#This Row],[entrada_grasa_g_l]]/1000</f>
        <v>0</v>
      </c>
      <c r="R42">
        <f>Tabla1[[#This Row],[entrada_prot_g_l]]*Tabla1[[#This Row],[entrada_litros]]/1000</f>
        <v>0</v>
      </c>
      <c r="S42">
        <f>Tabla1[[#This Row],[cuba_fab_litros]]*Tabla1[[#This Row],[cuba_fab_grasa_g_l]]/1000</f>
        <v>187.10285999999999</v>
      </c>
      <c r="T42">
        <f>Tabla1[[#This Row],[cuba_fab_litros]]*Tabla1[[#This Row],[cuba_fab_prot_g_l]]/1000</f>
        <v>157.43742</v>
      </c>
      <c r="U42">
        <f>Tabla1[[#This Row],[queso_kg]]*Tabla1[[#This Row],[queso_est_pct]]/100</f>
        <v>300.63085900000004</v>
      </c>
      <c r="V42">
        <f>Tabla1[[#This Row],[queso_kg]]*Tabla1[[#This Row],[queso_mg_pct]]/100</f>
        <v>156.996758</v>
      </c>
      <c r="W42">
        <f>Tabla1[[#This Row],[queso_est_kg]]-Tabla1[[#This Row],[queso_mg_kg]]</f>
        <v>143.63410100000004</v>
      </c>
      <c r="X42">
        <f>_xlfn.ISOWEEKNUM(Tabla1[[#This Row],[fecha]])</f>
        <v>6</v>
      </c>
      <c r="Y42">
        <v>6</v>
      </c>
      <c r="Z42" s="7">
        <f>Tabla1[[#This Row],[suero_litros]]*Tabla1[[#This Row],[suero_grasa_g_l]]/1000</f>
        <v>29.704960000000003</v>
      </c>
      <c r="AA42" s="7">
        <f>Tabla1[[#This Row],[suero_litros]]*Tabla1[[#This Row],[suero_prot_g_l]]/1000</f>
        <v>25.790039999999998</v>
      </c>
      <c r="AB42" s="7">
        <f>Tabla1[[#This Row],[suero_est_g_l]]*Tabla1[[#This Row],[suero_litros]]/1000</f>
        <v>258.90940000000001</v>
      </c>
    </row>
    <row r="43" spans="1:28" x14ac:dyDescent="0.25">
      <c r="A43" s="1">
        <v>45332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f>Tabla1[[#This Row],[entrada_litros]]*Tabla1[[#This Row],[entrada_grasa_g_l]]/1000</f>
        <v>0</v>
      </c>
      <c r="R43">
        <f>Tabla1[[#This Row],[entrada_prot_g_l]]*Tabla1[[#This Row],[entrada_litros]]/1000</f>
        <v>0</v>
      </c>
      <c r="S43">
        <f>Tabla1[[#This Row],[cuba_fab_litros]]*Tabla1[[#This Row],[cuba_fab_grasa_g_l]]/1000</f>
        <v>0</v>
      </c>
      <c r="T43">
        <f>Tabla1[[#This Row],[cuba_fab_litros]]*Tabla1[[#This Row],[cuba_fab_prot_g_l]]/1000</f>
        <v>0</v>
      </c>
      <c r="U43">
        <f>Tabla1[[#This Row],[queso_kg]]*Tabla1[[#This Row],[queso_est_pct]]/100</f>
        <v>0</v>
      </c>
      <c r="V43">
        <f>Tabla1[[#This Row],[queso_kg]]*Tabla1[[#This Row],[queso_mg_pct]]/100</f>
        <v>0</v>
      </c>
      <c r="W43">
        <f>Tabla1[[#This Row],[queso_est_kg]]-Tabla1[[#This Row],[queso_mg_kg]]</f>
        <v>0</v>
      </c>
      <c r="X43">
        <f>_xlfn.ISOWEEKNUM(Tabla1[[#This Row],[fecha]])</f>
        <v>6</v>
      </c>
      <c r="Y43">
        <v>6</v>
      </c>
      <c r="Z43" s="7">
        <f>Tabla1[[#This Row],[suero_litros]]*Tabla1[[#This Row],[suero_grasa_g_l]]/1000</f>
        <v>0</v>
      </c>
      <c r="AA43" s="7">
        <f>Tabla1[[#This Row],[suero_litros]]*Tabla1[[#This Row],[suero_prot_g_l]]/1000</f>
        <v>0</v>
      </c>
      <c r="AB43" s="7">
        <f>Tabla1[[#This Row],[suero_est_g_l]]*Tabla1[[#This Row],[suero_litros]]/1000</f>
        <v>0</v>
      </c>
    </row>
    <row r="44" spans="1:28" x14ac:dyDescent="0.25">
      <c r="A44" s="1">
        <v>45333</v>
      </c>
      <c r="B44">
        <v>4999</v>
      </c>
      <c r="C44">
        <v>4853</v>
      </c>
      <c r="D44">
        <v>40.75</v>
      </c>
      <c r="E44">
        <v>35.700000000000003</v>
      </c>
      <c r="F44">
        <v>0</v>
      </c>
      <c r="G44">
        <v>0</v>
      </c>
      <c r="H44">
        <v>0</v>
      </c>
      <c r="I44">
        <v>4853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f>Tabla1[[#This Row],[entrada_litros]]*Tabla1[[#This Row],[entrada_grasa_g_l]]/1000</f>
        <v>197.75975</v>
      </c>
      <c r="R44">
        <f>Tabla1[[#This Row],[entrada_prot_g_l]]*Tabla1[[#This Row],[entrada_litros]]/1000</f>
        <v>173.25210000000001</v>
      </c>
      <c r="S44">
        <f>Tabla1[[#This Row],[cuba_fab_litros]]*Tabla1[[#This Row],[cuba_fab_grasa_g_l]]/1000</f>
        <v>0</v>
      </c>
      <c r="T44">
        <f>Tabla1[[#This Row],[cuba_fab_litros]]*Tabla1[[#This Row],[cuba_fab_prot_g_l]]/1000</f>
        <v>0</v>
      </c>
      <c r="U44">
        <f>Tabla1[[#This Row],[queso_kg]]*Tabla1[[#This Row],[queso_est_pct]]/100</f>
        <v>0</v>
      </c>
      <c r="V44">
        <f>Tabla1[[#This Row],[queso_kg]]*Tabla1[[#This Row],[queso_mg_pct]]/100</f>
        <v>0</v>
      </c>
      <c r="W44">
        <f>Tabla1[[#This Row],[queso_est_kg]]-Tabla1[[#This Row],[queso_mg_kg]]</f>
        <v>0</v>
      </c>
      <c r="X44">
        <f>_xlfn.ISOWEEKNUM(Tabla1[[#This Row],[fecha]])</f>
        <v>6</v>
      </c>
      <c r="Y44">
        <v>7</v>
      </c>
      <c r="Z44" s="7">
        <f>Tabla1[[#This Row],[suero_litros]]*Tabla1[[#This Row],[suero_grasa_g_l]]/1000</f>
        <v>0</v>
      </c>
      <c r="AA44" s="7">
        <f>Tabla1[[#This Row],[suero_litros]]*Tabla1[[#This Row],[suero_prot_g_l]]/1000</f>
        <v>0</v>
      </c>
      <c r="AB44" s="7">
        <f>Tabla1[[#This Row],[suero_est_g_l]]*Tabla1[[#This Row],[suero_litros]]/1000</f>
        <v>0</v>
      </c>
    </row>
    <row r="45" spans="1:28" x14ac:dyDescent="0.25">
      <c r="A45" s="1">
        <v>45334</v>
      </c>
      <c r="B45">
        <v>5048</v>
      </c>
      <c r="C45">
        <v>4901</v>
      </c>
      <c r="D45">
        <v>41.73</v>
      </c>
      <c r="E45">
        <v>36.33</v>
      </c>
      <c r="F45">
        <v>5022</v>
      </c>
      <c r="G45">
        <v>39</v>
      </c>
      <c r="H45">
        <v>34.36</v>
      </c>
      <c r="I45">
        <v>4754</v>
      </c>
      <c r="J45">
        <v>581.61</v>
      </c>
      <c r="K45">
        <v>52.82</v>
      </c>
      <c r="L45">
        <v>27.39</v>
      </c>
      <c r="M45">
        <v>4479</v>
      </c>
      <c r="N45">
        <v>7.96</v>
      </c>
      <c r="O45">
        <v>8.14</v>
      </c>
      <c r="P45">
        <v>67.75</v>
      </c>
      <c r="Q45">
        <f>Tabla1[[#This Row],[entrada_litros]]*Tabla1[[#This Row],[entrada_grasa_g_l]]/1000</f>
        <v>204.51872999999998</v>
      </c>
      <c r="R45">
        <f>Tabla1[[#This Row],[entrada_prot_g_l]]*Tabla1[[#This Row],[entrada_litros]]/1000</f>
        <v>178.05332999999999</v>
      </c>
      <c r="S45">
        <f>Tabla1[[#This Row],[cuba_fab_litros]]*Tabla1[[#This Row],[cuba_fab_grasa_g_l]]/1000</f>
        <v>195.858</v>
      </c>
      <c r="T45">
        <f>Tabla1[[#This Row],[cuba_fab_litros]]*Tabla1[[#This Row],[cuba_fab_prot_g_l]]/1000</f>
        <v>172.55591999999999</v>
      </c>
      <c r="U45">
        <f>Tabla1[[#This Row],[queso_kg]]*Tabla1[[#This Row],[queso_est_pct]]/100</f>
        <v>307.20640200000003</v>
      </c>
      <c r="V45">
        <f>Tabla1[[#This Row],[queso_kg]]*Tabla1[[#This Row],[queso_mg_pct]]/100</f>
        <v>159.30297900000002</v>
      </c>
      <c r="W45">
        <f>Tabla1[[#This Row],[queso_est_kg]]-Tabla1[[#This Row],[queso_mg_kg]]</f>
        <v>147.903423</v>
      </c>
      <c r="X45">
        <f>_xlfn.ISOWEEKNUM(Tabla1[[#This Row],[fecha]])</f>
        <v>7</v>
      </c>
      <c r="Y45">
        <v>7</v>
      </c>
      <c r="Z45" s="7">
        <f>Tabla1[[#This Row],[suero_litros]]*Tabla1[[#This Row],[suero_grasa_g_l]]/1000</f>
        <v>35.652839999999998</v>
      </c>
      <c r="AA45" s="7">
        <f>Tabla1[[#This Row],[suero_litros]]*Tabla1[[#This Row],[suero_prot_g_l]]/1000</f>
        <v>36.459060000000008</v>
      </c>
      <c r="AB45" s="7">
        <f>Tabla1[[#This Row],[suero_est_g_l]]*Tabla1[[#This Row],[suero_litros]]/1000</f>
        <v>303.45224999999999</v>
      </c>
    </row>
    <row r="46" spans="1:28" x14ac:dyDescent="0.25">
      <c r="A46" s="1">
        <v>45335</v>
      </c>
      <c r="B46">
        <v>5086</v>
      </c>
      <c r="C46">
        <v>4938</v>
      </c>
      <c r="D46">
        <v>44.36</v>
      </c>
      <c r="E46">
        <v>34.96</v>
      </c>
      <c r="F46">
        <v>5020</v>
      </c>
      <c r="G46">
        <v>41.08</v>
      </c>
      <c r="H46">
        <v>33.880000000000003</v>
      </c>
      <c r="I46">
        <v>4692</v>
      </c>
      <c r="J46">
        <v>589.35</v>
      </c>
      <c r="K46">
        <v>53.89</v>
      </c>
      <c r="L46">
        <v>27.87</v>
      </c>
      <c r="M46">
        <v>4470</v>
      </c>
      <c r="N46">
        <v>9.26</v>
      </c>
      <c r="O46">
        <v>6.9</v>
      </c>
      <c r="P46">
        <v>66.66</v>
      </c>
      <c r="Q46">
        <f>Tabla1[[#This Row],[entrada_litros]]*Tabla1[[#This Row],[entrada_grasa_g_l]]/1000</f>
        <v>219.04968</v>
      </c>
      <c r="R46">
        <f>Tabla1[[#This Row],[entrada_prot_g_l]]*Tabla1[[#This Row],[entrada_litros]]/1000</f>
        <v>172.63248000000002</v>
      </c>
      <c r="S46">
        <f>Tabla1[[#This Row],[cuba_fab_litros]]*Tabla1[[#This Row],[cuba_fab_grasa_g_l]]/1000</f>
        <v>206.2216</v>
      </c>
      <c r="T46">
        <f>Tabla1[[#This Row],[cuba_fab_litros]]*Tabla1[[#This Row],[cuba_fab_prot_g_l]]/1000</f>
        <v>170.07760000000002</v>
      </c>
      <c r="U46">
        <f>Tabla1[[#This Row],[queso_kg]]*Tabla1[[#This Row],[queso_est_pct]]/100</f>
        <v>317.60071500000004</v>
      </c>
      <c r="V46">
        <f>Tabla1[[#This Row],[queso_kg]]*Tabla1[[#This Row],[queso_mg_pct]]/100</f>
        <v>164.25184500000003</v>
      </c>
      <c r="W46">
        <f>Tabla1[[#This Row],[queso_est_kg]]-Tabla1[[#This Row],[queso_mg_kg]]</f>
        <v>153.34887000000001</v>
      </c>
      <c r="X46">
        <f>_xlfn.ISOWEEKNUM(Tabla1[[#This Row],[fecha]])</f>
        <v>7</v>
      </c>
      <c r="Y46">
        <v>7</v>
      </c>
      <c r="Z46" s="7">
        <f>Tabla1[[#This Row],[suero_litros]]*Tabla1[[#This Row],[suero_grasa_g_l]]/1000</f>
        <v>41.392199999999995</v>
      </c>
      <c r="AA46" s="7">
        <f>Tabla1[[#This Row],[suero_litros]]*Tabla1[[#This Row],[suero_prot_g_l]]/1000</f>
        <v>30.843</v>
      </c>
      <c r="AB46" s="7">
        <f>Tabla1[[#This Row],[suero_est_g_l]]*Tabla1[[#This Row],[suero_litros]]/1000</f>
        <v>297.97020000000003</v>
      </c>
    </row>
    <row r="47" spans="1:28" x14ac:dyDescent="0.25">
      <c r="A47" s="1">
        <v>45336</v>
      </c>
      <c r="B47">
        <v>4919</v>
      </c>
      <c r="C47">
        <v>4776</v>
      </c>
      <c r="D47">
        <v>41.72</v>
      </c>
      <c r="E47">
        <v>35.18</v>
      </c>
      <c r="F47">
        <v>5030</v>
      </c>
      <c r="G47">
        <v>40.729999999999997</v>
      </c>
      <c r="H47">
        <v>33.659999999999997</v>
      </c>
      <c r="I47">
        <v>4468</v>
      </c>
      <c r="J47">
        <v>641.27</v>
      </c>
      <c r="K47">
        <v>50.92</v>
      </c>
      <c r="L47">
        <v>26.89</v>
      </c>
      <c r="M47">
        <v>4429</v>
      </c>
      <c r="N47">
        <v>7.17</v>
      </c>
      <c r="O47">
        <v>4.17</v>
      </c>
      <c r="P47">
        <v>62.88</v>
      </c>
      <c r="Q47">
        <f>Tabla1[[#This Row],[entrada_litros]]*Tabla1[[#This Row],[entrada_grasa_g_l]]/1000</f>
        <v>199.25471999999999</v>
      </c>
      <c r="R47">
        <f>Tabla1[[#This Row],[entrada_prot_g_l]]*Tabla1[[#This Row],[entrada_litros]]/1000</f>
        <v>168.01967999999999</v>
      </c>
      <c r="S47">
        <f>Tabla1[[#This Row],[cuba_fab_litros]]*Tabla1[[#This Row],[cuba_fab_grasa_g_l]]/1000</f>
        <v>204.87189999999998</v>
      </c>
      <c r="T47">
        <f>Tabla1[[#This Row],[cuba_fab_litros]]*Tabla1[[#This Row],[cuba_fab_prot_g_l]]/1000</f>
        <v>169.3098</v>
      </c>
      <c r="U47">
        <f>Tabla1[[#This Row],[queso_kg]]*Tabla1[[#This Row],[queso_est_pct]]/100</f>
        <v>326.53468400000003</v>
      </c>
      <c r="V47">
        <f>Tabla1[[#This Row],[queso_kg]]*Tabla1[[#This Row],[queso_mg_pct]]/100</f>
        <v>172.43750299999999</v>
      </c>
      <c r="W47">
        <f>Tabla1[[#This Row],[queso_est_kg]]-Tabla1[[#This Row],[queso_mg_kg]]</f>
        <v>154.09718100000003</v>
      </c>
      <c r="X47">
        <f>_xlfn.ISOWEEKNUM(Tabla1[[#This Row],[fecha]])</f>
        <v>7</v>
      </c>
      <c r="Y47">
        <v>7</v>
      </c>
      <c r="Z47" s="7">
        <f>Tabla1[[#This Row],[suero_litros]]*Tabla1[[#This Row],[suero_grasa_g_l]]/1000</f>
        <v>31.755929999999999</v>
      </c>
      <c r="AA47" s="7">
        <f>Tabla1[[#This Row],[suero_litros]]*Tabla1[[#This Row],[suero_prot_g_l]]/1000</f>
        <v>18.46893</v>
      </c>
      <c r="AB47" s="7">
        <f>Tabla1[[#This Row],[suero_est_g_l]]*Tabla1[[#This Row],[suero_litros]]/1000</f>
        <v>278.49552</v>
      </c>
    </row>
    <row r="48" spans="1:28" x14ac:dyDescent="0.25">
      <c r="A48" s="1">
        <v>45337</v>
      </c>
      <c r="B48">
        <v>5442</v>
      </c>
      <c r="C48">
        <v>5283</v>
      </c>
      <c r="D48">
        <v>42.78</v>
      </c>
      <c r="E48">
        <v>35.81</v>
      </c>
      <c r="F48">
        <v>5018</v>
      </c>
      <c r="G48">
        <v>40.5</v>
      </c>
      <c r="H48">
        <v>33.979999999999997</v>
      </c>
      <c r="I48">
        <v>4751</v>
      </c>
      <c r="J48">
        <v>633.54</v>
      </c>
      <c r="K48">
        <v>51.17</v>
      </c>
      <c r="L48">
        <v>27.29</v>
      </c>
      <c r="M48">
        <v>4424</v>
      </c>
      <c r="N48">
        <v>6.77</v>
      </c>
      <c r="O48">
        <v>6.29</v>
      </c>
      <c r="P48">
        <v>64.459999999999994</v>
      </c>
      <c r="Q48">
        <f>Tabla1[[#This Row],[entrada_litros]]*Tabla1[[#This Row],[entrada_grasa_g_l]]/1000</f>
        <v>226.00674000000001</v>
      </c>
      <c r="R48">
        <f>Tabla1[[#This Row],[entrada_prot_g_l]]*Tabla1[[#This Row],[entrada_litros]]/1000</f>
        <v>189.18423000000001</v>
      </c>
      <c r="S48">
        <f>Tabla1[[#This Row],[cuba_fab_litros]]*Tabla1[[#This Row],[cuba_fab_grasa_g_l]]/1000</f>
        <v>203.22900000000001</v>
      </c>
      <c r="T48">
        <f>Tabla1[[#This Row],[cuba_fab_litros]]*Tabla1[[#This Row],[cuba_fab_prot_g_l]]/1000</f>
        <v>170.51163999999997</v>
      </c>
      <c r="U48">
        <f>Tabla1[[#This Row],[queso_kg]]*Tabla1[[#This Row],[queso_est_pct]]/100</f>
        <v>324.18241799999998</v>
      </c>
      <c r="V48">
        <f>Tabla1[[#This Row],[queso_kg]]*Tabla1[[#This Row],[queso_mg_pct]]/100</f>
        <v>172.893066</v>
      </c>
      <c r="W48">
        <f>Tabla1[[#This Row],[queso_est_kg]]-Tabla1[[#This Row],[queso_mg_kg]]</f>
        <v>151.28935199999998</v>
      </c>
      <c r="X48">
        <f>_xlfn.ISOWEEKNUM(Tabla1[[#This Row],[fecha]])</f>
        <v>7</v>
      </c>
      <c r="Y48">
        <v>7</v>
      </c>
      <c r="Z48" s="7">
        <f>Tabla1[[#This Row],[suero_litros]]*Tabla1[[#This Row],[suero_grasa_g_l]]/1000</f>
        <v>29.950479999999999</v>
      </c>
      <c r="AA48" s="7">
        <f>Tabla1[[#This Row],[suero_litros]]*Tabla1[[#This Row],[suero_prot_g_l]]/1000</f>
        <v>27.82696</v>
      </c>
      <c r="AB48" s="7">
        <f>Tabla1[[#This Row],[suero_est_g_l]]*Tabla1[[#This Row],[suero_litros]]/1000</f>
        <v>285.17104</v>
      </c>
    </row>
    <row r="49" spans="1:28" x14ac:dyDescent="0.25">
      <c r="A49" s="1">
        <v>45338</v>
      </c>
      <c r="B49">
        <v>0</v>
      </c>
      <c r="C49">
        <v>0</v>
      </c>
      <c r="D49">
        <v>0</v>
      </c>
      <c r="E49">
        <v>0</v>
      </c>
      <c r="F49">
        <v>4770</v>
      </c>
      <c r="G49">
        <v>40.29</v>
      </c>
      <c r="H49">
        <v>34.22</v>
      </c>
      <c r="I49">
        <v>0</v>
      </c>
      <c r="J49">
        <v>591.99</v>
      </c>
      <c r="K49">
        <v>52.03</v>
      </c>
      <c r="L49">
        <v>26.39</v>
      </c>
      <c r="M49">
        <v>4216</v>
      </c>
      <c r="N49">
        <v>8.31</v>
      </c>
      <c r="O49">
        <v>6.59</v>
      </c>
      <c r="P49">
        <v>65.540000000000006</v>
      </c>
      <c r="Q49">
        <f>Tabla1[[#This Row],[entrada_litros]]*Tabla1[[#This Row],[entrada_grasa_g_l]]/1000</f>
        <v>0</v>
      </c>
      <c r="R49">
        <f>Tabla1[[#This Row],[entrada_prot_g_l]]*Tabla1[[#This Row],[entrada_litros]]/1000</f>
        <v>0</v>
      </c>
      <c r="S49">
        <f>Tabla1[[#This Row],[cuba_fab_litros]]*Tabla1[[#This Row],[cuba_fab_grasa_g_l]]/1000</f>
        <v>192.18329999999997</v>
      </c>
      <c r="T49">
        <f>Tabla1[[#This Row],[cuba_fab_litros]]*Tabla1[[#This Row],[cuba_fab_prot_g_l]]/1000</f>
        <v>163.2294</v>
      </c>
      <c r="U49">
        <f>Tabla1[[#This Row],[queso_kg]]*Tabla1[[#This Row],[queso_est_pct]]/100</f>
        <v>308.01239700000002</v>
      </c>
      <c r="V49">
        <f>Tabla1[[#This Row],[queso_kg]]*Tabla1[[#This Row],[queso_mg_pct]]/100</f>
        <v>156.22616100000002</v>
      </c>
      <c r="W49">
        <f>Tabla1[[#This Row],[queso_est_kg]]-Tabla1[[#This Row],[queso_mg_kg]]</f>
        <v>151.786236</v>
      </c>
      <c r="X49">
        <f>_xlfn.ISOWEEKNUM(Tabla1[[#This Row],[fecha]])</f>
        <v>7</v>
      </c>
      <c r="Y49">
        <v>7</v>
      </c>
      <c r="Z49" s="7">
        <f>Tabla1[[#This Row],[suero_litros]]*Tabla1[[#This Row],[suero_grasa_g_l]]/1000</f>
        <v>35.034959999999998</v>
      </c>
      <c r="AA49" s="7">
        <f>Tabla1[[#This Row],[suero_litros]]*Tabla1[[#This Row],[suero_prot_g_l]]/1000</f>
        <v>27.783439999999999</v>
      </c>
      <c r="AB49" s="7">
        <f>Tabla1[[#This Row],[suero_est_g_l]]*Tabla1[[#This Row],[suero_litros]]/1000</f>
        <v>276.31664000000001</v>
      </c>
    </row>
    <row r="50" spans="1:28" x14ac:dyDescent="0.25">
      <c r="A50" s="1">
        <v>45339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f>Tabla1[[#This Row],[entrada_litros]]*Tabla1[[#This Row],[entrada_grasa_g_l]]/1000</f>
        <v>0</v>
      </c>
      <c r="R50">
        <f>Tabla1[[#This Row],[entrada_prot_g_l]]*Tabla1[[#This Row],[entrada_litros]]/1000</f>
        <v>0</v>
      </c>
      <c r="S50">
        <f>Tabla1[[#This Row],[cuba_fab_litros]]*Tabla1[[#This Row],[cuba_fab_grasa_g_l]]/1000</f>
        <v>0</v>
      </c>
      <c r="T50">
        <f>Tabla1[[#This Row],[cuba_fab_litros]]*Tabla1[[#This Row],[cuba_fab_prot_g_l]]/1000</f>
        <v>0</v>
      </c>
      <c r="U50">
        <f>Tabla1[[#This Row],[queso_kg]]*Tabla1[[#This Row],[queso_est_pct]]/100</f>
        <v>0</v>
      </c>
      <c r="V50">
        <f>Tabla1[[#This Row],[queso_kg]]*Tabla1[[#This Row],[queso_mg_pct]]/100</f>
        <v>0</v>
      </c>
      <c r="W50">
        <f>Tabla1[[#This Row],[queso_est_kg]]-Tabla1[[#This Row],[queso_mg_kg]]</f>
        <v>0</v>
      </c>
      <c r="X50">
        <f>_xlfn.ISOWEEKNUM(Tabla1[[#This Row],[fecha]])</f>
        <v>7</v>
      </c>
      <c r="Y50">
        <v>7</v>
      </c>
      <c r="Z50" s="7">
        <f>Tabla1[[#This Row],[suero_litros]]*Tabla1[[#This Row],[suero_grasa_g_l]]/1000</f>
        <v>0</v>
      </c>
      <c r="AA50" s="7">
        <f>Tabla1[[#This Row],[suero_litros]]*Tabla1[[#This Row],[suero_prot_g_l]]/1000</f>
        <v>0</v>
      </c>
      <c r="AB50" s="7">
        <f>Tabla1[[#This Row],[suero_est_g_l]]*Tabla1[[#This Row],[suero_litros]]/1000</f>
        <v>0</v>
      </c>
    </row>
    <row r="51" spans="1:28" x14ac:dyDescent="0.25">
      <c r="A51" s="1">
        <v>45340</v>
      </c>
      <c r="B51">
        <v>5268</v>
      </c>
      <c r="C51">
        <v>5115</v>
      </c>
      <c r="D51">
        <v>43.41</v>
      </c>
      <c r="E51">
        <v>34.729999999999997</v>
      </c>
      <c r="F51">
        <v>0</v>
      </c>
      <c r="G51">
        <v>0</v>
      </c>
      <c r="H51">
        <v>0</v>
      </c>
      <c r="I51">
        <v>5115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f>Tabla1[[#This Row],[entrada_litros]]*Tabla1[[#This Row],[entrada_grasa_g_l]]/1000</f>
        <v>222.04214999999999</v>
      </c>
      <c r="R51">
        <f>Tabla1[[#This Row],[entrada_prot_g_l]]*Tabla1[[#This Row],[entrada_litros]]/1000</f>
        <v>177.64394999999999</v>
      </c>
      <c r="S51">
        <f>Tabla1[[#This Row],[cuba_fab_litros]]*Tabla1[[#This Row],[cuba_fab_grasa_g_l]]/1000</f>
        <v>0</v>
      </c>
      <c r="T51">
        <f>Tabla1[[#This Row],[cuba_fab_litros]]*Tabla1[[#This Row],[cuba_fab_prot_g_l]]/1000</f>
        <v>0</v>
      </c>
      <c r="U51">
        <f>Tabla1[[#This Row],[queso_kg]]*Tabla1[[#This Row],[queso_est_pct]]/100</f>
        <v>0</v>
      </c>
      <c r="V51">
        <f>Tabla1[[#This Row],[queso_kg]]*Tabla1[[#This Row],[queso_mg_pct]]/100</f>
        <v>0</v>
      </c>
      <c r="W51">
        <f>Tabla1[[#This Row],[queso_est_kg]]-Tabla1[[#This Row],[queso_mg_kg]]</f>
        <v>0</v>
      </c>
      <c r="X51">
        <f>_xlfn.ISOWEEKNUM(Tabla1[[#This Row],[fecha]])</f>
        <v>7</v>
      </c>
      <c r="Y51">
        <v>8</v>
      </c>
      <c r="Z51" s="7">
        <f>Tabla1[[#This Row],[suero_litros]]*Tabla1[[#This Row],[suero_grasa_g_l]]/1000</f>
        <v>0</v>
      </c>
      <c r="AA51" s="7">
        <f>Tabla1[[#This Row],[suero_litros]]*Tabla1[[#This Row],[suero_prot_g_l]]/1000</f>
        <v>0</v>
      </c>
      <c r="AB51" s="7">
        <f>Tabla1[[#This Row],[suero_est_g_l]]*Tabla1[[#This Row],[suero_litros]]/1000</f>
        <v>0</v>
      </c>
    </row>
    <row r="52" spans="1:28" x14ac:dyDescent="0.25">
      <c r="A52" s="1">
        <v>45341</v>
      </c>
      <c r="B52">
        <v>4937</v>
      </c>
      <c r="C52">
        <v>4793</v>
      </c>
      <c r="D52">
        <v>43.97</v>
      </c>
      <c r="E52">
        <v>35.25</v>
      </c>
      <c r="F52">
        <v>5015</v>
      </c>
      <c r="G52">
        <v>41.88</v>
      </c>
      <c r="H52">
        <v>33.54</v>
      </c>
      <c r="I52">
        <v>4908</v>
      </c>
      <c r="J52">
        <v>638.91999999999996</v>
      </c>
      <c r="K52">
        <v>51.31</v>
      </c>
      <c r="L52">
        <v>26.61</v>
      </c>
      <c r="M52">
        <v>4416</v>
      </c>
      <c r="N52">
        <v>8.9</v>
      </c>
      <c r="O52">
        <v>5</v>
      </c>
      <c r="P52">
        <v>65.099999999999994</v>
      </c>
      <c r="Q52">
        <f>Tabla1[[#This Row],[entrada_litros]]*Tabla1[[#This Row],[entrada_grasa_g_l]]/1000</f>
        <v>210.74821</v>
      </c>
      <c r="R52">
        <f>Tabla1[[#This Row],[entrada_prot_g_l]]*Tabla1[[#This Row],[entrada_litros]]/1000</f>
        <v>168.95325</v>
      </c>
      <c r="S52">
        <f>Tabla1[[#This Row],[cuba_fab_litros]]*Tabla1[[#This Row],[cuba_fab_grasa_g_l]]/1000</f>
        <v>210.0282</v>
      </c>
      <c r="T52">
        <f>Tabla1[[#This Row],[cuba_fab_litros]]*Tabla1[[#This Row],[cuba_fab_prot_g_l]]/1000</f>
        <v>168.20310000000001</v>
      </c>
      <c r="U52">
        <f>Tabla1[[#This Row],[queso_kg]]*Tabla1[[#This Row],[queso_est_pct]]/100</f>
        <v>327.82985200000002</v>
      </c>
      <c r="V52">
        <f>Tabla1[[#This Row],[queso_kg]]*Tabla1[[#This Row],[queso_mg_pct]]/100</f>
        <v>170.01661199999998</v>
      </c>
      <c r="W52">
        <f>Tabla1[[#This Row],[queso_est_kg]]-Tabla1[[#This Row],[queso_mg_kg]]</f>
        <v>157.81324000000004</v>
      </c>
      <c r="X52">
        <f>_xlfn.ISOWEEKNUM(Tabla1[[#This Row],[fecha]])</f>
        <v>8</v>
      </c>
      <c r="Y52">
        <v>8</v>
      </c>
      <c r="Z52" s="7">
        <f>Tabla1[[#This Row],[suero_litros]]*Tabla1[[#This Row],[suero_grasa_g_l]]/1000</f>
        <v>39.302399999999999</v>
      </c>
      <c r="AA52" s="7">
        <f>Tabla1[[#This Row],[suero_litros]]*Tabla1[[#This Row],[suero_prot_g_l]]/1000</f>
        <v>22.08</v>
      </c>
      <c r="AB52" s="7">
        <f>Tabla1[[#This Row],[suero_est_g_l]]*Tabla1[[#This Row],[suero_litros]]/1000</f>
        <v>287.48159999999996</v>
      </c>
    </row>
    <row r="53" spans="1:28" x14ac:dyDescent="0.25">
      <c r="A53" s="1">
        <v>45342</v>
      </c>
      <c r="B53">
        <v>4831</v>
      </c>
      <c r="C53">
        <v>4690</v>
      </c>
      <c r="D53">
        <v>43.14</v>
      </c>
      <c r="E53">
        <v>36.6</v>
      </c>
      <c r="F53">
        <v>5023</v>
      </c>
      <c r="G53">
        <v>41.66</v>
      </c>
      <c r="H53">
        <v>34.36</v>
      </c>
      <c r="I53">
        <v>4598</v>
      </c>
      <c r="J53">
        <v>593.51</v>
      </c>
      <c r="K53">
        <v>51.33</v>
      </c>
      <c r="L53">
        <v>26.45</v>
      </c>
      <c r="M53">
        <v>4468</v>
      </c>
      <c r="N53">
        <v>11.41</v>
      </c>
      <c r="O53">
        <v>7.56</v>
      </c>
      <c r="P53">
        <v>71.790000000000006</v>
      </c>
      <c r="Q53">
        <f>Tabla1[[#This Row],[entrada_litros]]*Tabla1[[#This Row],[entrada_grasa_g_l]]/1000</f>
        <v>202.32660000000001</v>
      </c>
      <c r="R53">
        <f>Tabla1[[#This Row],[entrada_prot_g_l]]*Tabla1[[#This Row],[entrada_litros]]/1000</f>
        <v>171.654</v>
      </c>
      <c r="S53">
        <f>Tabla1[[#This Row],[cuba_fab_litros]]*Tabla1[[#This Row],[cuba_fab_grasa_g_l]]/1000</f>
        <v>209.25817999999998</v>
      </c>
      <c r="T53">
        <f>Tabla1[[#This Row],[cuba_fab_litros]]*Tabla1[[#This Row],[cuba_fab_prot_g_l]]/1000</f>
        <v>172.59028000000001</v>
      </c>
      <c r="U53">
        <f>Tabla1[[#This Row],[queso_kg]]*Tabla1[[#This Row],[queso_est_pct]]/100</f>
        <v>304.64868300000001</v>
      </c>
      <c r="V53">
        <f>Tabla1[[#This Row],[queso_kg]]*Tabla1[[#This Row],[queso_mg_pct]]/100</f>
        <v>156.983395</v>
      </c>
      <c r="W53">
        <f>Tabla1[[#This Row],[queso_est_kg]]-Tabla1[[#This Row],[queso_mg_kg]]</f>
        <v>147.665288</v>
      </c>
      <c r="X53">
        <f>_xlfn.ISOWEEKNUM(Tabla1[[#This Row],[fecha]])</f>
        <v>8</v>
      </c>
      <c r="Y53">
        <v>8</v>
      </c>
      <c r="Z53" s="7">
        <f>Tabla1[[#This Row],[suero_litros]]*Tabla1[[#This Row],[suero_grasa_g_l]]/1000</f>
        <v>50.979879999999994</v>
      </c>
      <c r="AA53" s="7">
        <f>Tabla1[[#This Row],[suero_litros]]*Tabla1[[#This Row],[suero_prot_g_l]]/1000</f>
        <v>33.778080000000003</v>
      </c>
      <c r="AB53" s="7">
        <f>Tabla1[[#This Row],[suero_est_g_l]]*Tabla1[[#This Row],[suero_litros]]/1000</f>
        <v>320.75772000000001</v>
      </c>
    </row>
    <row r="54" spans="1:28" x14ac:dyDescent="0.25">
      <c r="A54" s="1">
        <v>45343</v>
      </c>
      <c r="B54">
        <v>5016</v>
      </c>
      <c r="C54">
        <v>4870</v>
      </c>
      <c r="D54">
        <v>41.34</v>
      </c>
      <c r="E54">
        <v>35.020000000000003</v>
      </c>
      <c r="F54">
        <v>5018</v>
      </c>
      <c r="G54">
        <v>40.4</v>
      </c>
      <c r="H54">
        <v>33.78</v>
      </c>
      <c r="I54">
        <v>4468</v>
      </c>
      <c r="J54">
        <v>595.37</v>
      </c>
      <c r="K54">
        <v>53.19</v>
      </c>
      <c r="L54">
        <v>28.15</v>
      </c>
      <c r="M54">
        <v>4462</v>
      </c>
      <c r="N54">
        <v>7.73</v>
      </c>
      <c r="O54">
        <v>7.1</v>
      </c>
      <c r="P54">
        <v>64.92</v>
      </c>
      <c r="Q54">
        <f>Tabla1[[#This Row],[entrada_litros]]*Tabla1[[#This Row],[entrada_grasa_g_l]]/1000</f>
        <v>201.32580000000002</v>
      </c>
      <c r="R54">
        <f>Tabla1[[#This Row],[entrada_prot_g_l]]*Tabla1[[#This Row],[entrada_litros]]/1000</f>
        <v>170.54740000000001</v>
      </c>
      <c r="S54">
        <f>Tabla1[[#This Row],[cuba_fab_litros]]*Tabla1[[#This Row],[cuba_fab_grasa_g_l]]/1000</f>
        <v>202.72719999999998</v>
      </c>
      <c r="T54">
        <f>Tabla1[[#This Row],[cuba_fab_litros]]*Tabla1[[#This Row],[cuba_fab_prot_g_l]]/1000</f>
        <v>169.50803999999999</v>
      </c>
      <c r="U54">
        <f>Tabla1[[#This Row],[queso_kg]]*Tabla1[[#This Row],[queso_est_pct]]/100</f>
        <v>316.67730299999999</v>
      </c>
      <c r="V54">
        <f>Tabla1[[#This Row],[queso_kg]]*Tabla1[[#This Row],[queso_mg_pct]]/100</f>
        <v>167.596655</v>
      </c>
      <c r="W54">
        <f>Tabla1[[#This Row],[queso_est_kg]]-Tabla1[[#This Row],[queso_mg_kg]]</f>
        <v>149.080648</v>
      </c>
      <c r="X54">
        <f>_xlfn.ISOWEEKNUM(Tabla1[[#This Row],[fecha]])</f>
        <v>8</v>
      </c>
      <c r="Y54">
        <v>8</v>
      </c>
      <c r="Z54" s="7">
        <f>Tabla1[[#This Row],[suero_litros]]*Tabla1[[#This Row],[suero_grasa_g_l]]/1000</f>
        <v>34.491260000000004</v>
      </c>
      <c r="AA54" s="7">
        <f>Tabla1[[#This Row],[suero_litros]]*Tabla1[[#This Row],[suero_prot_g_l]]/1000</f>
        <v>31.680199999999996</v>
      </c>
      <c r="AB54" s="7">
        <f>Tabla1[[#This Row],[suero_est_g_l]]*Tabla1[[#This Row],[suero_litros]]/1000</f>
        <v>289.67303999999996</v>
      </c>
    </row>
    <row r="55" spans="1:28" x14ac:dyDescent="0.25">
      <c r="A55" s="1">
        <v>45344</v>
      </c>
      <c r="B55">
        <v>5215</v>
      </c>
      <c r="C55">
        <v>5063</v>
      </c>
      <c r="D55">
        <v>41.41</v>
      </c>
      <c r="E55">
        <v>36.72</v>
      </c>
      <c r="F55">
        <v>5025</v>
      </c>
      <c r="G55">
        <v>39.86</v>
      </c>
      <c r="H55">
        <v>34.380000000000003</v>
      </c>
      <c r="I55">
        <v>4531</v>
      </c>
      <c r="J55">
        <v>680.39</v>
      </c>
      <c r="K55">
        <v>50.56</v>
      </c>
      <c r="L55">
        <v>26.25</v>
      </c>
      <c r="M55">
        <v>4386</v>
      </c>
      <c r="N55">
        <v>4.84</v>
      </c>
      <c r="O55">
        <v>3.66</v>
      </c>
      <c r="P55">
        <v>59.92</v>
      </c>
      <c r="Q55">
        <f>Tabla1[[#This Row],[entrada_litros]]*Tabla1[[#This Row],[entrada_grasa_g_l]]/1000</f>
        <v>209.65882999999999</v>
      </c>
      <c r="R55">
        <f>Tabla1[[#This Row],[entrada_prot_g_l]]*Tabla1[[#This Row],[entrada_litros]]/1000</f>
        <v>185.91335999999998</v>
      </c>
      <c r="S55">
        <f>Tabla1[[#This Row],[cuba_fab_litros]]*Tabla1[[#This Row],[cuba_fab_grasa_g_l]]/1000</f>
        <v>200.29650000000001</v>
      </c>
      <c r="T55">
        <f>Tabla1[[#This Row],[cuba_fab_litros]]*Tabla1[[#This Row],[cuba_fab_prot_g_l]]/1000</f>
        <v>172.7595</v>
      </c>
      <c r="U55">
        <f>Tabla1[[#This Row],[queso_kg]]*Tabla1[[#This Row],[queso_est_pct]]/100</f>
        <v>344.00518399999999</v>
      </c>
      <c r="V55">
        <f>Tabla1[[#This Row],[queso_kg]]*Tabla1[[#This Row],[queso_mg_pct]]/100</f>
        <v>178.60237499999999</v>
      </c>
      <c r="W55">
        <f>Tabla1[[#This Row],[queso_est_kg]]-Tabla1[[#This Row],[queso_mg_kg]]</f>
        <v>165.40280899999999</v>
      </c>
      <c r="X55">
        <f>_xlfn.ISOWEEKNUM(Tabla1[[#This Row],[fecha]])</f>
        <v>8</v>
      </c>
      <c r="Y55">
        <v>8</v>
      </c>
      <c r="Z55" s="7">
        <f>Tabla1[[#This Row],[suero_litros]]*Tabla1[[#This Row],[suero_grasa_g_l]]/1000</f>
        <v>21.22824</v>
      </c>
      <c r="AA55" s="7">
        <f>Tabla1[[#This Row],[suero_litros]]*Tabla1[[#This Row],[suero_prot_g_l]]/1000</f>
        <v>16.052759999999999</v>
      </c>
      <c r="AB55" s="7">
        <f>Tabla1[[#This Row],[suero_est_g_l]]*Tabla1[[#This Row],[suero_litros]]/1000</f>
        <v>262.80912000000001</v>
      </c>
    </row>
    <row r="56" spans="1:28" x14ac:dyDescent="0.25">
      <c r="A56" s="1">
        <v>45345</v>
      </c>
      <c r="B56">
        <v>0</v>
      </c>
      <c r="C56">
        <v>0</v>
      </c>
      <c r="D56">
        <v>0</v>
      </c>
      <c r="E56">
        <v>0</v>
      </c>
      <c r="F56">
        <v>4557</v>
      </c>
      <c r="G56">
        <v>40.24</v>
      </c>
      <c r="H56">
        <v>34.4</v>
      </c>
      <c r="I56">
        <v>0</v>
      </c>
      <c r="J56">
        <v>572.38</v>
      </c>
      <c r="K56">
        <v>52.14</v>
      </c>
      <c r="L56">
        <v>27.93</v>
      </c>
      <c r="M56">
        <v>4021</v>
      </c>
      <c r="N56">
        <v>5.71</v>
      </c>
      <c r="O56">
        <v>6.91</v>
      </c>
      <c r="P56">
        <v>64.73</v>
      </c>
      <c r="Q56">
        <f>Tabla1[[#This Row],[entrada_litros]]*Tabla1[[#This Row],[entrada_grasa_g_l]]/1000</f>
        <v>0</v>
      </c>
      <c r="R56">
        <f>Tabla1[[#This Row],[entrada_prot_g_l]]*Tabla1[[#This Row],[entrada_litros]]/1000</f>
        <v>0</v>
      </c>
      <c r="S56">
        <f>Tabla1[[#This Row],[cuba_fab_litros]]*Tabla1[[#This Row],[cuba_fab_grasa_g_l]]/1000</f>
        <v>183.37368000000004</v>
      </c>
      <c r="T56">
        <f>Tabla1[[#This Row],[cuba_fab_litros]]*Tabla1[[#This Row],[cuba_fab_prot_g_l]]/1000</f>
        <v>156.76079999999999</v>
      </c>
      <c r="U56">
        <f>Tabla1[[#This Row],[queso_kg]]*Tabla1[[#This Row],[queso_est_pct]]/100</f>
        <v>298.43893199999997</v>
      </c>
      <c r="V56">
        <f>Tabla1[[#This Row],[queso_kg]]*Tabla1[[#This Row],[queso_mg_pct]]/100</f>
        <v>159.865734</v>
      </c>
      <c r="W56">
        <f>Tabla1[[#This Row],[queso_est_kg]]-Tabla1[[#This Row],[queso_mg_kg]]</f>
        <v>138.57319799999996</v>
      </c>
      <c r="X56">
        <f>_xlfn.ISOWEEKNUM(Tabla1[[#This Row],[fecha]])</f>
        <v>8</v>
      </c>
      <c r="Y56">
        <v>8</v>
      </c>
      <c r="Z56" s="7">
        <f>Tabla1[[#This Row],[suero_litros]]*Tabla1[[#This Row],[suero_grasa_g_l]]/1000</f>
        <v>22.959910000000001</v>
      </c>
      <c r="AA56" s="7">
        <f>Tabla1[[#This Row],[suero_litros]]*Tabla1[[#This Row],[suero_prot_g_l]]/1000</f>
        <v>27.78511</v>
      </c>
      <c r="AB56" s="7">
        <f>Tabla1[[#This Row],[suero_est_g_l]]*Tabla1[[#This Row],[suero_litros]]/1000</f>
        <v>260.27933000000002</v>
      </c>
    </row>
    <row r="57" spans="1:28" x14ac:dyDescent="0.25">
      <c r="A57" s="1">
        <v>45346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f>Tabla1[[#This Row],[entrada_litros]]*Tabla1[[#This Row],[entrada_grasa_g_l]]/1000</f>
        <v>0</v>
      </c>
      <c r="R57">
        <f>Tabla1[[#This Row],[entrada_prot_g_l]]*Tabla1[[#This Row],[entrada_litros]]/1000</f>
        <v>0</v>
      </c>
      <c r="S57">
        <f>Tabla1[[#This Row],[cuba_fab_litros]]*Tabla1[[#This Row],[cuba_fab_grasa_g_l]]/1000</f>
        <v>0</v>
      </c>
      <c r="T57">
        <f>Tabla1[[#This Row],[cuba_fab_litros]]*Tabla1[[#This Row],[cuba_fab_prot_g_l]]/1000</f>
        <v>0</v>
      </c>
      <c r="U57">
        <f>Tabla1[[#This Row],[queso_kg]]*Tabla1[[#This Row],[queso_est_pct]]/100</f>
        <v>0</v>
      </c>
      <c r="V57">
        <f>Tabla1[[#This Row],[queso_kg]]*Tabla1[[#This Row],[queso_mg_pct]]/100</f>
        <v>0</v>
      </c>
      <c r="W57">
        <f>Tabla1[[#This Row],[queso_est_kg]]-Tabla1[[#This Row],[queso_mg_kg]]</f>
        <v>0</v>
      </c>
      <c r="X57">
        <f>_xlfn.ISOWEEKNUM(Tabla1[[#This Row],[fecha]])</f>
        <v>8</v>
      </c>
      <c r="Y57">
        <v>8</v>
      </c>
      <c r="Z57" s="7">
        <f>Tabla1[[#This Row],[suero_litros]]*Tabla1[[#This Row],[suero_grasa_g_l]]/1000</f>
        <v>0</v>
      </c>
      <c r="AA57" s="7">
        <f>Tabla1[[#This Row],[suero_litros]]*Tabla1[[#This Row],[suero_prot_g_l]]/1000</f>
        <v>0</v>
      </c>
      <c r="AB57" s="7">
        <f>Tabla1[[#This Row],[suero_est_g_l]]*Tabla1[[#This Row],[suero_litros]]/1000</f>
        <v>0</v>
      </c>
    </row>
    <row r="58" spans="1:28" x14ac:dyDescent="0.25">
      <c r="A58" s="1">
        <v>45347</v>
      </c>
      <c r="B58">
        <v>4872</v>
      </c>
      <c r="C58">
        <v>4730</v>
      </c>
      <c r="D58">
        <v>43.03</v>
      </c>
      <c r="E58">
        <v>37.74</v>
      </c>
      <c r="F58">
        <v>0</v>
      </c>
      <c r="G58">
        <v>0</v>
      </c>
      <c r="H58">
        <v>0</v>
      </c>
      <c r="I58">
        <v>4730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f>Tabla1[[#This Row],[entrada_litros]]*Tabla1[[#This Row],[entrada_grasa_g_l]]/1000</f>
        <v>203.53190000000001</v>
      </c>
      <c r="R58">
        <f>Tabla1[[#This Row],[entrada_prot_g_l]]*Tabla1[[#This Row],[entrada_litros]]/1000</f>
        <v>178.5102</v>
      </c>
      <c r="S58">
        <f>Tabla1[[#This Row],[cuba_fab_litros]]*Tabla1[[#This Row],[cuba_fab_grasa_g_l]]/1000</f>
        <v>0</v>
      </c>
      <c r="T58">
        <f>Tabla1[[#This Row],[cuba_fab_litros]]*Tabla1[[#This Row],[cuba_fab_prot_g_l]]/1000</f>
        <v>0</v>
      </c>
      <c r="U58">
        <f>Tabla1[[#This Row],[queso_kg]]*Tabla1[[#This Row],[queso_est_pct]]/100</f>
        <v>0</v>
      </c>
      <c r="V58">
        <f>Tabla1[[#This Row],[queso_kg]]*Tabla1[[#This Row],[queso_mg_pct]]/100</f>
        <v>0</v>
      </c>
      <c r="W58">
        <f>Tabla1[[#This Row],[queso_est_kg]]-Tabla1[[#This Row],[queso_mg_kg]]</f>
        <v>0</v>
      </c>
      <c r="X58">
        <f>_xlfn.ISOWEEKNUM(Tabla1[[#This Row],[fecha]])</f>
        <v>8</v>
      </c>
      <c r="Y58">
        <v>9</v>
      </c>
      <c r="Z58" s="7">
        <f>Tabla1[[#This Row],[suero_litros]]*Tabla1[[#This Row],[suero_grasa_g_l]]/1000</f>
        <v>0</v>
      </c>
      <c r="AA58" s="7">
        <f>Tabla1[[#This Row],[suero_litros]]*Tabla1[[#This Row],[suero_prot_g_l]]/1000</f>
        <v>0</v>
      </c>
      <c r="AB58" s="7">
        <f>Tabla1[[#This Row],[suero_est_g_l]]*Tabla1[[#This Row],[suero_litros]]/1000</f>
        <v>0</v>
      </c>
    </row>
    <row r="59" spans="1:28" x14ac:dyDescent="0.25">
      <c r="A59" s="1">
        <v>45348</v>
      </c>
      <c r="B59">
        <v>5475</v>
      </c>
      <c r="C59">
        <v>5316</v>
      </c>
      <c r="D59">
        <v>42.33</v>
      </c>
      <c r="E59">
        <v>34.840000000000003</v>
      </c>
      <c r="F59">
        <v>5022</v>
      </c>
      <c r="G59">
        <v>40.799999999999997</v>
      </c>
      <c r="H59">
        <v>34.6</v>
      </c>
      <c r="I59">
        <v>5046</v>
      </c>
      <c r="J59">
        <v>647.38</v>
      </c>
      <c r="K59">
        <v>50.37</v>
      </c>
      <c r="L59">
        <v>26.27</v>
      </c>
      <c r="M59">
        <v>4415</v>
      </c>
      <c r="N59">
        <v>7.71</v>
      </c>
      <c r="O59">
        <v>6.28</v>
      </c>
      <c r="P59">
        <v>66.16</v>
      </c>
      <c r="Q59">
        <f>Tabla1[[#This Row],[entrada_litros]]*Tabla1[[#This Row],[entrada_grasa_g_l]]/1000</f>
        <v>225.02627999999999</v>
      </c>
      <c r="R59">
        <f>Tabla1[[#This Row],[entrada_prot_g_l]]*Tabla1[[#This Row],[entrada_litros]]/1000</f>
        <v>185.20944000000003</v>
      </c>
      <c r="S59">
        <f>Tabla1[[#This Row],[cuba_fab_litros]]*Tabla1[[#This Row],[cuba_fab_grasa_g_l]]/1000</f>
        <v>204.89759999999998</v>
      </c>
      <c r="T59">
        <f>Tabla1[[#This Row],[cuba_fab_litros]]*Tabla1[[#This Row],[cuba_fab_prot_g_l]]/1000</f>
        <v>173.7612</v>
      </c>
      <c r="U59">
        <f>Tabla1[[#This Row],[queso_kg]]*Tabla1[[#This Row],[queso_est_pct]]/100</f>
        <v>326.085306</v>
      </c>
      <c r="V59">
        <f>Tabla1[[#This Row],[queso_kg]]*Tabla1[[#This Row],[queso_mg_pct]]/100</f>
        <v>170.06672599999999</v>
      </c>
      <c r="W59">
        <f>Tabla1[[#This Row],[queso_est_kg]]-Tabla1[[#This Row],[queso_mg_kg]]</f>
        <v>156.01858000000001</v>
      </c>
      <c r="X59">
        <f>_xlfn.ISOWEEKNUM(Tabla1[[#This Row],[fecha]])</f>
        <v>9</v>
      </c>
      <c r="Y59">
        <v>9</v>
      </c>
      <c r="Z59" s="7">
        <f>Tabla1[[#This Row],[suero_litros]]*Tabla1[[#This Row],[suero_grasa_g_l]]/1000</f>
        <v>34.039650000000002</v>
      </c>
      <c r="AA59" s="7">
        <f>Tabla1[[#This Row],[suero_litros]]*Tabla1[[#This Row],[suero_prot_g_l]]/1000</f>
        <v>27.726200000000002</v>
      </c>
      <c r="AB59" s="7">
        <f>Tabla1[[#This Row],[suero_est_g_l]]*Tabla1[[#This Row],[suero_litros]]/1000</f>
        <v>292.09639999999996</v>
      </c>
    </row>
    <row r="60" spans="1:28" x14ac:dyDescent="0.25">
      <c r="A60" s="1">
        <v>45349</v>
      </c>
      <c r="B60">
        <v>4514</v>
      </c>
      <c r="C60">
        <v>4383</v>
      </c>
      <c r="D60">
        <v>44.31</v>
      </c>
      <c r="E60">
        <v>35.979999999999997</v>
      </c>
      <c r="F60">
        <v>5033</v>
      </c>
      <c r="G60">
        <v>41.23</v>
      </c>
      <c r="H60">
        <v>34.130000000000003</v>
      </c>
      <c r="I60">
        <v>4429</v>
      </c>
      <c r="J60">
        <v>642.91</v>
      </c>
      <c r="K60">
        <v>50.91</v>
      </c>
      <c r="L60">
        <v>27.01</v>
      </c>
      <c r="M60">
        <v>4430</v>
      </c>
      <c r="N60">
        <v>7.56</v>
      </c>
      <c r="O60">
        <v>4.04</v>
      </c>
      <c r="P60">
        <v>62.17</v>
      </c>
      <c r="Q60">
        <f>Tabla1[[#This Row],[entrada_litros]]*Tabla1[[#This Row],[entrada_grasa_g_l]]/1000</f>
        <v>194.21073000000001</v>
      </c>
      <c r="R60">
        <f>Tabla1[[#This Row],[entrada_prot_g_l]]*Tabla1[[#This Row],[entrada_litros]]/1000</f>
        <v>157.70033999999998</v>
      </c>
      <c r="S60">
        <f>Tabla1[[#This Row],[cuba_fab_litros]]*Tabla1[[#This Row],[cuba_fab_grasa_g_l]]/1000</f>
        <v>207.51059000000001</v>
      </c>
      <c r="T60">
        <f>Tabla1[[#This Row],[cuba_fab_litros]]*Tabla1[[#This Row],[cuba_fab_prot_g_l]]/1000</f>
        <v>171.77629000000002</v>
      </c>
      <c r="U60">
        <f>Tabla1[[#This Row],[queso_kg]]*Tabla1[[#This Row],[queso_est_pct]]/100</f>
        <v>327.30548099999999</v>
      </c>
      <c r="V60">
        <f>Tabla1[[#This Row],[queso_kg]]*Tabla1[[#This Row],[queso_mg_pct]]/100</f>
        <v>173.649991</v>
      </c>
      <c r="W60">
        <f>Tabla1[[#This Row],[queso_est_kg]]-Tabla1[[#This Row],[queso_mg_kg]]</f>
        <v>153.65548999999999</v>
      </c>
      <c r="X60">
        <f>_xlfn.ISOWEEKNUM(Tabla1[[#This Row],[fecha]])</f>
        <v>9</v>
      </c>
      <c r="Y60">
        <v>9</v>
      </c>
      <c r="Z60" s="7">
        <f>Tabla1[[#This Row],[suero_litros]]*Tabla1[[#This Row],[suero_grasa_g_l]]/1000</f>
        <v>33.490799999999993</v>
      </c>
      <c r="AA60" s="7">
        <f>Tabla1[[#This Row],[suero_litros]]*Tabla1[[#This Row],[suero_prot_g_l]]/1000</f>
        <v>17.897200000000002</v>
      </c>
      <c r="AB60" s="7">
        <f>Tabla1[[#This Row],[suero_est_g_l]]*Tabla1[[#This Row],[suero_litros]]/1000</f>
        <v>275.41310000000004</v>
      </c>
    </row>
    <row r="61" spans="1:28" x14ac:dyDescent="0.25">
      <c r="A61" s="1">
        <v>45350</v>
      </c>
      <c r="B61">
        <v>5195</v>
      </c>
      <c r="C61">
        <v>5044</v>
      </c>
      <c r="D61">
        <v>43.11</v>
      </c>
      <c r="E61">
        <v>35.96</v>
      </c>
      <c r="F61">
        <v>5022</v>
      </c>
      <c r="G61">
        <v>41.11</v>
      </c>
      <c r="H61">
        <v>34.630000000000003</v>
      </c>
      <c r="I61">
        <v>4473</v>
      </c>
      <c r="J61">
        <v>604.96</v>
      </c>
      <c r="K61">
        <v>54.48</v>
      </c>
      <c r="L61">
        <v>27.67</v>
      </c>
      <c r="M61">
        <v>4456</v>
      </c>
      <c r="N61">
        <v>8.56</v>
      </c>
      <c r="O61">
        <v>8.14</v>
      </c>
      <c r="P61">
        <v>66.819999999999993</v>
      </c>
      <c r="Q61">
        <f>Tabla1[[#This Row],[entrada_litros]]*Tabla1[[#This Row],[entrada_grasa_g_l]]/1000</f>
        <v>217.44684000000001</v>
      </c>
      <c r="R61">
        <f>Tabla1[[#This Row],[entrada_prot_g_l]]*Tabla1[[#This Row],[entrada_litros]]/1000</f>
        <v>181.38224</v>
      </c>
      <c r="S61">
        <f>Tabla1[[#This Row],[cuba_fab_litros]]*Tabla1[[#This Row],[cuba_fab_grasa_g_l]]/1000</f>
        <v>206.45441999999997</v>
      </c>
      <c r="T61">
        <f>Tabla1[[#This Row],[cuba_fab_litros]]*Tabla1[[#This Row],[cuba_fab_prot_g_l]]/1000</f>
        <v>173.91186000000002</v>
      </c>
      <c r="U61">
        <f>Tabla1[[#This Row],[queso_kg]]*Tabla1[[#This Row],[queso_est_pct]]/100</f>
        <v>329.58220800000004</v>
      </c>
      <c r="V61">
        <f>Tabla1[[#This Row],[queso_kg]]*Tabla1[[#This Row],[queso_mg_pct]]/100</f>
        <v>167.39243200000001</v>
      </c>
      <c r="W61">
        <f>Tabla1[[#This Row],[queso_est_kg]]-Tabla1[[#This Row],[queso_mg_kg]]</f>
        <v>162.18977600000002</v>
      </c>
      <c r="X61">
        <f>_xlfn.ISOWEEKNUM(Tabla1[[#This Row],[fecha]])</f>
        <v>9</v>
      </c>
      <c r="Y61">
        <v>9</v>
      </c>
      <c r="Z61" s="7">
        <f>Tabla1[[#This Row],[suero_litros]]*Tabla1[[#This Row],[suero_grasa_g_l]]/1000</f>
        <v>38.143360000000001</v>
      </c>
      <c r="AA61" s="7">
        <f>Tabla1[[#This Row],[suero_litros]]*Tabla1[[#This Row],[suero_prot_g_l]]/1000</f>
        <v>36.271840000000005</v>
      </c>
      <c r="AB61" s="7">
        <f>Tabla1[[#This Row],[suero_est_g_l]]*Tabla1[[#This Row],[suero_litros]]/1000</f>
        <v>297.74991999999997</v>
      </c>
    </row>
    <row r="62" spans="1:28" x14ac:dyDescent="0.25">
      <c r="A62" s="1">
        <v>45351</v>
      </c>
      <c r="B62">
        <v>5030</v>
      </c>
      <c r="C62">
        <v>4883</v>
      </c>
      <c r="D62">
        <v>42.05</v>
      </c>
      <c r="E62">
        <v>35.03</v>
      </c>
      <c r="F62">
        <v>5021</v>
      </c>
      <c r="G62">
        <v>40.53</v>
      </c>
      <c r="H62">
        <v>34.049999999999997</v>
      </c>
      <c r="I62">
        <v>4356</v>
      </c>
      <c r="J62">
        <v>629.22</v>
      </c>
      <c r="K62">
        <v>50.29</v>
      </c>
      <c r="L62">
        <v>27.03</v>
      </c>
      <c r="M62">
        <v>4432</v>
      </c>
      <c r="N62">
        <v>7.35</v>
      </c>
      <c r="O62">
        <v>6.31</v>
      </c>
      <c r="P62">
        <v>64.41</v>
      </c>
      <c r="Q62">
        <f>Tabla1[[#This Row],[entrada_litros]]*Tabla1[[#This Row],[entrada_grasa_g_l]]/1000</f>
        <v>205.33015</v>
      </c>
      <c r="R62">
        <f>Tabla1[[#This Row],[entrada_prot_g_l]]*Tabla1[[#This Row],[entrada_litros]]/1000</f>
        <v>171.05149000000003</v>
      </c>
      <c r="S62">
        <f>Tabla1[[#This Row],[cuba_fab_litros]]*Tabla1[[#This Row],[cuba_fab_grasa_g_l]]/1000</f>
        <v>203.50113000000002</v>
      </c>
      <c r="T62">
        <f>Tabla1[[#This Row],[cuba_fab_litros]]*Tabla1[[#This Row],[cuba_fab_prot_g_l]]/1000</f>
        <v>170.96504999999999</v>
      </c>
      <c r="U62">
        <f>Tabla1[[#This Row],[queso_kg]]*Tabla1[[#This Row],[queso_est_pct]]/100</f>
        <v>316.43473799999998</v>
      </c>
      <c r="V62">
        <f>Tabla1[[#This Row],[queso_kg]]*Tabla1[[#This Row],[queso_mg_pct]]/100</f>
        <v>170.07816600000001</v>
      </c>
      <c r="W62">
        <f>Tabla1[[#This Row],[queso_est_kg]]-Tabla1[[#This Row],[queso_mg_kg]]</f>
        <v>146.35657199999997</v>
      </c>
      <c r="X62">
        <f>_xlfn.ISOWEEKNUM(Tabla1[[#This Row],[fecha]])</f>
        <v>9</v>
      </c>
      <c r="Y62">
        <v>9</v>
      </c>
      <c r="Z62" s="7">
        <f>Tabla1[[#This Row],[suero_litros]]*Tabla1[[#This Row],[suero_grasa_g_l]]/1000</f>
        <v>32.575199999999995</v>
      </c>
      <c r="AA62" s="7">
        <f>Tabla1[[#This Row],[suero_litros]]*Tabla1[[#This Row],[suero_prot_g_l]]/1000</f>
        <v>27.965919999999997</v>
      </c>
      <c r="AB62" s="7">
        <f>Tabla1[[#This Row],[suero_est_g_l]]*Tabla1[[#This Row],[suero_litros]]/1000</f>
        <v>285.46512000000001</v>
      </c>
    </row>
    <row r="63" spans="1:28" x14ac:dyDescent="0.25">
      <c r="A63" s="1">
        <v>45352</v>
      </c>
      <c r="B63">
        <v>0</v>
      </c>
      <c r="C63">
        <v>0</v>
      </c>
      <c r="D63">
        <v>0</v>
      </c>
      <c r="E63">
        <v>0</v>
      </c>
      <c r="F63">
        <v>4377</v>
      </c>
      <c r="G63">
        <v>40.85</v>
      </c>
      <c r="H63">
        <v>33.64</v>
      </c>
      <c r="I63">
        <v>0</v>
      </c>
      <c r="J63">
        <v>536.41</v>
      </c>
      <c r="K63">
        <v>50.87</v>
      </c>
      <c r="L63">
        <v>26.71</v>
      </c>
      <c r="M63">
        <v>3875</v>
      </c>
      <c r="N63">
        <v>8.9600000000000009</v>
      </c>
      <c r="O63">
        <v>5.66</v>
      </c>
      <c r="P63">
        <v>64.7</v>
      </c>
      <c r="Q63">
        <f>Tabla1[[#This Row],[entrada_litros]]*Tabla1[[#This Row],[entrada_grasa_g_l]]/1000</f>
        <v>0</v>
      </c>
      <c r="R63">
        <f>Tabla1[[#This Row],[entrada_prot_g_l]]*Tabla1[[#This Row],[entrada_litros]]/1000</f>
        <v>0</v>
      </c>
      <c r="S63">
        <f>Tabla1[[#This Row],[cuba_fab_litros]]*Tabla1[[#This Row],[cuba_fab_grasa_g_l]]/1000</f>
        <v>178.80045000000001</v>
      </c>
      <c r="T63">
        <f>Tabla1[[#This Row],[cuba_fab_litros]]*Tabla1[[#This Row],[cuba_fab_prot_g_l]]/1000</f>
        <v>147.24227999999999</v>
      </c>
      <c r="U63">
        <f>Tabla1[[#This Row],[queso_kg]]*Tabla1[[#This Row],[queso_est_pct]]/100</f>
        <v>272.87176699999998</v>
      </c>
      <c r="V63">
        <f>Tabla1[[#This Row],[queso_kg]]*Tabla1[[#This Row],[queso_mg_pct]]/100</f>
        <v>143.27511100000001</v>
      </c>
      <c r="W63">
        <f>Tabla1[[#This Row],[queso_est_kg]]-Tabla1[[#This Row],[queso_mg_kg]]</f>
        <v>129.59665599999997</v>
      </c>
      <c r="X63">
        <f>_xlfn.ISOWEEKNUM(Tabla1[[#This Row],[fecha]])</f>
        <v>9</v>
      </c>
      <c r="Y63">
        <v>9</v>
      </c>
      <c r="Z63" s="7">
        <f>Tabla1[[#This Row],[suero_litros]]*Tabla1[[#This Row],[suero_grasa_g_l]]/1000</f>
        <v>34.72</v>
      </c>
      <c r="AA63" s="7">
        <f>Tabla1[[#This Row],[suero_litros]]*Tabla1[[#This Row],[suero_prot_g_l]]/1000</f>
        <v>21.932500000000001</v>
      </c>
      <c r="AB63" s="7">
        <f>Tabla1[[#This Row],[suero_est_g_l]]*Tabla1[[#This Row],[suero_litros]]/1000</f>
        <v>250.71250000000001</v>
      </c>
    </row>
    <row r="64" spans="1:28" x14ac:dyDescent="0.25">
      <c r="A64" s="1">
        <v>45353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f>Tabla1[[#This Row],[entrada_litros]]*Tabla1[[#This Row],[entrada_grasa_g_l]]/1000</f>
        <v>0</v>
      </c>
      <c r="R64">
        <f>Tabla1[[#This Row],[entrada_prot_g_l]]*Tabla1[[#This Row],[entrada_litros]]/1000</f>
        <v>0</v>
      </c>
      <c r="S64">
        <f>Tabla1[[#This Row],[cuba_fab_litros]]*Tabla1[[#This Row],[cuba_fab_grasa_g_l]]/1000</f>
        <v>0</v>
      </c>
      <c r="T64">
        <f>Tabla1[[#This Row],[cuba_fab_litros]]*Tabla1[[#This Row],[cuba_fab_prot_g_l]]/1000</f>
        <v>0</v>
      </c>
      <c r="U64">
        <f>Tabla1[[#This Row],[queso_kg]]*Tabla1[[#This Row],[queso_est_pct]]/100</f>
        <v>0</v>
      </c>
      <c r="V64">
        <f>Tabla1[[#This Row],[queso_kg]]*Tabla1[[#This Row],[queso_mg_pct]]/100</f>
        <v>0</v>
      </c>
      <c r="W64">
        <f>Tabla1[[#This Row],[queso_est_kg]]-Tabla1[[#This Row],[queso_mg_kg]]</f>
        <v>0</v>
      </c>
      <c r="X64">
        <f>_xlfn.ISOWEEKNUM(Tabla1[[#This Row],[fecha]])</f>
        <v>9</v>
      </c>
      <c r="Y64">
        <v>9</v>
      </c>
      <c r="Z64" s="7">
        <f>Tabla1[[#This Row],[suero_litros]]*Tabla1[[#This Row],[suero_grasa_g_l]]/1000</f>
        <v>0</v>
      </c>
      <c r="AA64" s="7">
        <f>Tabla1[[#This Row],[suero_litros]]*Tabla1[[#This Row],[suero_prot_g_l]]/1000</f>
        <v>0</v>
      </c>
      <c r="AB64" s="7">
        <f>Tabla1[[#This Row],[suero_est_g_l]]*Tabla1[[#This Row],[suero_litros]]/1000</f>
        <v>0</v>
      </c>
    </row>
    <row r="65" spans="1:28" x14ac:dyDescent="0.25">
      <c r="A65" s="1">
        <v>45354</v>
      </c>
      <c r="B65">
        <v>5315</v>
      </c>
      <c r="C65">
        <v>5160</v>
      </c>
      <c r="D65">
        <v>41.77</v>
      </c>
      <c r="E65">
        <v>34.25</v>
      </c>
      <c r="F65">
        <v>0</v>
      </c>
      <c r="G65">
        <v>0</v>
      </c>
      <c r="H65">
        <v>0</v>
      </c>
      <c r="I65">
        <v>5160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f>Tabla1[[#This Row],[entrada_litros]]*Tabla1[[#This Row],[entrada_grasa_g_l]]/1000</f>
        <v>215.53320000000002</v>
      </c>
      <c r="R65">
        <f>Tabla1[[#This Row],[entrada_prot_g_l]]*Tabla1[[#This Row],[entrada_litros]]/1000</f>
        <v>176.73</v>
      </c>
      <c r="S65">
        <f>Tabla1[[#This Row],[cuba_fab_litros]]*Tabla1[[#This Row],[cuba_fab_grasa_g_l]]/1000</f>
        <v>0</v>
      </c>
      <c r="T65">
        <f>Tabla1[[#This Row],[cuba_fab_litros]]*Tabla1[[#This Row],[cuba_fab_prot_g_l]]/1000</f>
        <v>0</v>
      </c>
      <c r="U65">
        <f>Tabla1[[#This Row],[queso_kg]]*Tabla1[[#This Row],[queso_est_pct]]/100</f>
        <v>0</v>
      </c>
      <c r="V65">
        <f>Tabla1[[#This Row],[queso_kg]]*Tabla1[[#This Row],[queso_mg_pct]]/100</f>
        <v>0</v>
      </c>
      <c r="W65">
        <f>Tabla1[[#This Row],[queso_est_kg]]-Tabla1[[#This Row],[queso_mg_kg]]</f>
        <v>0</v>
      </c>
      <c r="X65">
        <f>_xlfn.ISOWEEKNUM(Tabla1[[#This Row],[fecha]])</f>
        <v>9</v>
      </c>
      <c r="Y65">
        <v>10</v>
      </c>
      <c r="Z65" s="7">
        <f>Tabla1[[#This Row],[suero_litros]]*Tabla1[[#This Row],[suero_grasa_g_l]]/1000</f>
        <v>0</v>
      </c>
      <c r="AA65" s="7">
        <f>Tabla1[[#This Row],[suero_litros]]*Tabla1[[#This Row],[suero_prot_g_l]]/1000</f>
        <v>0</v>
      </c>
      <c r="AB65" s="7">
        <f>Tabla1[[#This Row],[suero_est_g_l]]*Tabla1[[#This Row],[suero_litros]]/1000</f>
        <v>0</v>
      </c>
    </row>
    <row r="66" spans="1:28" x14ac:dyDescent="0.25">
      <c r="A66" s="1">
        <v>45355</v>
      </c>
      <c r="B66">
        <v>5330</v>
      </c>
      <c r="C66">
        <v>5175</v>
      </c>
      <c r="D66">
        <v>40.61</v>
      </c>
      <c r="E66">
        <v>36.11</v>
      </c>
      <c r="F66">
        <v>5026</v>
      </c>
      <c r="G66">
        <v>39.25</v>
      </c>
      <c r="H66">
        <v>33.68</v>
      </c>
      <c r="I66">
        <v>5335</v>
      </c>
      <c r="J66">
        <v>575.91999999999996</v>
      </c>
      <c r="K66">
        <v>51.26</v>
      </c>
      <c r="L66">
        <v>26.72</v>
      </c>
      <c r="M66">
        <v>4489</v>
      </c>
      <c r="N66">
        <v>9.4</v>
      </c>
      <c r="O66">
        <v>7.48</v>
      </c>
      <c r="P66">
        <v>68.84</v>
      </c>
      <c r="Q66">
        <f>Tabla1[[#This Row],[entrada_litros]]*Tabla1[[#This Row],[entrada_grasa_g_l]]/1000</f>
        <v>210.15674999999999</v>
      </c>
      <c r="R66">
        <f>Tabla1[[#This Row],[entrada_prot_g_l]]*Tabla1[[#This Row],[entrada_litros]]/1000</f>
        <v>186.86924999999999</v>
      </c>
      <c r="S66">
        <f>Tabla1[[#This Row],[cuba_fab_litros]]*Tabla1[[#This Row],[cuba_fab_grasa_g_l]]/1000</f>
        <v>197.2705</v>
      </c>
      <c r="T66">
        <f>Tabla1[[#This Row],[cuba_fab_litros]]*Tabla1[[#This Row],[cuba_fab_prot_g_l]]/1000</f>
        <v>169.27567999999999</v>
      </c>
      <c r="U66">
        <f>Tabla1[[#This Row],[queso_kg]]*Tabla1[[#This Row],[queso_est_pct]]/100</f>
        <v>295.21659199999999</v>
      </c>
      <c r="V66">
        <f>Tabla1[[#This Row],[queso_kg]]*Tabla1[[#This Row],[queso_mg_pct]]/100</f>
        <v>153.88582399999999</v>
      </c>
      <c r="W66">
        <f>Tabla1[[#This Row],[queso_est_kg]]-Tabla1[[#This Row],[queso_mg_kg]]</f>
        <v>141.33076800000001</v>
      </c>
      <c r="X66">
        <f>_xlfn.ISOWEEKNUM(Tabla1[[#This Row],[fecha]])</f>
        <v>10</v>
      </c>
      <c r="Y66">
        <v>10</v>
      </c>
      <c r="Z66" s="7">
        <f>Tabla1[[#This Row],[suero_litros]]*Tabla1[[#This Row],[suero_grasa_g_l]]/1000</f>
        <v>42.196599999999997</v>
      </c>
      <c r="AA66" s="7">
        <f>Tabla1[[#This Row],[suero_litros]]*Tabla1[[#This Row],[suero_prot_g_l]]/1000</f>
        <v>33.577719999999999</v>
      </c>
      <c r="AB66" s="7">
        <f>Tabla1[[#This Row],[suero_est_g_l]]*Tabla1[[#This Row],[suero_litros]]/1000</f>
        <v>309.02276000000001</v>
      </c>
    </row>
    <row r="67" spans="1:28" x14ac:dyDescent="0.25">
      <c r="A67" s="1">
        <v>45356</v>
      </c>
      <c r="B67">
        <v>4780</v>
      </c>
      <c r="C67">
        <v>4641</v>
      </c>
      <c r="D67">
        <v>42.35</v>
      </c>
      <c r="E67">
        <v>35.090000000000003</v>
      </c>
      <c r="F67">
        <v>5025</v>
      </c>
      <c r="G67">
        <v>39.840000000000003</v>
      </c>
      <c r="H67">
        <v>33.53</v>
      </c>
      <c r="I67">
        <v>4976</v>
      </c>
      <c r="J67">
        <v>646.94000000000005</v>
      </c>
      <c r="K67">
        <v>51.14</v>
      </c>
      <c r="L67">
        <v>26.09</v>
      </c>
      <c r="M67">
        <v>4418</v>
      </c>
      <c r="N67">
        <v>6.96</v>
      </c>
      <c r="O67">
        <v>4.05</v>
      </c>
      <c r="P67">
        <v>61.08</v>
      </c>
      <c r="Q67">
        <f>Tabla1[[#This Row],[entrada_litros]]*Tabla1[[#This Row],[entrada_grasa_g_l]]/1000</f>
        <v>196.54635000000002</v>
      </c>
      <c r="R67">
        <f>Tabla1[[#This Row],[entrada_prot_g_l]]*Tabla1[[#This Row],[entrada_litros]]/1000</f>
        <v>162.85269</v>
      </c>
      <c r="S67">
        <f>Tabla1[[#This Row],[cuba_fab_litros]]*Tabla1[[#This Row],[cuba_fab_grasa_g_l]]/1000</f>
        <v>200.19600000000003</v>
      </c>
      <c r="T67">
        <f>Tabla1[[#This Row],[cuba_fab_litros]]*Tabla1[[#This Row],[cuba_fab_prot_g_l]]/1000</f>
        <v>168.48824999999999</v>
      </c>
      <c r="U67">
        <f>Tabla1[[#This Row],[queso_kg]]*Tabla1[[#This Row],[queso_est_pct]]/100</f>
        <v>330.84511600000008</v>
      </c>
      <c r="V67">
        <f>Tabla1[[#This Row],[queso_kg]]*Tabla1[[#This Row],[queso_mg_pct]]/100</f>
        <v>168.78664599999999</v>
      </c>
      <c r="W67">
        <f>Tabla1[[#This Row],[queso_est_kg]]-Tabla1[[#This Row],[queso_mg_kg]]</f>
        <v>162.05847000000009</v>
      </c>
      <c r="X67">
        <f>_xlfn.ISOWEEKNUM(Tabla1[[#This Row],[fecha]])</f>
        <v>10</v>
      </c>
      <c r="Y67">
        <v>10</v>
      </c>
      <c r="Z67" s="7">
        <f>Tabla1[[#This Row],[suero_litros]]*Tabla1[[#This Row],[suero_grasa_g_l]]/1000</f>
        <v>30.749279999999999</v>
      </c>
      <c r="AA67" s="7">
        <f>Tabla1[[#This Row],[suero_litros]]*Tabla1[[#This Row],[suero_prot_g_l]]/1000</f>
        <v>17.892899999999997</v>
      </c>
      <c r="AB67" s="7">
        <f>Tabla1[[#This Row],[suero_est_g_l]]*Tabla1[[#This Row],[suero_litros]]/1000</f>
        <v>269.85144000000003</v>
      </c>
    </row>
    <row r="68" spans="1:28" x14ac:dyDescent="0.25">
      <c r="A68" s="1">
        <v>45357</v>
      </c>
      <c r="B68">
        <v>4870</v>
      </c>
      <c r="C68">
        <v>4728</v>
      </c>
      <c r="D68">
        <v>41.84</v>
      </c>
      <c r="E68">
        <v>36.4</v>
      </c>
      <c r="F68">
        <v>5022</v>
      </c>
      <c r="G68">
        <v>39.729999999999997</v>
      </c>
      <c r="H68">
        <v>33.97</v>
      </c>
      <c r="I68">
        <v>4704</v>
      </c>
      <c r="J68">
        <v>631.08000000000004</v>
      </c>
      <c r="K68">
        <v>50.7</v>
      </c>
      <c r="L68">
        <v>27.18</v>
      </c>
      <c r="M68">
        <v>4431</v>
      </c>
      <c r="N68">
        <v>6.17</v>
      </c>
      <c r="O68">
        <v>5.68</v>
      </c>
      <c r="P68">
        <v>64.44</v>
      </c>
      <c r="Q68">
        <f>Tabla1[[#This Row],[entrada_litros]]*Tabla1[[#This Row],[entrada_grasa_g_l]]/1000</f>
        <v>197.81952000000001</v>
      </c>
      <c r="R68">
        <f>Tabla1[[#This Row],[entrada_prot_g_l]]*Tabla1[[#This Row],[entrada_litros]]/1000</f>
        <v>172.0992</v>
      </c>
      <c r="S68">
        <f>Tabla1[[#This Row],[cuba_fab_litros]]*Tabla1[[#This Row],[cuba_fab_grasa_g_l]]/1000</f>
        <v>199.52405999999999</v>
      </c>
      <c r="T68">
        <f>Tabla1[[#This Row],[cuba_fab_litros]]*Tabla1[[#This Row],[cuba_fab_prot_g_l]]/1000</f>
        <v>170.59734</v>
      </c>
      <c r="U68">
        <f>Tabla1[[#This Row],[queso_kg]]*Tabla1[[#This Row],[queso_est_pct]]/100</f>
        <v>319.95756000000006</v>
      </c>
      <c r="V68">
        <f>Tabla1[[#This Row],[queso_kg]]*Tabla1[[#This Row],[queso_mg_pct]]/100</f>
        <v>171.52754400000001</v>
      </c>
      <c r="W68">
        <f>Tabla1[[#This Row],[queso_est_kg]]-Tabla1[[#This Row],[queso_mg_kg]]</f>
        <v>148.43001600000005</v>
      </c>
      <c r="X68">
        <f>_xlfn.ISOWEEKNUM(Tabla1[[#This Row],[fecha]])</f>
        <v>10</v>
      </c>
      <c r="Y68">
        <v>10</v>
      </c>
      <c r="Z68" s="7">
        <f>Tabla1[[#This Row],[suero_litros]]*Tabla1[[#This Row],[suero_grasa_g_l]]/1000</f>
        <v>27.339269999999999</v>
      </c>
      <c r="AA68" s="7">
        <f>Tabla1[[#This Row],[suero_litros]]*Tabla1[[#This Row],[suero_prot_g_l]]/1000</f>
        <v>25.16808</v>
      </c>
      <c r="AB68" s="7">
        <f>Tabla1[[#This Row],[suero_est_g_l]]*Tabla1[[#This Row],[suero_litros]]/1000</f>
        <v>285.53363999999999</v>
      </c>
    </row>
    <row r="69" spans="1:28" x14ac:dyDescent="0.25">
      <c r="A69" s="1">
        <v>45358</v>
      </c>
      <c r="B69">
        <v>5395</v>
      </c>
      <c r="C69">
        <v>5238</v>
      </c>
      <c r="D69">
        <v>41.07</v>
      </c>
      <c r="E69">
        <v>35.68</v>
      </c>
      <c r="F69">
        <v>5034</v>
      </c>
      <c r="G69">
        <v>39.65</v>
      </c>
      <c r="H69">
        <v>34.159999999999997</v>
      </c>
      <c r="I69">
        <v>4942</v>
      </c>
      <c r="J69">
        <v>619.66999999999996</v>
      </c>
      <c r="K69">
        <v>52.77</v>
      </c>
      <c r="L69">
        <v>27.46</v>
      </c>
      <c r="M69">
        <v>4454</v>
      </c>
      <c r="N69">
        <v>6.45</v>
      </c>
      <c r="O69">
        <v>6.66</v>
      </c>
      <c r="P69">
        <v>64.37</v>
      </c>
      <c r="Q69">
        <f>Tabla1[[#This Row],[entrada_litros]]*Tabla1[[#This Row],[entrada_grasa_g_l]]/1000</f>
        <v>215.12466000000001</v>
      </c>
      <c r="R69">
        <f>Tabla1[[#This Row],[entrada_prot_g_l]]*Tabla1[[#This Row],[entrada_litros]]/1000</f>
        <v>186.89184</v>
      </c>
      <c r="S69">
        <f>Tabla1[[#This Row],[cuba_fab_litros]]*Tabla1[[#This Row],[cuba_fab_grasa_g_l]]/1000</f>
        <v>199.59810000000002</v>
      </c>
      <c r="T69">
        <f>Tabla1[[#This Row],[cuba_fab_litros]]*Tabla1[[#This Row],[cuba_fab_prot_g_l]]/1000</f>
        <v>171.96143999999998</v>
      </c>
      <c r="U69">
        <f>Tabla1[[#This Row],[queso_kg]]*Tabla1[[#This Row],[queso_est_pct]]/100</f>
        <v>326.99985900000001</v>
      </c>
      <c r="V69">
        <f>Tabla1[[#This Row],[queso_kg]]*Tabla1[[#This Row],[queso_mg_pct]]/100</f>
        <v>170.16138199999997</v>
      </c>
      <c r="W69">
        <f>Tabla1[[#This Row],[queso_est_kg]]-Tabla1[[#This Row],[queso_mg_kg]]</f>
        <v>156.83847700000004</v>
      </c>
      <c r="X69">
        <f>_xlfn.ISOWEEKNUM(Tabla1[[#This Row],[fecha]])</f>
        <v>10</v>
      </c>
      <c r="Y69">
        <v>10</v>
      </c>
      <c r="Z69" s="7">
        <f>Tabla1[[#This Row],[suero_litros]]*Tabla1[[#This Row],[suero_grasa_g_l]]/1000</f>
        <v>28.728300000000001</v>
      </c>
      <c r="AA69" s="7">
        <f>Tabla1[[#This Row],[suero_litros]]*Tabla1[[#This Row],[suero_prot_g_l]]/1000</f>
        <v>29.663640000000001</v>
      </c>
      <c r="AB69" s="7">
        <f>Tabla1[[#This Row],[suero_est_g_l]]*Tabla1[[#This Row],[suero_litros]]/1000</f>
        <v>286.70398000000006</v>
      </c>
    </row>
    <row r="70" spans="1:28" x14ac:dyDescent="0.25">
      <c r="A70" s="1">
        <v>45359</v>
      </c>
      <c r="B70">
        <v>0</v>
      </c>
      <c r="C70">
        <v>0</v>
      </c>
      <c r="D70">
        <v>0</v>
      </c>
      <c r="E70">
        <v>0</v>
      </c>
      <c r="F70">
        <v>4967</v>
      </c>
      <c r="G70">
        <v>39.28</v>
      </c>
      <c r="H70">
        <v>34.22</v>
      </c>
      <c r="I70">
        <v>0</v>
      </c>
      <c r="J70">
        <v>578.86</v>
      </c>
      <c r="K70">
        <v>52.64</v>
      </c>
      <c r="L70">
        <v>27.91</v>
      </c>
      <c r="M70">
        <v>4426</v>
      </c>
      <c r="N70">
        <v>7.38</v>
      </c>
      <c r="O70">
        <v>8.11</v>
      </c>
      <c r="P70">
        <v>65.680000000000007</v>
      </c>
      <c r="Q70">
        <f>Tabla1[[#This Row],[entrada_litros]]*Tabla1[[#This Row],[entrada_grasa_g_l]]/1000</f>
        <v>0</v>
      </c>
      <c r="R70">
        <f>Tabla1[[#This Row],[entrada_prot_g_l]]*Tabla1[[#This Row],[entrada_litros]]/1000</f>
        <v>0</v>
      </c>
      <c r="S70">
        <f>Tabla1[[#This Row],[cuba_fab_litros]]*Tabla1[[#This Row],[cuba_fab_grasa_g_l]]/1000</f>
        <v>195.10376000000002</v>
      </c>
      <c r="T70">
        <f>Tabla1[[#This Row],[cuba_fab_litros]]*Tabla1[[#This Row],[cuba_fab_prot_g_l]]/1000</f>
        <v>169.97073999999998</v>
      </c>
      <c r="U70">
        <f>Tabla1[[#This Row],[queso_kg]]*Tabla1[[#This Row],[queso_est_pct]]/100</f>
        <v>304.711904</v>
      </c>
      <c r="V70">
        <f>Tabla1[[#This Row],[queso_kg]]*Tabla1[[#This Row],[queso_mg_pct]]/100</f>
        <v>161.55982600000002</v>
      </c>
      <c r="W70">
        <f>Tabla1[[#This Row],[queso_est_kg]]-Tabla1[[#This Row],[queso_mg_kg]]</f>
        <v>143.15207799999999</v>
      </c>
      <c r="X70">
        <f>_xlfn.ISOWEEKNUM(Tabla1[[#This Row],[fecha]])</f>
        <v>10</v>
      </c>
      <c r="Y70">
        <v>10</v>
      </c>
      <c r="Z70" s="7">
        <f>Tabla1[[#This Row],[suero_litros]]*Tabla1[[#This Row],[suero_grasa_g_l]]/1000</f>
        <v>32.663879999999999</v>
      </c>
      <c r="AA70" s="7">
        <f>Tabla1[[#This Row],[suero_litros]]*Tabla1[[#This Row],[suero_prot_g_l]]/1000</f>
        <v>35.894860000000001</v>
      </c>
      <c r="AB70" s="7">
        <f>Tabla1[[#This Row],[suero_est_g_l]]*Tabla1[[#This Row],[suero_litros]]/1000</f>
        <v>290.69968000000006</v>
      </c>
    </row>
    <row r="71" spans="1:28" x14ac:dyDescent="0.25">
      <c r="A71" s="1">
        <v>45360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f>Tabla1[[#This Row],[entrada_litros]]*Tabla1[[#This Row],[entrada_grasa_g_l]]/1000</f>
        <v>0</v>
      </c>
      <c r="R71">
        <f>Tabla1[[#This Row],[entrada_prot_g_l]]*Tabla1[[#This Row],[entrada_litros]]/1000</f>
        <v>0</v>
      </c>
      <c r="S71">
        <f>Tabla1[[#This Row],[cuba_fab_litros]]*Tabla1[[#This Row],[cuba_fab_grasa_g_l]]/1000</f>
        <v>0</v>
      </c>
      <c r="T71">
        <f>Tabla1[[#This Row],[cuba_fab_litros]]*Tabla1[[#This Row],[cuba_fab_prot_g_l]]/1000</f>
        <v>0</v>
      </c>
      <c r="U71">
        <f>Tabla1[[#This Row],[queso_kg]]*Tabla1[[#This Row],[queso_est_pct]]/100</f>
        <v>0</v>
      </c>
      <c r="V71">
        <f>Tabla1[[#This Row],[queso_kg]]*Tabla1[[#This Row],[queso_mg_pct]]/100</f>
        <v>0</v>
      </c>
      <c r="W71">
        <f>Tabla1[[#This Row],[queso_est_kg]]-Tabla1[[#This Row],[queso_mg_kg]]</f>
        <v>0</v>
      </c>
      <c r="X71">
        <f>_xlfn.ISOWEEKNUM(Tabla1[[#This Row],[fecha]])</f>
        <v>10</v>
      </c>
      <c r="Y71">
        <v>10</v>
      </c>
      <c r="Z71" s="7">
        <f>Tabla1[[#This Row],[suero_litros]]*Tabla1[[#This Row],[suero_grasa_g_l]]/1000</f>
        <v>0</v>
      </c>
      <c r="AA71" s="7">
        <f>Tabla1[[#This Row],[suero_litros]]*Tabla1[[#This Row],[suero_prot_g_l]]/1000</f>
        <v>0</v>
      </c>
      <c r="AB71" s="7">
        <f>Tabla1[[#This Row],[suero_est_g_l]]*Tabla1[[#This Row],[suero_litros]]/1000</f>
        <v>0</v>
      </c>
    </row>
    <row r="72" spans="1:28" x14ac:dyDescent="0.25">
      <c r="A72" s="1">
        <v>45361</v>
      </c>
      <c r="B72">
        <v>5384</v>
      </c>
      <c r="C72">
        <v>5227</v>
      </c>
      <c r="D72">
        <v>44.54</v>
      </c>
      <c r="E72">
        <v>35.229999999999997</v>
      </c>
      <c r="F72">
        <v>0</v>
      </c>
      <c r="G72">
        <v>0</v>
      </c>
      <c r="H72">
        <v>0</v>
      </c>
      <c r="I72">
        <v>5227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f>Tabla1[[#This Row],[entrada_litros]]*Tabla1[[#This Row],[entrada_grasa_g_l]]/1000</f>
        <v>232.81057999999999</v>
      </c>
      <c r="R72">
        <f>Tabla1[[#This Row],[entrada_prot_g_l]]*Tabla1[[#This Row],[entrada_litros]]/1000</f>
        <v>184.14721</v>
      </c>
      <c r="S72">
        <f>Tabla1[[#This Row],[cuba_fab_litros]]*Tabla1[[#This Row],[cuba_fab_grasa_g_l]]/1000</f>
        <v>0</v>
      </c>
      <c r="T72">
        <f>Tabla1[[#This Row],[cuba_fab_litros]]*Tabla1[[#This Row],[cuba_fab_prot_g_l]]/1000</f>
        <v>0</v>
      </c>
      <c r="U72">
        <f>Tabla1[[#This Row],[queso_kg]]*Tabla1[[#This Row],[queso_est_pct]]/100</f>
        <v>0</v>
      </c>
      <c r="V72">
        <f>Tabla1[[#This Row],[queso_kg]]*Tabla1[[#This Row],[queso_mg_pct]]/100</f>
        <v>0</v>
      </c>
      <c r="W72">
        <f>Tabla1[[#This Row],[queso_est_kg]]-Tabla1[[#This Row],[queso_mg_kg]]</f>
        <v>0</v>
      </c>
      <c r="X72">
        <f>_xlfn.ISOWEEKNUM(Tabla1[[#This Row],[fecha]])</f>
        <v>10</v>
      </c>
      <c r="Y72">
        <v>11</v>
      </c>
      <c r="Z72" s="7">
        <f>Tabla1[[#This Row],[suero_litros]]*Tabla1[[#This Row],[suero_grasa_g_l]]/1000</f>
        <v>0</v>
      </c>
      <c r="AA72" s="7">
        <f>Tabla1[[#This Row],[suero_litros]]*Tabla1[[#This Row],[suero_prot_g_l]]/1000</f>
        <v>0</v>
      </c>
      <c r="AB72" s="7">
        <f>Tabla1[[#This Row],[suero_est_g_l]]*Tabla1[[#This Row],[suero_litros]]/1000</f>
        <v>0</v>
      </c>
    </row>
    <row r="73" spans="1:28" x14ac:dyDescent="0.25">
      <c r="A73" s="1">
        <v>45362</v>
      </c>
      <c r="B73">
        <v>5420</v>
      </c>
      <c r="C73">
        <v>5262</v>
      </c>
      <c r="D73">
        <v>39.299999999999997</v>
      </c>
      <c r="E73">
        <v>34.89</v>
      </c>
      <c r="F73">
        <v>5030</v>
      </c>
      <c r="G73">
        <v>40.06</v>
      </c>
      <c r="H73">
        <v>33.549999999999997</v>
      </c>
      <c r="I73">
        <v>5489</v>
      </c>
      <c r="J73">
        <v>603.74</v>
      </c>
      <c r="K73">
        <v>52.09</v>
      </c>
      <c r="L73">
        <v>27.46</v>
      </c>
      <c r="M73">
        <v>4466</v>
      </c>
      <c r="N73">
        <v>7.87</v>
      </c>
      <c r="O73">
        <v>7.54</v>
      </c>
      <c r="P73">
        <v>65.22</v>
      </c>
      <c r="Q73">
        <f>Tabla1[[#This Row],[entrada_litros]]*Tabla1[[#This Row],[entrada_grasa_g_l]]/1000</f>
        <v>206.79659999999998</v>
      </c>
      <c r="R73">
        <f>Tabla1[[#This Row],[entrada_prot_g_l]]*Tabla1[[#This Row],[entrada_litros]]/1000</f>
        <v>183.59117999999998</v>
      </c>
      <c r="S73">
        <f>Tabla1[[#This Row],[cuba_fab_litros]]*Tabla1[[#This Row],[cuba_fab_grasa_g_l]]/1000</f>
        <v>201.50180000000003</v>
      </c>
      <c r="T73">
        <f>Tabla1[[#This Row],[cuba_fab_litros]]*Tabla1[[#This Row],[cuba_fab_prot_g_l]]/1000</f>
        <v>168.75649999999999</v>
      </c>
      <c r="U73">
        <f>Tabla1[[#This Row],[queso_kg]]*Tabla1[[#This Row],[queso_est_pct]]/100</f>
        <v>314.48816600000004</v>
      </c>
      <c r="V73">
        <f>Tabla1[[#This Row],[queso_kg]]*Tabla1[[#This Row],[queso_mg_pct]]/100</f>
        <v>165.78700400000002</v>
      </c>
      <c r="W73">
        <f>Tabla1[[#This Row],[queso_est_kg]]-Tabla1[[#This Row],[queso_mg_kg]]</f>
        <v>148.70116200000001</v>
      </c>
      <c r="X73">
        <f>_xlfn.ISOWEEKNUM(Tabla1[[#This Row],[fecha]])</f>
        <v>11</v>
      </c>
      <c r="Y73">
        <v>11</v>
      </c>
      <c r="Z73" s="7">
        <f>Tabla1[[#This Row],[suero_litros]]*Tabla1[[#This Row],[suero_grasa_g_l]]/1000</f>
        <v>35.147419999999997</v>
      </c>
      <c r="AA73" s="7">
        <f>Tabla1[[#This Row],[suero_litros]]*Tabla1[[#This Row],[suero_prot_g_l]]/1000</f>
        <v>33.673639999999999</v>
      </c>
      <c r="AB73" s="7">
        <f>Tabla1[[#This Row],[suero_est_g_l]]*Tabla1[[#This Row],[suero_litros]]/1000</f>
        <v>291.27252000000004</v>
      </c>
    </row>
    <row r="74" spans="1:28" x14ac:dyDescent="0.25">
      <c r="A74" s="1">
        <v>45363</v>
      </c>
      <c r="B74">
        <v>5364</v>
      </c>
      <c r="C74">
        <v>5208</v>
      </c>
      <c r="D74">
        <v>43.18</v>
      </c>
      <c r="E74">
        <v>32.46</v>
      </c>
      <c r="F74">
        <v>5028</v>
      </c>
      <c r="G74">
        <v>40.450000000000003</v>
      </c>
      <c r="H74">
        <v>32.29</v>
      </c>
      <c r="I74">
        <v>5697</v>
      </c>
      <c r="J74">
        <v>615.71</v>
      </c>
      <c r="K74">
        <v>50.72</v>
      </c>
      <c r="L74">
        <v>26.76</v>
      </c>
      <c r="M74">
        <v>4452</v>
      </c>
      <c r="N74">
        <v>8.49</v>
      </c>
      <c r="O74">
        <v>3.34</v>
      </c>
      <c r="P74">
        <v>63.04</v>
      </c>
      <c r="Q74">
        <f>Tabla1[[#This Row],[entrada_litros]]*Tabla1[[#This Row],[entrada_grasa_g_l]]/1000</f>
        <v>224.88144</v>
      </c>
      <c r="R74">
        <f>Tabla1[[#This Row],[entrada_prot_g_l]]*Tabla1[[#This Row],[entrada_litros]]/1000</f>
        <v>169.05168</v>
      </c>
      <c r="S74">
        <f>Tabla1[[#This Row],[cuba_fab_litros]]*Tabla1[[#This Row],[cuba_fab_grasa_g_l]]/1000</f>
        <v>203.3826</v>
      </c>
      <c r="T74">
        <f>Tabla1[[#This Row],[cuba_fab_litros]]*Tabla1[[#This Row],[cuba_fab_prot_g_l]]/1000</f>
        <v>162.35411999999999</v>
      </c>
      <c r="U74">
        <f>Tabla1[[#This Row],[queso_kg]]*Tabla1[[#This Row],[queso_est_pct]]/100</f>
        <v>312.28811200000001</v>
      </c>
      <c r="V74">
        <f>Tabla1[[#This Row],[queso_kg]]*Tabla1[[#This Row],[queso_mg_pct]]/100</f>
        <v>164.76399600000002</v>
      </c>
      <c r="W74">
        <f>Tabla1[[#This Row],[queso_est_kg]]-Tabla1[[#This Row],[queso_mg_kg]]</f>
        <v>147.52411599999999</v>
      </c>
      <c r="X74">
        <f>_xlfn.ISOWEEKNUM(Tabla1[[#This Row],[fecha]])</f>
        <v>11</v>
      </c>
      <c r="Y74">
        <v>11</v>
      </c>
      <c r="Z74" s="7">
        <f>Tabla1[[#This Row],[suero_litros]]*Tabla1[[#This Row],[suero_grasa_g_l]]/1000</f>
        <v>37.79748</v>
      </c>
      <c r="AA74" s="7">
        <f>Tabla1[[#This Row],[suero_litros]]*Tabla1[[#This Row],[suero_prot_g_l]]/1000</f>
        <v>14.869679999999999</v>
      </c>
      <c r="AB74" s="7">
        <f>Tabla1[[#This Row],[suero_est_g_l]]*Tabla1[[#This Row],[suero_litros]]/1000</f>
        <v>280.65408000000002</v>
      </c>
    </row>
    <row r="75" spans="1:28" x14ac:dyDescent="0.25">
      <c r="A75" s="1">
        <v>45364</v>
      </c>
      <c r="B75">
        <v>5592</v>
      </c>
      <c r="C75">
        <v>5429</v>
      </c>
      <c r="D75">
        <v>45.29</v>
      </c>
      <c r="E75">
        <v>36.39</v>
      </c>
      <c r="F75">
        <v>5016</v>
      </c>
      <c r="G75">
        <v>41.87</v>
      </c>
      <c r="H75">
        <v>33.630000000000003</v>
      </c>
      <c r="I75">
        <v>6126</v>
      </c>
      <c r="J75">
        <v>619.52</v>
      </c>
      <c r="K75">
        <v>49.94</v>
      </c>
      <c r="L75">
        <v>26.61</v>
      </c>
      <c r="M75">
        <v>4436</v>
      </c>
      <c r="N75">
        <v>9.94</v>
      </c>
      <c r="O75">
        <v>5.35</v>
      </c>
      <c r="P75">
        <v>67.16</v>
      </c>
      <c r="Q75">
        <f>Tabla1[[#This Row],[entrada_litros]]*Tabla1[[#This Row],[entrada_grasa_g_l]]/1000</f>
        <v>245.87941000000001</v>
      </c>
      <c r="R75">
        <f>Tabla1[[#This Row],[entrada_prot_g_l]]*Tabla1[[#This Row],[entrada_litros]]/1000</f>
        <v>197.56130999999999</v>
      </c>
      <c r="S75">
        <f>Tabla1[[#This Row],[cuba_fab_litros]]*Tabla1[[#This Row],[cuba_fab_grasa_g_l]]/1000</f>
        <v>210.01991999999998</v>
      </c>
      <c r="T75">
        <f>Tabla1[[#This Row],[cuba_fab_litros]]*Tabla1[[#This Row],[cuba_fab_prot_g_l]]/1000</f>
        <v>168.68808000000001</v>
      </c>
      <c r="U75">
        <f>Tabla1[[#This Row],[queso_kg]]*Tabla1[[#This Row],[queso_est_pct]]/100</f>
        <v>309.38828799999999</v>
      </c>
      <c r="V75">
        <f>Tabla1[[#This Row],[queso_kg]]*Tabla1[[#This Row],[queso_mg_pct]]/100</f>
        <v>164.85427199999998</v>
      </c>
      <c r="W75">
        <f>Tabla1[[#This Row],[queso_est_kg]]-Tabla1[[#This Row],[queso_mg_kg]]</f>
        <v>144.53401600000001</v>
      </c>
      <c r="X75">
        <f>_xlfn.ISOWEEKNUM(Tabla1[[#This Row],[fecha]])</f>
        <v>11</v>
      </c>
      <c r="Y75">
        <v>11</v>
      </c>
      <c r="Z75" s="7">
        <f>Tabla1[[#This Row],[suero_litros]]*Tabla1[[#This Row],[suero_grasa_g_l]]/1000</f>
        <v>44.093839999999993</v>
      </c>
      <c r="AA75" s="7">
        <f>Tabla1[[#This Row],[suero_litros]]*Tabla1[[#This Row],[suero_prot_g_l]]/1000</f>
        <v>23.732599999999998</v>
      </c>
      <c r="AB75" s="7">
        <f>Tabla1[[#This Row],[suero_est_g_l]]*Tabla1[[#This Row],[suero_litros]]/1000</f>
        <v>297.92176000000001</v>
      </c>
    </row>
    <row r="76" spans="1:28" x14ac:dyDescent="0.25">
      <c r="A76" s="1">
        <v>45365</v>
      </c>
      <c r="B76">
        <v>4792</v>
      </c>
      <c r="C76">
        <v>4652</v>
      </c>
      <c r="D76">
        <v>38.200000000000003</v>
      </c>
      <c r="E76">
        <v>34.159999999999997</v>
      </c>
      <c r="F76">
        <v>5015</v>
      </c>
      <c r="G76">
        <v>40.020000000000003</v>
      </c>
      <c r="H76">
        <v>33.130000000000003</v>
      </c>
      <c r="I76">
        <v>5778</v>
      </c>
      <c r="J76">
        <v>672.64</v>
      </c>
      <c r="K76">
        <v>51.93</v>
      </c>
      <c r="L76">
        <v>26.6</v>
      </c>
      <c r="M76">
        <v>4383</v>
      </c>
      <c r="N76">
        <v>4.83</v>
      </c>
      <c r="O76">
        <v>2.5499999999999998</v>
      </c>
      <c r="P76">
        <v>59.23</v>
      </c>
      <c r="Q76">
        <f>Tabla1[[#This Row],[entrada_litros]]*Tabla1[[#This Row],[entrada_grasa_g_l]]/1000</f>
        <v>177.70640000000003</v>
      </c>
      <c r="R76">
        <f>Tabla1[[#This Row],[entrada_prot_g_l]]*Tabla1[[#This Row],[entrada_litros]]/1000</f>
        <v>158.91231999999997</v>
      </c>
      <c r="S76">
        <f>Tabla1[[#This Row],[cuba_fab_litros]]*Tabla1[[#This Row],[cuba_fab_grasa_g_l]]/1000</f>
        <v>200.70030000000003</v>
      </c>
      <c r="T76">
        <f>Tabla1[[#This Row],[cuba_fab_litros]]*Tabla1[[#This Row],[cuba_fab_prot_g_l]]/1000</f>
        <v>166.14695</v>
      </c>
      <c r="U76">
        <f>Tabla1[[#This Row],[queso_kg]]*Tabla1[[#This Row],[queso_est_pct]]/100</f>
        <v>349.30195200000003</v>
      </c>
      <c r="V76">
        <f>Tabla1[[#This Row],[queso_kg]]*Tabla1[[#This Row],[queso_mg_pct]]/100</f>
        <v>178.92224000000002</v>
      </c>
      <c r="W76">
        <f>Tabla1[[#This Row],[queso_est_kg]]-Tabla1[[#This Row],[queso_mg_kg]]</f>
        <v>170.37971200000001</v>
      </c>
      <c r="X76">
        <f>_xlfn.ISOWEEKNUM(Tabla1[[#This Row],[fecha]])</f>
        <v>11</v>
      </c>
      <c r="Y76">
        <v>11</v>
      </c>
      <c r="Z76" s="7">
        <f>Tabla1[[#This Row],[suero_litros]]*Tabla1[[#This Row],[suero_grasa_g_l]]/1000</f>
        <v>21.169889999999999</v>
      </c>
      <c r="AA76" s="7">
        <f>Tabla1[[#This Row],[suero_litros]]*Tabla1[[#This Row],[suero_prot_g_l]]/1000</f>
        <v>11.17665</v>
      </c>
      <c r="AB76" s="7">
        <f>Tabla1[[#This Row],[suero_est_g_l]]*Tabla1[[#This Row],[suero_litros]]/1000</f>
        <v>259.60509000000002</v>
      </c>
    </row>
    <row r="77" spans="1:28" x14ac:dyDescent="0.25">
      <c r="A77" s="1">
        <v>45366</v>
      </c>
      <c r="B77">
        <v>0</v>
      </c>
      <c r="C77">
        <v>0</v>
      </c>
      <c r="D77">
        <v>0</v>
      </c>
      <c r="E77">
        <v>0</v>
      </c>
      <c r="F77">
        <v>5798</v>
      </c>
      <c r="G77">
        <v>39.36</v>
      </c>
      <c r="H77">
        <v>33.15</v>
      </c>
      <c r="I77">
        <v>0</v>
      </c>
      <c r="J77">
        <v>740.09</v>
      </c>
      <c r="K77">
        <v>50.72</v>
      </c>
      <c r="L77">
        <v>25.96</v>
      </c>
      <c r="M77">
        <v>5104</v>
      </c>
      <c r="N77">
        <v>6.89</v>
      </c>
      <c r="O77">
        <v>4.6100000000000003</v>
      </c>
      <c r="P77">
        <v>63.62</v>
      </c>
      <c r="Q77">
        <f>Tabla1[[#This Row],[entrada_litros]]*Tabla1[[#This Row],[entrada_grasa_g_l]]/1000</f>
        <v>0</v>
      </c>
      <c r="R77">
        <f>Tabla1[[#This Row],[entrada_prot_g_l]]*Tabla1[[#This Row],[entrada_litros]]/1000</f>
        <v>0</v>
      </c>
      <c r="S77">
        <f>Tabla1[[#This Row],[cuba_fab_litros]]*Tabla1[[#This Row],[cuba_fab_grasa_g_l]]/1000</f>
        <v>228.20928000000001</v>
      </c>
      <c r="T77">
        <f>Tabla1[[#This Row],[cuba_fab_litros]]*Tabla1[[#This Row],[cuba_fab_prot_g_l]]/1000</f>
        <v>192.20369999999997</v>
      </c>
      <c r="U77">
        <f>Tabla1[[#This Row],[queso_kg]]*Tabla1[[#This Row],[queso_est_pct]]/100</f>
        <v>375.373648</v>
      </c>
      <c r="V77">
        <f>Tabla1[[#This Row],[queso_kg]]*Tabla1[[#This Row],[queso_mg_pct]]/100</f>
        <v>192.12736400000003</v>
      </c>
      <c r="W77">
        <f>Tabla1[[#This Row],[queso_est_kg]]-Tabla1[[#This Row],[queso_mg_kg]]</f>
        <v>183.24628399999997</v>
      </c>
      <c r="X77">
        <f>_xlfn.ISOWEEKNUM(Tabla1[[#This Row],[fecha]])</f>
        <v>11</v>
      </c>
      <c r="Y77">
        <v>11</v>
      </c>
      <c r="Z77" s="7">
        <f>Tabla1[[#This Row],[suero_litros]]*Tabla1[[#This Row],[suero_grasa_g_l]]/1000</f>
        <v>35.166559999999997</v>
      </c>
      <c r="AA77" s="7">
        <f>Tabla1[[#This Row],[suero_litros]]*Tabla1[[#This Row],[suero_prot_g_l]]/1000</f>
        <v>23.529440000000001</v>
      </c>
      <c r="AB77" s="7">
        <f>Tabla1[[#This Row],[suero_est_g_l]]*Tabla1[[#This Row],[suero_litros]]/1000</f>
        <v>324.71647999999999</v>
      </c>
    </row>
    <row r="78" spans="1:28" x14ac:dyDescent="0.25">
      <c r="A78" s="1">
        <v>45367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f>Tabla1[[#This Row],[entrada_litros]]*Tabla1[[#This Row],[entrada_grasa_g_l]]/1000</f>
        <v>0</v>
      </c>
      <c r="R78">
        <f>Tabla1[[#This Row],[entrada_prot_g_l]]*Tabla1[[#This Row],[entrada_litros]]/1000</f>
        <v>0</v>
      </c>
      <c r="S78">
        <f>Tabla1[[#This Row],[cuba_fab_litros]]*Tabla1[[#This Row],[cuba_fab_grasa_g_l]]/1000</f>
        <v>0</v>
      </c>
      <c r="T78">
        <f>Tabla1[[#This Row],[cuba_fab_litros]]*Tabla1[[#This Row],[cuba_fab_prot_g_l]]/1000</f>
        <v>0</v>
      </c>
      <c r="U78">
        <f>Tabla1[[#This Row],[queso_kg]]*Tabla1[[#This Row],[queso_est_pct]]/100</f>
        <v>0</v>
      </c>
      <c r="V78">
        <f>Tabla1[[#This Row],[queso_kg]]*Tabla1[[#This Row],[queso_mg_pct]]/100</f>
        <v>0</v>
      </c>
      <c r="W78">
        <f>Tabla1[[#This Row],[queso_est_kg]]-Tabla1[[#This Row],[queso_mg_kg]]</f>
        <v>0</v>
      </c>
      <c r="X78">
        <f>_xlfn.ISOWEEKNUM(Tabla1[[#This Row],[fecha]])</f>
        <v>11</v>
      </c>
      <c r="Y78">
        <v>11</v>
      </c>
      <c r="Z78" s="7">
        <f>Tabla1[[#This Row],[suero_litros]]*Tabla1[[#This Row],[suero_grasa_g_l]]/1000</f>
        <v>0</v>
      </c>
      <c r="AA78" s="7">
        <f>Tabla1[[#This Row],[suero_litros]]*Tabla1[[#This Row],[suero_prot_g_l]]/1000</f>
        <v>0</v>
      </c>
      <c r="AB78" s="7">
        <f>Tabla1[[#This Row],[suero_est_g_l]]*Tabla1[[#This Row],[suero_litros]]/1000</f>
        <v>0</v>
      </c>
    </row>
    <row r="79" spans="1:28" x14ac:dyDescent="0.25">
      <c r="A79" s="1">
        <v>45368</v>
      </c>
      <c r="B79">
        <v>4944</v>
      </c>
      <c r="C79">
        <v>4800</v>
      </c>
      <c r="D79">
        <v>42.59</v>
      </c>
      <c r="E79">
        <v>37.78</v>
      </c>
      <c r="F79">
        <v>0</v>
      </c>
      <c r="G79">
        <v>0</v>
      </c>
      <c r="H79">
        <v>0</v>
      </c>
      <c r="I79">
        <v>4800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f>Tabla1[[#This Row],[entrada_litros]]*Tabla1[[#This Row],[entrada_grasa_g_l]]/1000</f>
        <v>204.43200000000002</v>
      </c>
      <c r="R79">
        <f>Tabla1[[#This Row],[entrada_prot_g_l]]*Tabla1[[#This Row],[entrada_litros]]/1000</f>
        <v>181.34399999999999</v>
      </c>
      <c r="S79">
        <f>Tabla1[[#This Row],[cuba_fab_litros]]*Tabla1[[#This Row],[cuba_fab_grasa_g_l]]/1000</f>
        <v>0</v>
      </c>
      <c r="T79">
        <f>Tabla1[[#This Row],[cuba_fab_litros]]*Tabla1[[#This Row],[cuba_fab_prot_g_l]]/1000</f>
        <v>0</v>
      </c>
      <c r="U79">
        <f>Tabla1[[#This Row],[queso_kg]]*Tabla1[[#This Row],[queso_est_pct]]/100</f>
        <v>0</v>
      </c>
      <c r="V79">
        <f>Tabla1[[#This Row],[queso_kg]]*Tabla1[[#This Row],[queso_mg_pct]]/100</f>
        <v>0</v>
      </c>
      <c r="W79">
        <f>Tabla1[[#This Row],[queso_est_kg]]-Tabla1[[#This Row],[queso_mg_kg]]</f>
        <v>0</v>
      </c>
      <c r="X79">
        <f>_xlfn.ISOWEEKNUM(Tabla1[[#This Row],[fecha]])</f>
        <v>11</v>
      </c>
      <c r="Y79">
        <v>12</v>
      </c>
      <c r="Z79" s="7">
        <f>Tabla1[[#This Row],[suero_litros]]*Tabla1[[#This Row],[suero_grasa_g_l]]/1000</f>
        <v>0</v>
      </c>
      <c r="AA79" s="7">
        <f>Tabla1[[#This Row],[suero_litros]]*Tabla1[[#This Row],[suero_prot_g_l]]/1000</f>
        <v>0</v>
      </c>
      <c r="AB79" s="7">
        <f>Tabla1[[#This Row],[suero_est_g_l]]*Tabla1[[#This Row],[suero_litros]]/1000</f>
        <v>0</v>
      </c>
    </row>
    <row r="80" spans="1:28" x14ac:dyDescent="0.25">
      <c r="A80" s="1">
        <v>45369</v>
      </c>
      <c r="B80">
        <v>5356</v>
      </c>
      <c r="C80">
        <v>5200</v>
      </c>
      <c r="D80">
        <v>42.26</v>
      </c>
      <c r="E80">
        <v>34.75</v>
      </c>
      <c r="F80">
        <v>5024</v>
      </c>
      <c r="G80">
        <v>39.880000000000003</v>
      </c>
      <c r="H80">
        <v>34.51</v>
      </c>
      <c r="I80">
        <v>5000</v>
      </c>
      <c r="J80">
        <v>637.34</v>
      </c>
      <c r="K80">
        <v>51.96</v>
      </c>
      <c r="L80">
        <v>27.09</v>
      </c>
      <c r="M80">
        <v>4427</v>
      </c>
      <c r="N80">
        <v>6.15</v>
      </c>
      <c r="O80">
        <v>5.57</v>
      </c>
      <c r="P80">
        <v>63.35</v>
      </c>
      <c r="Q80">
        <f>Tabla1[[#This Row],[entrada_litros]]*Tabla1[[#This Row],[entrada_grasa_g_l]]/1000</f>
        <v>219.75200000000001</v>
      </c>
      <c r="R80">
        <f>Tabla1[[#This Row],[entrada_prot_g_l]]*Tabla1[[#This Row],[entrada_litros]]/1000</f>
        <v>180.7</v>
      </c>
      <c r="S80">
        <f>Tabla1[[#This Row],[cuba_fab_litros]]*Tabla1[[#This Row],[cuba_fab_grasa_g_l]]/1000</f>
        <v>200.35712000000004</v>
      </c>
      <c r="T80">
        <f>Tabla1[[#This Row],[cuba_fab_litros]]*Tabla1[[#This Row],[cuba_fab_prot_g_l]]/1000</f>
        <v>173.37823999999998</v>
      </c>
      <c r="U80">
        <f>Tabla1[[#This Row],[queso_kg]]*Tabla1[[#This Row],[queso_est_pct]]/100</f>
        <v>331.16186399999998</v>
      </c>
      <c r="V80">
        <f>Tabla1[[#This Row],[queso_kg]]*Tabla1[[#This Row],[queso_mg_pct]]/100</f>
        <v>172.655406</v>
      </c>
      <c r="W80">
        <f>Tabla1[[#This Row],[queso_est_kg]]-Tabla1[[#This Row],[queso_mg_kg]]</f>
        <v>158.50645799999998</v>
      </c>
      <c r="X80">
        <f>_xlfn.ISOWEEKNUM(Tabla1[[#This Row],[fecha]])</f>
        <v>12</v>
      </c>
      <c r="Y80">
        <v>12</v>
      </c>
      <c r="Z80" s="7">
        <f>Tabla1[[#This Row],[suero_litros]]*Tabla1[[#This Row],[suero_grasa_g_l]]/1000</f>
        <v>27.226050000000004</v>
      </c>
      <c r="AA80" s="7">
        <f>Tabla1[[#This Row],[suero_litros]]*Tabla1[[#This Row],[suero_prot_g_l]]/1000</f>
        <v>24.658390000000004</v>
      </c>
      <c r="AB80" s="7">
        <f>Tabla1[[#This Row],[suero_est_g_l]]*Tabla1[[#This Row],[suero_litros]]/1000</f>
        <v>280.45044999999999</v>
      </c>
    </row>
    <row r="81" spans="1:28" x14ac:dyDescent="0.25">
      <c r="A81" s="1">
        <v>45370</v>
      </c>
      <c r="B81">
        <v>4520</v>
      </c>
      <c r="C81">
        <v>4388</v>
      </c>
      <c r="D81">
        <v>42.96</v>
      </c>
      <c r="E81">
        <v>35</v>
      </c>
      <c r="F81">
        <v>5023</v>
      </c>
      <c r="G81">
        <v>40.380000000000003</v>
      </c>
      <c r="H81">
        <v>34.07</v>
      </c>
      <c r="I81">
        <v>4388</v>
      </c>
      <c r="J81">
        <v>653.54999999999995</v>
      </c>
      <c r="K81">
        <v>51.43</v>
      </c>
      <c r="L81">
        <v>27.21</v>
      </c>
      <c r="M81">
        <v>4410</v>
      </c>
      <c r="N81">
        <v>5.57</v>
      </c>
      <c r="O81">
        <v>5</v>
      </c>
      <c r="P81">
        <v>60.94</v>
      </c>
      <c r="Q81">
        <f>Tabla1[[#This Row],[entrada_litros]]*Tabla1[[#This Row],[entrada_grasa_g_l]]/1000</f>
        <v>188.50848000000002</v>
      </c>
      <c r="R81">
        <f>Tabla1[[#This Row],[entrada_prot_g_l]]*Tabla1[[#This Row],[entrada_litros]]/1000</f>
        <v>153.58000000000001</v>
      </c>
      <c r="S81">
        <f>Tabla1[[#This Row],[cuba_fab_litros]]*Tabla1[[#This Row],[cuba_fab_grasa_g_l]]/1000</f>
        <v>202.82874000000001</v>
      </c>
      <c r="T81">
        <f>Tabla1[[#This Row],[cuba_fab_litros]]*Tabla1[[#This Row],[cuba_fab_prot_g_l]]/1000</f>
        <v>171.13361</v>
      </c>
      <c r="U81">
        <f>Tabla1[[#This Row],[queso_kg]]*Tabla1[[#This Row],[queso_est_pct]]/100</f>
        <v>336.12076499999995</v>
      </c>
      <c r="V81">
        <f>Tabla1[[#This Row],[queso_kg]]*Tabla1[[#This Row],[queso_mg_pct]]/100</f>
        <v>177.83095499999999</v>
      </c>
      <c r="W81">
        <f>Tabla1[[#This Row],[queso_est_kg]]-Tabla1[[#This Row],[queso_mg_kg]]</f>
        <v>158.28980999999996</v>
      </c>
      <c r="X81">
        <f>_xlfn.ISOWEEKNUM(Tabla1[[#This Row],[fecha]])</f>
        <v>12</v>
      </c>
      <c r="Y81">
        <v>12</v>
      </c>
      <c r="Z81" s="7">
        <f>Tabla1[[#This Row],[suero_litros]]*Tabla1[[#This Row],[suero_grasa_g_l]]/1000</f>
        <v>24.563700000000001</v>
      </c>
      <c r="AA81" s="7">
        <f>Tabla1[[#This Row],[suero_litros]]*Tabla1[[#This Row],[suero_prot_g_l]]/1000</f>
        <v>22.05</v>
      </c>
      <c r="AB81" s="7">
        <f>Tabla1[[#This Row],[suero_est_g_l]]*Tabla1[[#This Row],[suero_litros]]/1000</f>
        <v>268.74539999999996</v>
      </c>
    </row>
    <row r="82" spans="1:28" x14ac:dyDescent="0.25">
      <c r="A82" s="1">
        <v>45371</v>
      </c>
      <c r="B82">
        <v>5134</v>
      </c>
      <c r="C82">
        <v>4984</v>
      </c>
      <c r="D82">
        <v>40.380000000000003</v>
      </c>
      <c r="E82">
        <v>34.99</v>
      </c>
      <c r="F82">
        <v>5028</v>
      </c>
      <c r="G82">
        <v>39.47</v>
      </c>
      <c r="H82">
        <v>33.909999999999997</v>
      </c>
      <c r="I82">
        <v>4372</v>
      </c>
      <c r="J82">
        <v>629.33000000000004</v>
      </c>
      <c r="K82">
        <v>52.26</v>
      </c>
      <c r="L82">
        <v>27.57</v>
      </c>
      <c r="M82">
        <v>4439</v>
      </c>
      <c r="N82">
        <v>5.51</v>
      </c>
      <c r="O82">
        <v>5.84</v>
      </c>
      <c r="P82">
        <v>61.87</v>
      </c>
      <c r="Q82">
        <f>Tabla1[[#This Row],[entrada_litros]]*Tabla1[[#This Row],[entrada_grasa_g_l]]/1000</f>
        <v>201.25392000000002</v>
      </c>
      <c r="R82">
        <f>Tabla1[[#This Row],[entrada_prot_g_l]]*Tabla1[[#This Row],[entrada_litros]]/1000</f>
        <v>174.39016000000001</v>
      </c>
      <c r="S82">
        <f>Tabla1[[#This Row],[cuba_fab_litros]]*Tabla1[[#This Row],[cuba_fab_grasa_g_l]]/1000</f>
        <v>198.45516000000001</v>
      </c>
      <c r="T82">
        <f>Tabla1[[#This Row],[cuba_fab_litros]]*Tabla1[[#This Row],[cuba_fab_prot_g_l]]/1000</f>
        <v>170.49947999999998</v>
      </c>
      <c r="U82">
        <f>Tabla1[[#This Row],[queso_kg]]*Tabla1[[#This Row],[queso_est_pct]]/100</f>
        <v>328.88785799999999</v>
      </c>
      <c r="V82">
        <f>Tabla1[[#This Row],[queso_kg]]*Tabla1[[#This Row],[queso_mg_pct]]/100</f>
        <v>173.50628100000003</v>
      </c>
      <c r="W82">
        <f>Tabla1[[#This Row],[queso_est_kg]]-Tabla1[[#This Row],[queso_mg_kg]]</f>
        <v>155.38157699999996</v>
      </c>
      <c r="X82">
        <f>_xlfn.ISOWEEKNUM(Tabla1[[#This Row],[fecha]])</f>
        <v>12</v>
      </c>
      <c r="Y82">
        <v>12</v>
      </c>
      <c r="Z82" s="7">
        <f>Tabla1[[#This Row],[suero_litros]]*Tabla1[[#This Row],[suero_grasa_g_l]]/1000</f>
        <v>24.45889</v>
      </c>
      <c r="AA82" s="7">
        <f>Tabla1[[#This Row],[suero_litros]]*Tabla1[[#This Row],[suero_prot_g_l]]/1000</f>
        <v>25.923759999999998</v>
      </c>
      <c r="AB82" s="7">
        <f>Tabla1[[#This Row],[suero_est_g_l]]*Tabla1[[#This Row],[suero_litros]]/1000</f>
        <v>274.64092999999997</v>
      </c>
    </row>
    <row r="83" spans="1:28" x14ac:dyDescent="0.25">
      <c r="A83" s="1">
        <v>45372</v>
      </c>
      <c r="B83">
        <v>5212</v>
      </c>
      <c r="C83">
        <v>5060</v>
      </c>
      <c r="D83">
        <v>42.75</v>
      </c>
      <c r="E83">
        <v>35.200000000000003</v>
      </c>
      <c r="F83">
        <v>5030</v>
      </c>
      <c r="G83">
        <v>40.409999999999997</v>
      </c>
      <c r="H83">
        <v>33.86</v>
      </c>
      <c r="I83">
        <v>4432</v>
      </c>
      <c r="J83">
        <v>593.70000000000005</v>
      </c>
      <c r="K83">
        <v>52.04</v>
      </c>
      <c r="L83">
        <v>27.42</v>
      </c>
      <c r="M83">
        <v>4475</v>
      </c>
      <c r="N83">
        <v>8.74</v>
      </c>
      <c r="O83">
        <v>7.64</v>
      </c>
      <c r="P83">
        <v>67.36</v>
      </c>
      <c r="Q83">
        <f>Tabla1[[#This Row],[entrada_litros]]*Tabla1[[#This Row],[entrada_grasa_g_l]]/1000</f>
        <v>216.315</v>
      </c>
      <c r="R83">
        <f>Tabla1[[#This Row],[entrada_prot_g_l]]*Tabla1[[#This Row],[entrada_litros]]/1000</f>
        <v>178.11199999999999</v>
      </c>
      <c r="S83">
        <f>Tabla1[[#This Row],[cuba_fab_litros]]*Tabla1[[#This Row],[cuba_fab_grasa_g_l]]/1000</f>
        <v>203.26229999999998</v>
      </c>
      <c r="T83">
        <f>Tabla1[[#This Row],[cuba_fab_litros]]*Tabla1[[#This Row],[cuba_fab_prot_g_l]]/1000</f>
        <v>170.3158</v>
      </c>
      <c r="U83">
        <f>Tabla1[[#This Row],[queso_kg]]*Tabla1[[#This Row],[queso_est_pct]]/100</f>
        <v>308.96147999999999</v>
      </c>
      <c r="V83">
        <f>Tabla1[[#This Row],[queso_kg]]*Tabla1[[#This Row],[queso_mg_pct]]/100</f>
        <v>162.79254000000003</v>
      </c>
      <c r="W83">
        <f>Tabla1[[#This Row],[queso_est_kg]]-Tabla1[[#This Row],[queso_mg_kg]]</f>
        <v>146.16893999999996</v>
      </c>
      <c r="X83">
        <f>_xlfn.ISOWEEKNUM(Tabla1[[#This Row],[fecha]])</f>
        <v>12</v>
      </c>
      <c r="Y83">
        <v>12</v>
      </c>
      <c r="Z83" s="7">
        <f>Tabla1[[#This Row],[suero_litros]]*Tabla1[[#This Row],[suero_grasa_g_l]]/1000</f>
        <v>39.111499999999999</v>
      </c>
      <c r="AA83" s="7">
        <f>Tabla1[[#This Row],[suero_litros]]*Tabla1[[#This Row],[suero_prot_g_l]]/1000</f>
        <v>34.189</v>
      </c>
      <c r="AB83" s="7">
        <f>Tabla1[[#This Row],[suero_est_g_l]]*Tabla1[[#This Row],[suero_litros]]/1000</f>
        <v>301.43599999999998</v>
      </c>
    </row>
    <row r="84" spans="1:28" x14ac:dyDescent="0.25">
      <c r="A84" s="1">
        <v>45373</v>
      </c>
      <c r="B84">
        <v>0</v>
      </c>
      <c r="C84">
        <v>0</v>
      </c>
      <c r="D84">
        <v>0</v>
      </c>
      <c r="E84">
        <v>0</v>
      </c>
      <c r="F84">
        <v>4456</v>
      </c>
      <c r="G84">
        <v>40.58</v>
      </c>
      <c r="H84">
        <v>33.58</v>
      </c>
      <c r="I84">
        <v>0</v>
      </c>
      <c r="J84">
        <v>558.94000000000005</v>
      </c>
      <c r="K84">
        <v>51.59</v>
      </c>
      <c r="L84">
        <v>26.9</v>
      </c>
      <c r="M84">
        <v>3932</v>
      </c>
      <c r="N84">
        <v>7.6</v>
      </c>
      <c r="O84">
        <v>5.86</v>
      </c>
      <c r="P84">
        <v>62.43</v>
      </c>
      <c r="Q84">
        <f>Tabla1[[#This Row],[entrada_litros]]*Tabla1[[#This Row],[entrada_grasa_g_l]]/1000</f>
        <v>0</v>
      </c>
      <c r="R84">
        <f>Tabla1[[#This Row],[entrada_prot_g_l]]*Tabla1[[#This Row],[entrada_litros]]/1000</f>
        <v>0</v>
      </c>
      <c r="S84">
        <f>Tabla1[[#This Row],[cuba_fab_litros]]*Tabla1[[#This Row],[cuba_fab_grasa_g_l]]/1000</f>
        <v>180.82447999999999</v>
      </c>
      <c r="T84">
        <f>Tabla1[[#This Row],[cuba_fab_litros]]*Tabla1[[#This Row],[cuba_fab_prot_g_l]]/1000</f>
        <v>149.63247999999999</v>
      </c>
      <c r="U84">
        <f>Tabla1[[#This Row],[queso_kg]]*Tabla1[[#This Row],[queso_est_pct]]/100</f>
        <v>288.35714600000006</v>
      </c>
      <c r="V84">
        <f>Tabla1[[#This Row],[queso_kg]]*Tabla1[[#This Row],[queso_mg_pct]]/100</f>
        <v>150.35486</v>
      </c>
      <c r="W84">
        <f>Tabla1[[#This Row],[queso_est_kg]]-Tabla1[[#This Row],[queso_mg_kg]]</f>
        <v>138.00228600000005</v>
      </c>
      <c r="X84">
        <f>_xlfn.ISOWEEKNUM(Tabla1[[#This Row],[fecha]])</f>
        <v>12</v>
      </c>
      <c r="Y84">
        <v>12</v>
      </c>
      <c r="Z84" s="7">
        <f>Tabla1[[#This Row],[suero_litros]]*Tabla1[[#This Row],[suero_grasa_g_l]]/1000</f>
        <v>29.883199999999999</v>
      </c>
      <c r="AA84" s="7">
        <f>Tabla1[[#This Row],[suero_litros]]*Tabla1[[#This Row],[suero_prot_g_l]]/1000</f>
        <v>23.041520000000002</v>
      </c>
      <c r="AB84" s="7">
        <f>Tabla1[[#This Row],[suero_est_g_l]]*Tabla1[[#This Row],[suero_litros]]/1000</f>
        <v>245.47476</v>
      </c>
    </row>
    <row r="85" spans="1:28" x14ac:dyDescent="0.25">
      <c r="A85" s="1">
        <v>45374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f>Tabla1[[#This Row],[entrada_litros]]*Tabla1[[#This Row],[entrada_grasa_g_l]]/1000</f>
        <v>0</v>
      </c>
      <c r="R85">
        <f>Tabla1[[#This Row],[entrada_prot_g_l]]*Tabla1[[#This Row],[entrada_litros]]/1000</f>
        <v>0</v>
      </c>
      <c r="S85">
        <f>Tabla1[[#This Row],[cuba_fab_litros]]*Tabla1[[#This Row],[cuba_fab_grasa_g_l]]/1000</f>
        <v>0</v>
      </c>
      <c r="T85">
        <f>Tabla1[[#This Row],[cuba_fab_litros]]*Tabla1[[#This Row],[cuba_fab_prot_g_l]]/1000</f>
        <v>0</v>
      </c>
      <c r="U85">
        <f>Tabla1[[#This Row],[queso_kg]]*Tabla1[[#This Row],[queso_est_pct]]/100</f>
        <v>0</v>
      </c>
      <c r="V85">
        <f>Tabla1[[#This Row],[queso_kg]]*Tabla1[[#This Row],[queso_mg_pct]]/100</f>
        <v>0</v>
      </c>
      <c r="W85">
        <f>Tabla1[[#This Row],[queso_est_kg]]-Tabla1[[#This Row],[queso_mg_kg]]</f>
        <v>0</v>
      </c>
      <c r="X85">
        <f>_xlfn.ISOWEEKNUM(Tabla1[[#This Row],[fecha]])</f>
        <v>12</v>
      </c>
      <c r="Y85">
        <v>12</v>
      </c>
      <c r="Z85" s="7">
        <f>Tabla1[[#This Row],[suero_litros]]*Tabla1[[#This Row],[suero_grasa_g_l]]/1000</f>
        <v>0</v>
      </c>
      <c r="AA85" s="7">
        <f>Tabla1[[#This Row],[suero_litros]]*Tabla1[[#This Row],[suero_prot_g_l]]/1000</f>
        <v>0</v>
      </c>
      <c r="AB85" s="7">
        <f>Tabla1[[#This Row],[suero_est_g_l]]*Tabla1[[#This Row],[suero_litros]]/1000</f>
        <v>0</v>
      </c>
    </row>
    <row r="86" spans="1:28" x14ac:dyDescent="0.25">
      <c r="A86" s="1">
        <v>45375</v>
      </c>
      <c r="B86">
        <v>4801</v>
      </c>
      <c r="C86">
        <v>4661</v>
      </c>
      <c r="D86">
        <v>44.02</v>
      </c>
      <c r="E86">
        <v>36.31</v>
      </c>
      <c r="F86">
        <v>0</v>
      </c>
      <c r="G86">
        <v>0</v>
      </c>
      <c r="H86">
        <v>0</v>
      </c>
      <c r="I86">
        <v>4661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f>Tabla1[[#This Row],[entrada_litros]]*Tabla1[[#This Row],[entrada_grasa_g_l]]/1000</f>
        <v>205.17722000000001</v>
      </c>
      <c r="R86">
        <f>Tabla1[[#This Row],[entrada_prot_g_l]]*Tabla1[[#This Row],[entrada_litros]]/1000</f>
        <v>169.24091000000001</v>
      </c>
      <c r="S86">
        <f>Tabla1[[#This Row],[cuba_fab_litros]]*Tabla1[[#This Row],[cuba_fab_grasa_g_l]]/1000</f>
        <v>0</v>
      </c>
      <c r="T86">
        <f>Tabla1[[#This Row],[cuba_fab_litros]]*Tabla1[[#This Row],[cuba_fab_prot_g_l]]/1000</f>
        <v>0</v>
      </c>
      <c r="U86">
        <f>Tabla1[[#This Row],[queso_kg]]*Tabla1[[#This Row],[queso_est_pct]]/100</f>
        <v>0</v>
      </c>
      <c r="V86">
        <f>Tabla1[[#This Row],[queso_kg]]*Tabla1[[#This Row],[queso_mg_pct]]/100</f>
        <v>0</v>
      </c>
      <c r="W86">
        <f>Tabla1[[#This Row],[queso_est_kg]]-Tabla1[[#This Row],[queso_mg_kg]]</f>
        <v>0</v>
      </c>
      <c r="X86">
        <f>_xlfn.ISOWEEKNUM(Tabla1[[#This Row],[fecha]])</f>
        <v>12</v>
      </c>
      <c r="Y86">
        <v>13</v>
      </c>
      <c r="Z86" s="7">
        <f>Tabla1[[#This Row],[suero_litros]]*Tabla1[[#This Row],[suero_grasa_g_l]]/1000</f>
        <v>0</v>
      </c>
      <c r="AA86" s="7">
        <f>Tabla1[[#This Row],[suero_litros]]*Tabla1[[#This Row],[suero_prot_g_l]]/1000</f>
        <v>0</v>
      </c>
      <c r="AB86" s="7">
        <f>Tabla1[[#This Row],[suero_est_g_l]]*Tabla1[[#This Row],[suero_litros]]/1000</f>
        <v>0</v>
      </c>
    </row>
    <row r="87" spans="1:28" x14ac:dyDescent="0.25">
      <c r="A87" s="1">
        <v>45376</v>
      </c>
      <c r="B87">
        <v>5111</v>
      </c>
      <c r="C87">
        <v>4962</v>
      </c>
      <c r="D87">
        <v>43.38</v>
      </c>
      <c r="E87">
        <v>34.97</v>
      </c>
      <c r="F87">
        <v>5026</v>
      </c>
      <c r="G87">
        <v>41.76</v>
      </c>
      <c r="H87">
        <v>33.909999999999997</v>
      </c>
      <c r="I87">
        <v>4623</v>
      </c>
      <c r="J87">
        <v>647.04999999999995</v>
      </c>
      <c r="K87">
        <v>52.18</v>
      </c>
      <c r="L87">
        <v>27.33</v>
      </c>
      <c r="M87">
        <v>4419</v>
      </c>
      <c r="N87">
        <v>7.37</v>
      </c>
      <c r="O87">
        <v>5.89</v>
      </c>
      <c r="P87">
        <v>64.849999999999994</v>
      </c>
      <c r="Q87">
        <f>Tabla1[[#This Row],[entrada_litros]]*Tabla1[[#This Row],[entrada_grasa_g_l]]/1000</f>
        <v>215.25156000000004</v>
      </c>
      <c r="R87">
        <f>Tabla1[[#This Row],[entrada_prot_g_l]]*Tabla1[[#This Row],[entrada_litros]]/1000</f>
        <v>173.52113999999997</v>
      </c>
      <c r="S87">
        <f>Tabla1[[#This Row],[cuba_fab_litros]]*Tabla1[[#This Row],[cuba_fab_grasa_g_l]]/1000</f>
        <v>209.88575999999998</v>
      </c>
      <c r="T87">
        <f>Tabla1[[#This Row],[cuba_fab_litros]]*Tabla1[[#This Row],[cuba_fab_prot_g_l]]/1000</f>
        <v>170.43165999999997</v>
      </c>
      <c r="U87">
        <f>Tabla1[[#This Row],[queso_kg]]*Tabla1[[#This Row],[queso_est_pct]]/100</f>
        <v>337.63068999999996</v>
      </c>
      <c r="V87">
        <f>Tabla1[[#This Row],[queso_kg]]*Tabla1[[#This Row],[queso_mg_pct]]/100</f>
        <v>176.838765</v>
      </c>
      <c r="W87">
        <f>Tabla1[[#This Row],[queso_est_kg]]-Tabla1[[#This Row],[queso_mg_kg]]</f>
        <v>160.79192499999996</v>
      </c>
      <c r="X87">
        <f>_xlfn.ISOWEEKNUM(Tabla1[[#This Row],[fecha]])</f>
        <v>13</v>
      </c>
      <c r="Y87">
        <v>13</v>
      </c>
      <c r="Z87" s="7">
        <f>Tabla1[[#This Row],[suero_litros]]*Tabla1[[#This Row],[suero_grasa_g_l]]/1000</f>
        <v>32.56803</v>
      </c>
      <c r="AA87" s="7">
        <f>Tabla1[[#This Row],[suero_litros]]*Tabla1[[#This Row],[suero_prot_g_l]]/1000</f>
        <v>26.027909999999999</v>
      </c>
      <c r="AB87" s="7">
        <f>Tabla1[[#This Row],[suero_est_g_l]]*Tabla1[[#This Row],[suero_litros]]/1000</f>
        <v>286.57214999999997</v>
      </c>
    </row>
    <row r="88" spans="1:28" x14ac:dyDescent="0.25">
      <c r="A88" s="1">
        <v>45377</v>
      </c>
      <c r="B88">
        <v>5428</v>
      </c>
      <c r="C88">
        <v>5270</v>
      </c>
      <c r="D88">
        <v>40.78</v>
      </c>
      <c r="E88">
        <v>36.44</v>
      </c>
      <c r="F88">
        <v>5027</v>
      </c>
      <c r="G88">
        <v>40.24</v>
      </c>
      <c r="H88">
        <v>34.56</v>
      </c>
      <c r="I88">
        <v>4893</v>
      </c>
      <c r="J88">
        <v>643.04</v>
      </c>
      <c r="K88">
        <v>51.07</v>
      </c>
      <c r="L88">
        <v>25.92</v>
      </c>
      <c r="M88">
        <v>4424</v>
      </c>
      <c r="N88">
        <v>7.91</v>
      </c>
      <c r="O88">
        <v>5.21</v>
      </c>
      <c r="P88">
        <v>63.37</v>
      </c>
      <c r="Q88">
        <f>Tabla1[[#This Row],[entrada_litros]]*Tabla1[[#This Row],[entrada_grasa_g_l]]/1000</f>
        <v>214.91060000000002</v>
      </c>
      <c r="R88">
        <f>Tabla1[[#This Row],[entrada_prot_g_l]]*Tabla1[[#This Row],[entrada_litros]]/1000</f>
        <v>192.03879999999998</v>
      </c>
      <c r="S88">
        <f>Tabla1[[#This Row],[cuba_fab_litros]]*Tabla1[[#This Row],[cuba_fab_grasa_g_l]]/1000</f>
        <v>202.28648000000001</v>
      </c>
      <c r="T88">
        <f>Tabla1[[#This Row],[cuba_fab_litros]]*Tabla1[[#This Row],[cuba_fab_prot_g_l]]/1000</f>
        <v>173.73312000000001</v>
      </c>
      <c r="U88">
        <f>Tabla1[[#This Row],[queso_kg]]*Tabla1[[#This Row],[queso_est_pct]]/100</f>
        <v>328.40052799999995</v>
      </c>
      <c r="V88">
        <f>Tabla1[[#This Row],[queso_kg]]*Tabla1[[#This Row],[queso_mg_pct]]/100</f>
        <v>166.67596799999998</v>
      </c>
      <c r="W88">
        <f>Tabla1[[#This Row],[queso_est_kg]]-Tabla1[[#This Row],[queso_mg_kg]]</f>
        <v>161.72455999999997</v>
      </c>
      <c r="X88">
        <f>_xlfn.ISOWEEKNUM(Tabla1[[#This Row],[fecha]])</f>
        <v>13</v>
      </c>
      <c r="Y88">
        <v>13</v>
      </c>
      <c r="Z88" s="7">
        <f>Tabla1[[#This Row],[suero_litros]]*Tabla1[[#This Row],[suero_grasa_g_l]]/1000</f>
        <v>34.993840000000006</v>
      </c>
      <c r="AA88" s="7">
        <f>Tabla1[[#This Row],[suero_litros]]*Tabla1[[#This Row],[suero_prot_g_l]]/1000</f>
        <v>23.049040000000002</v>
      </c>
      <c r="AB88" s="7">
        <f>Tabla1[[#This Row],[suero_est_g_l]]*Tabla1[[#This Row],[suero_litros]]/1000</f>
        <v>280.34888000000001</v>
      </c>
    </row>
    <row r="89" spans="1:28" x14ac:dyDescent="0.25">
      <c r="A89" s="1">
        <v>45378</v>
      </c>
      <c r="B89">
        <v>4925</v>
      </c>
      <c r="C89">
        <v>4782</v>
      </c>
      <c r="D89">
        <v>44.62</v>
      </c>
      <c r="E89">
        <v>36.29</v>
      </c>
      <c r="F89">
        <v>5030</v>
      </c>
      <c r="G89">
        <v>40.98</v>
      </c>
      <c r="H89">
        <v>34.43</v>
      </c>
      <c r="I89">
        <v>4675</v>
      </c>
      <c r="J89">
        <v>610.47</v>
      </c>
      <c r="K89">
        <v>54.53</v>
      </c>
      <c r="L89">
        <v>28.01</v>
      </c>
      <c r="M89">
        <v>4459</v>
      </c>
      <c r="N89">
        <v>7.7</v>
      </c>
      <c r="O89">
        <v>6.76</v>
      </c>
      <c r="P89">
        <v>65.78</v>
      </c>
      <c r="Q89">
        <f>Tabla1[[#This Row],[entrada_litros]]*Tabla1[[#This Row],[entrada_grasa_g_l]]/1000</f>
        <v>213.37284</v>
      </c>
      <c r="R89">
        <f>Tabla1[[#This Row],[entrada_prot_g_l]]*Tabla1[[#This Row],[entrada_litros]]/1000</f>
        <v>173.53878</v>
      </c>
      <c r="S89">
        <f>Tabla1[[#This Row],[cuba_fab_litros]]*Tabla1[[#This Row],[cuba_fab_grasa_g_l]]/1000</f>
        <v>206.1294</v>
      </c>
      <c r="T89">
        <f>Tabla1[[#This Row],[cuba_fab_litros]]*Tabla1[[#This Row],[cuba_fab_prot_g_l]]/1000</f>
        <v>173.18289999999999</v>
      </c>
      <c r="U89">
        <f>Tabla1[[#This Row],[queso_kg]]*Tabla1[[#This Row],[queso_est_pct]]/100</f>
        <v>332.88929100000001</v>
      </c>
      <c r="V89">
        <f>Tabla1[[#This Row],[queso_kg]]*Tabla1[[#This Row],[queso_mg_pct]]/100</f>
        <v>170.99264700000003</v>
      </c>
      <c r="W89">
        <f>Tabla1[[#This Row],[queso_est_kg]]-Tabla1[[#This Row],[queso_mg_kg]]</f>
        <v>161.89664399999998</v>
      </c>
      <c r="X89">
        <f>_xlfn.ISOWEEKNUM(Tabla1[[#This Row],[fecha]])</f>
        <v>13</v>
      </c>
      <c r="Y89">
        <v>13</v>
      </c>
      <c r="Z89" s="7">
        <f>Tabla1[[#This Row],[suero_litros]]*Tabla1[[#This Row],[suero_grasa_g_l]]/1000</f>
        <v>34.334300000000006</v>
      </c>
      <c r="AA89" s="7">
        <f>Tabla1[[#This Row],[suero_litros]]*Tabla1[[#This Row],[suero_prot_g_l]]/1000</f>
        <v>30.14284</v>
      </c>
      <c r="AB89" s="7">
        <f>Tabla1[[#This Row],[suero_est_g_l]]*Tabla1[[#This Row],[suero_litros]]/1000</f>
        <v>293.31301999999999</v>
      </c>
    </row>
    <row r="90" spans="1:28" x14ac:dyDescent="0.25">
      <c r="A90" s="1">
        <v>45379</v>
      </c>
      <c r="B90">
        <v>5409</v>
      </c>
      <c r="C90">
        <v>5251</v>
      </c>
      <c r="D90">
        <v>44.24</v>
      </c>
      <c r="E90">
        <v>35.06</v>
      </c>
      <c r="F90">
        <v>5024</v>
      </c>
      <c r="G90">
        <v>41.77</v>
      </c>
      <c r="H90">
        <v>34.22</v>
      </c>
      <c r="I90">
        <v>4926</v>
      </c>
      <c r="J90">
        <v>591.67999999999995</v>
      </c>
      <c r="K90">
        <v>53.63</v>
      </c>
      <c r="L90">
        <v>27.93</v>
      </c>
      <c r="M90">
        <v>4471</v>
      </c>
      <c r="N90">
        <v>9.6999999999999993</v>
      </c>
      <c r="O90">
        <v>8.27</v>
      </c>
      <c r="P90">
        <v>69.27</v>
      </c>
      <c r="Q90">
        <f>Tabla1[[#This Row],[entrada_litros]]*Tabla1[[#This Row],[entrada_grasa_g_l]]/1000</f>
        <v>232.30424000000002</v>
      </c>
      <c r="R90">
        <f>Tabla1[[#This Row],[entrada_prot_g_l]]*Tabla1[[#This Row],[entrada_litros]]/1000</f>
        <v>184.10005999999998</v>
      </c>
      <c r="S90">
        <f>Tabla1[[#This Row],[cuba_fab_litros]]*Tabla1[[#This Row],[cuba_fab_grasa_g_l]]/1000</f>
        <v>209.85248000000001</v>
      </c>
      <c r="T90">
        <f>Tabla1[[#This Row],[cuba_fab_litros]]*Tabla1[[#This Row],[cuba_fab_prot_g_l]]/1000</f>
        <v>171.92128</v>
      </c>
      <c r="U90">
        <f>Tabla1[[#This Row],[queso_kg]]*Tabla1[[#This Row],[queso_est_pct]]/100</f>
        <v>317.31798400000002</v>
      </c>
      <c r="V90">
        <f>Tabla1[[#This Row],[queso_kg]]*Tabla1[[#This Row],[queso_mg_pct]]/100</f>
        <v>165.256224</v>
      </c>
      <c r="W90">
        <f>Tabla1[[#This Row],[queso_est_kg]]-Tabla1[[#This Row],[queso_mg_kg]]</f>
        <v>152.06176000000002</v>
      </c>
      <c r="X90">
        <f>_xlfn.ISOWEEKNUM(Tabla1[[#This Row],[fecha]])</f>
        <v>13</v>
      </c>
      <c r="Y90">
        <v>13</v>
      </c>
      <c r="Z90" s="7">
        <f>Tabla1[[#This Row],[suero_litros]]*Tabla1[[#This Row],[suero_grasa_g_l]]/1000</f>
        <v>43.368699999999997</v>
      </c>
      <c r="AA90" s="7">
        <f>Tabla1[[#This Row],[suero_litros]]*Tabla1[[#This Row],[suero_prot_g_l]]/1000</f>
        <v>36.975169999999999</v>
      </c>
      <c r="AB90" s="7">
        <f>Tabla1[[#This Row],[suero_est_g_l]]*Tabla1[[#This Row],[suero_litros]]/1000</f>
        <v>309.70616999999999</v>
      </c>
    </row>
    <row r="91" spans="1:28" x14ac:dyDescent="0.25">
      <c r="A91" s="1">
        <v>45380</v>
      </c>
      <c r="B91">
        <v>0</v>
      </c>
      <c r="C91">
        <v>0</v>
      </c>
      <c r="D91">
        <v>0</v>
      </c>
      <c r="E91">
        <v>0</v>
      </c>
      <c r="F91">
        <v>4947</v>
      </c>
      <c r="G91">
        <v>42.45</v>
      </c>
      <c r="H91">
        <v>34.01</v>
      </c>
      <c r="I91">
        <v>0</v>
      </c>
      <c r="J91">
        <v>636.23</v>
      </c>
      <c r="K91">
        <v>52.99</v>
      </c>
      <c r="L91">
        <v>27.04</v>
      </c>
      <c r="M91">
        <v>4350</v>
      </c>
      <c r="N91">
        <v>8.4600000000000009</v>
      </c>
      <c r="O91">
        <v>4.22</v>
      </c>
      <c r="P91">
        <v>62.69</v>
      </c>
      <c r="Q91">
        <f>Tabla1[[#This Row],[entrada_litros]]*Tabla1[[#This Row],[entrada_grasa_g_l]]/1000</f>
        <v>0</v>
      </c>
      <c r="R91">
        <f>Tabla1[[#This Row],[entrada_prot_g_l]]*Tabla1[[#This Row],[entrada_litros]]/1000</f>
        <v>0</v>
      </c>
      <c r="S91">
        <f>Tabla1[[#This Row],[cuba_fab_litros]]*Tabla1[[#This Row],[cuba_fab_grasa_g_l]]/1000</f>
        <v>210.00015000000002</v>
      </c>
      <c r="T91">
        <f>Tabla1[[#This Row],[cuba_fab_litros]]*Tabla1[[#This Row],[cuba_fab_prot_g_l]]/1000</f>
        <v>168.24746999999999</v>
      </c>
      <c r="U91">
        <f>Tabla1[[#This Row],[queso_kg]]*Tabla1[[#This Row],[queso_est_pct]]/100</f>
        <v>337.13827700000002</v>
      </c>
      <c r="V91">
        <f>Tabla1[[#This Row],[queso_kg]]*Tabla1[[#This Row],[queso_mg_pct]]/100</f>
        <v>172.03659199999998</v>
      </c>
      <c r="W91">
        <f>Tabla1[[#This Row],[queso_est_kg]]-Tabla1[[#This Row],[queso_mg_kg]]</f>
        <v>165.10168500000003</v>
      </c>
      <c r="X91">
        <f>_xlfn.ISOWEEKNUM(Tabla1[[#This Row],[fecha]])</f>
        <v>13</v>
      </c>
      <c r="Y91">
        <v>13</v>
      </c>
      <c r="Z91" s="7">
        <f>Tabla1[[#This Row],[suero_litros]]*Tabla1[[#This Row],[suero_grasa_g_l]]/1000</f>
        <v>36.801000000000009</v>
      </c>
      <c r="AA91" s="7">
        <f>Tabla1[[#This Row],[suero_litros]]*Tabla1[[#This Row],[suero_prot_g_l]]/1000</f>
        <v>18.356999999999999</v>
      </c>
      <c r="AB91" s="7">
        <f>Tabla1[[#This Row],[suero_est_g_l]]*Tabla1[[#This Row],[suero_litros]]/1000</f>
        <v>272.70150000000001</v>
      </c>
    </row>
    <row r="92" spans="1:28" x14ac:dyDescent="0.25">
      <c r="A92" s="1">
        <v>45381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f>Tabla1[[#This Row],[entrada_litros]]*Tabla1[[#This Row],[entrada_grasa_g_l]]/1000</f>
        <v>0</v>
      </c>
      <c r="R92">
        <f>Tabla1[[#This Row],[entrada_prot_g_l]]*Tabla1[[#This Row],[entrada_litros]]/1000</f>
        <v>0</v>
      </c>
      <c r="S92">
        <f>Tabla1[[#This Row],[cuba_fab_litros]]*Tabla1[[#This Row],[cuba_fab_grasa_g_l]]/1000</f>
        <v>0</v>
      </c>
      <c r="T92">
        <f>Tabla1[[#This Row],[cuba_fab_litros]]*Tabla1[[#This Row],[cuba_fab_prot_g_l]]/1000</f>
        <v>0</v>
      </c>
      <c r="U92">
        <f>Tabla1[[#This Row],[queso_kg]]*Tabla1[[#This Row],[queso_est_pct]]/100</f>
        <v>0</v>
      </c>
      <c r="V92">
        <f>Tabla1[[#This Row],[queso_kg]]*Tabla1[[#This Row],[queso_mg_pct]]/100</f>
        <v>0</v>
      </c>
      <c r="W92">
        <f>Tabla1[[#This Row],[queso_est_kg]]-Tabla1[[#This Row],[queso_mg_kg]]</f>
        <v>0</v>
      </c>
      <c r="X92">
        <f>_xlfn.ISOWEEKNUM(Tabla1[[#This Row],[fecha]])</f>
        <v>13</v>
      </c>
      <c r="Y92">
        <v>13</v>
      </c>
      <c r="Z92" s="7">
        <f>Tabla1[[#This Row],[suero_litros]]*Tabla1[[#This Row],[suero_grasa_g_l]]/1000</f>
        <v>0</v>
      </c>
      <c r="AA92" s="7">
        <f>Tabla1[[#This Row],[suero_litros]]*Tabla1[[#This Row],[suero_prot_g_l]]/1000</f>
        <v>0</v>
      </c>
      <c r="AB92" s="7">
        <f>Tabla1[[#This Row],[suero_est_g_l]]*Tabla1[[#This Row],[suero_litros]]/1000</f>
        <v>0</v>
      </c>
    </row>
    <row r="93" spans="1:28" x14ac:dyDescent="0.25">
      <c r="A93" s="1">
        <v>45382</v>
      </c>
      <c r="B93">
        <v>5410</v>
      </c>
      <c r="C93">
        <v>5252</v>
      </c>
      <c r="D93">
        <v>39.619999999999997</v>
      </c>
      <c r="E93">
        <v>36.450000000000003</v>
      </c>
      <c r="F93">
        <v>0</v>
      </c>
      <c r="G93">
        <v>0</v>
      </c>
      <c r="H93">
        <v>0</v>
      </c>
      <c r="I93">
        <v>5252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f>Tabla1[[#This Row],[entrada_litros]]*Tabla1[[#This Row],[entrada_grasa_g_l]]/1000</f>
        <v>208.08423999999999</v>
      </c>
      <c r="R93">
        <f>Tabla1[[#This Row],[entrada_prot_g_l]]*Tabla1[[#This Row],[entrada_litros]]/1000</f>
        <v>191.43540000000002</v>
      </c>
      <c r="S93">
        <f>Tabla1[[#This Row],[cuba_fab_litros]]*Tabla1[[#This Row],[cuba_fab_grasa_g_l]]/1000</f>
        <v>0</v>
      </c>
      <c r="T93">
        <f>Tabla1[[#This Row],[cuba_fab_litros]]*Tabla1[[#This Row],[cuba_fab_prot_g_l]]/1000</f>
        <v>0</v>
      </c>
      <c r="U93">
        <f>Tabla1[[#This Row],[queso_kg]]*Tabla1[[#This Row],[queso_est_pct]]/100</f>
        <v>0</v>
      </c>
      <c r="V93">
        <f>Tabla1[[#This Row],[queso_kg]]*Tabla1[[#This Row],[queso_mg_pct]]/100</f>
        <v>0</v>
      </c>
      <c r="W93">
        <f>Tabla1[[#This Row],[queso_est_kg]]-Tabla1[[#This Row],[queso_mg_kg]]</f>
        <v>0</v>
      </c>
      <c r="X93">
        <f>_xlfn.ISOWEEKNUM(Tabla1[[#This Row],[fecha]])</f>
        <v>13</v>
      </c>
      <c r="Y93">
        <v>14</v>
      </c>
      <c r="Z93" s="7">
        <f>Tabla1[[#This Row],[suero_litros]]*Tabla1[[#This Row],[suero_grasa_g_l]]/1000</f>
        <v>0</v>
      </c>
      <c r="AA93" s="7">
        <f>Tabla1[[#This Row],[suero_litros]]*Tabla1[[#This Row],[suero_prot_g_l]]/1000</f>
        <v>0</v>
      </c>
      <c r="AB93" s="7">
        <f>Tabla1[[#This Row],[suero_est_g_l]]*Tabla1[[#This Row],[suero_litros]]/1000</f>
        <v>0</v>
      </c>
    </row>
    <row r="94" spans="1:28" x14ac:dyDescent="0.25">
      <c r="A94" s="1">
        <v>45383</v>
      </c>
      <c r="B94">
        <v>4987</v>
      </c>
      <c r="C94">
        <v>4842</v>
      </c>
      <c r="D94">
        <v>41.43</v>
      </c>
      <c r="E94">
        <v>36.94</v>
      </c>
      <c r="F94">
        <v>5015</v>
      </c>
      <c r="G94">
        <v>38.479999999999997</v>
      </c>
      <c r="H94">
        <v>35.25</v>
      </c>
      <c r="I94">
        <v>5094</v>
      </c>
      <c r="J94">
        <v>649.04999999999995</v>
      </c>
      <c r="K94">
        <v>51.78</v>
      </c>
      <c r="L94">
        <v>25.9</v>
      </c>
      <c r="M94">
        <v>4406</v>
      </c>
      <c r="N94">
        <v>5.52</v>
      </c>
      <c r="O94">
        <v>5.84</v>
      </c>
      <c r="P94">
        <v>62.11</v>
      </c>
      <c r="Q94">
        <f>Tabla1[[#This Row],[entrada_litros]]*Tabla1[[#This Row],[entrada_grasa_g_l]]/1000</f>
        <v>200.60406</v>
      </c>
      <c r="R94">
        <f>Tabla1[[#This Row],[entrada_prot_g_l]]*Tabla1[[#This Row],[entrada_litros]]/1000</f>
        <v>178.86347999999998</v>
      </c>
      <c r="S94">
        <f>Tabla1[[#This Row],[cuba_fab_litros]]*Tabla1[[#This Row],[cuba_fab_grasa_g_l]]/1000</f>
        <v>192.97719999999998</v>
      </c>
      <c r="T94">
        <f>Tabla1[[#This Row],[cuba_fab_litros]]*Tabla1[[#This Row],[cuba_fab_prot_g_l]]/1000</f>
        <v>176.77875</v>
      </c>
      <c r="U94">
        <f>Tabla1[[#This Row],[queso_kg]]*Tabla1[[#This Row],[queso_est_pct]]/100</f>
        <v>336.07809000000003</v>
      </c>
      <c r="V94">
        <f>Tabla1[[#This Row],[queso_kg]]*Tabla1[[#This Row],[queso_mg_pct]]/100</f>
        <v>168.10394999999997</v>
      </c>
      <c r="W94">
        <f>Tabla1[[#This Row],[queso_est_kg]]-Tabla1[[#This Row],[queso_mg_kg]]</f>
        <v>167.97414000000006</v>
      </c>
      <c r="X94">
        <f>_xlfn.ISOWEEKNUM(Tabla1[[#This Row],[fecha]])</f>
        <v>14</v>
      </c>
      <c r="Y94">
        <v>14</v>
      </c>
      <c r="Z94" s="7">
        <f>Tabla1[[#This Row],[suero_litros]]*Tabla1[[#This Row],[suero_grasa_g_l]]/1000</f>
        <v>24.321120000000001</v>
      </c>
      <c r="AA94" s="7">
        <f>Tabla1[[#This Row],[suero_litros]]*Tabla1[[#This Row],[suero_prot_g_l]]/1000</f>
        <v>25.73104</v>
      </c>
      <c r="AB94" s="7">
        <f>Tabla1[[#This Row],[suero_est_g_l]]*Tabla1[[#This Row],[suero_litros]]/1000</f>
        <v>273.65665999999999</v>
      </c>
    </row>
    <row r="95" spans="1:28" x14ac:dyDescent="0.25">
      <c r="A95" s="1">
        <v>45384</v>
      </c>
      <c r="B95">
        <v>5514</v>
      </c>
      <c r="C95">
        <v>5353</v>
      </c>
      <c r="D95">
        <v>38.51</v>
      </c>
      <c r="E95">
        <v>34.270000000000003</v>
      </c>
      <c r="F95">
        <v>5029</v>
      </c>
      <c r="G95">
        <v>37.479999999999997</v>
      </c>
      <c r="H95">
        <v>33.78</v>
      </c>
      <c r="I95">
        <v>5447</v>
      </c>
      <c r="J95">
        <v>615.94000000000005</v>
      </c>
      <c r="K95">
        <v>51.89</v>
      </c>
      <c r="L95">
        <v>27.08</v>
      </c>
      <c r="M95">
        <v>4453</v>
      </c>
      <c r="N95">
        <v>4.7699999999999996</v>
      </c>
      <c r="O95">
        <v>6.52</v>
      </c>
      <c r="P95">
        <v>62.52</v>
      </c>
      <c r="Q95">
        <f>Tabla1[[#This Row],[entrada_litros]]*Tabla1[[#This Row],[entrada_grasa_g_l]]/1000</f>
        <v>206.14402999999999</v>
      </c>
      <c r="R95">
        <f>Tabla1[[#This Row],[entrada_prot_g_l]]*Tabla1[[#This Row],[entrada_litros]]/1000</f>
        <v>183.44731000000002</v>
      </c>
      <c r="S95">
        <f>Tabla1[[#This Row],[cuba_fab_litros]]*Tabla1[[#This Row],[cuba_fab_grasa_g_l]]/1000</f>
        <v>188.48692</v>
      </c>
      <c r="T95">
        <f>Tabla1[[#This Row],[cuba_fab_litros]]*Tabla1[[#This Row],[cuba_fab_prot_g_l]]/1000</f>
        <v>169.87961999999999</v>
      </c>
      <c r="U95">
        <f>Tabla1[[#This Row],[queso_kg]]*Tabla1[[#This Row],[queso_est_pct]]/100</f>
        <v>319.61126600000006</v>
      </c>
      <c r="V95">
        <f>Tabla1[[#This Row],[queso_kg]]*Tabla1[[#This Row],[queso_mg_pct]]/100</f>
        <v>166.79655200000002</v>
      </c>
      <c r="W95">
        <f>Tabla1[[#This Row],[queso_est_kg]]-Tabla1[[#This Row],[queso_mg_kg]]</f>
        <v>152.81471400000004</v>
      </c>
      <c r="X95">
        <f>_xlfn.ISOWEEKNUM(Tabla1[[#This Row],[fecha]])</f>
        <v>14</v>
      </c>
      <c r="Y95">
        <v>14</v>
      </c>
      <c r="Z95" s="7">
        <f>Tabla1[[#This Row],[suero_litros]]*Tabla1[[#This Row],[suero_grasa_g_l]]/1000</f>
        <v>21.240809999999996</v>
      </c>
      <c r="AA95" s="7">
        <f>Tabla1[[#This Row],[suero_litros]]*Tabla1[[#This Row],[suero_prot_g_l]]/1000</f>
        <v>29.033559999999998</v>
      </c>
      <c r="AB95" s="7">
        <f>Tabla1[[#This Row],[suero_est_g_l]]*Tabla1[[#This Row],[suero_litros]]/1000</f>
        <v>278.40156000000002</v>
      </c>
    </row>
    <row r="96" spans="1:28" x14ac:dyDescent="0.25">
      <c r="A96" s="1">
        <v>45385</v>
      </c>
      <c r="B96">
        <v>5381</v>
      </c>
      <c r="C96">
        <v>5224</v>
      </c>
      <c r="D96">
        <v>42.86</v>
      </c>
      <c r="E96">
        <v>35.020000000000003</v>
      </c>
      <c r="F96">
        <v>5018</v>
      </c>
      <c r="G96">
        <v>39.380000000000003</v>
      </c>
      <c r="H96">
        <v>33.94</v>
      </c>
      <c r="I96">
        <v>5671</v>
      </c>
      <c r="J96">
        <v>658.2</v>
      </c>
      <c r="K96">
        <v>50.19</v>
      </c>
      <c r="L96">
        <v>25.19</v>
      </c>
      <c r="M96">
        <v>4400</v>
      </c>
      <c r="N96">
        <v>7.06</v>
      </c>
      <c r="O96">
        <v>4.68</v>
      </c>
      <c r="P96">
        <v>63.79</v>
      </c>
      <c r="Q96">
        <f>Tabla1[[#This Row],[entrada_litros]]*Tabla1[[#This Row],[entrada_grasa_g_l]]/1000</f>
        <v>223.90063999999998</v>
      </c>
      <c r="R96">
        <f>Tabla1[[#This Row],[entrada_prot_g_l]]*Tabla1[[#This Row],[entrada_litros]]/1000</f>
        <v>182.94448</v>
      </c>
      <c r="S96">
        <f>Tabla1[[#This Row],[cuba_fab_litros]]*Tabla1[[#This Row],[cuba_fab_grasa_g_l]]/1000</f>
        <v>197.60884000000001</v>
      </c>
      <c r="T96">
        <f>Tabla1[[#This Row],[cuba_fab_litros]]*Tabla1[[#This Row],[cuba_fab_prot_g_l]]/1000</f>
        <v>170.31091999999998</v>
      </c>
      <c r="U96">
        <f>Tabla1[[#This Row],[queso_kg]]*Tabla1[[#This Row],[queso_est_pct]]/100</f>
        <v>330.35057999999998</v>
      </c>
      <c r="V96">
        <f>Tabla1[[#This Row],[queso_kg]]*Tabla1[[#This Row],[queso_mg_pct]]/100</f>
        <v>165.80058</v>
      </c>
      <c r="W96">
        <f>Tabla1[[#This Row],[queso_est_kg]]-Tabla1[[#This Row],[queso_mg_kg]]</f>
        <v>164.54999999999998</v>
      </c>
      <c r="X96">
        <f>_xlfn.ISOWEEKNUM(Tabla1[[#This Row],[fecha]])</f>
        <v>14</v>
      </c>
      <c r="Y96">
        <v>14</v>
      </c>
      <c r="Z96" s="7">
        <f>Tabla1[[#This Row],[suero_litros]]*Tabla1[[#This Row],[suero_grasa_g_l]]/1000</f>
        <v>31.064</v>
      </c>
      <c r="AA96" s="7">
        <f>Tabla1[[#This Row],[suero_litros]]*Tabla1[[#This Row],[suero_prot_g_l]]/1000</f>
        <v>20.591999999999999</v>
      </c>
      <c r="AB96" s="7">
        <f>Tabla1[[#This Row],[suero_est_g_l]]*Tabla1[[#This Row],[suero_litros]]/1000</f>
        <v>280.67599999999999</v>
      </c>
    </row>
    <row r="97" spans="1:28" x14ac:dyDescent="0.25">
      <c r="A97" s="1">
        <v>45386</v>
      </c>
      <c r="B97">
        <v>4774</v>
      </c>
      <c r="C97">
        <v>4635</v>
      </c>
      <c r="D97">
        <v>39.229999999999997</v>
      </c>
      <c r="E97">
        <v>36.99</v>
      </c>
      <c r="F97">
        <v>5026</v>
      </c>
      <c r="G97">
        <v>38.33</v>
      </c>
      <c r="H97">
        <v>34.380000000000003</v>
      </c>
      <c r="I97">
        <v>5306</v>
      </c>
      <c r="J97">
        <v>619.24</v>
      </c>
      <c r="K97">
        <v>52.03</v>
      </c>
      <c r="L97">
        <v>27.42</v>
      </c>
      <c r="M97">
        <v>4446</v>
      </c>
      <c r="N97">
        <v>5.0599999999999996</v>
      </c>
      <c r="O97">
        <v>6.87</v>
      </c>
      <c r="P97">
        <v>61.36</v>
      </c>
      <c r="Q97">
        <f>Tabla1[[#This Row],[entrada_litros]]*Tabla1[[#This Row],[entrada_grasa_g_l]]/1000</f>
        <v>181.83104999999998</v>
      </c>
      <c r="R97">
        <f>Tabla1[[#This Row],[entrada_prot_g_l]]*Tabla1[[#This Row],[entrada_litros]]/1000</f>
        <v>171.44865000000001</v>
      </c>
      <c r="S97">
        <f>Tabla1[[#This Row],[cuba_fab_litros]]*Tabla1[[#This Row],[cuba_fab_grasa_g_l]]/1000</f>
        <v>192.64658</v>
      </c>
      <c r="T97">
        <f>Tabla1[[#This Row],[cuba_fab_litros]]*Tabla1[[#This Row],[cuba_fab_prot_g_l]]/1000</f>
        <v>172.79388</v>
      </c>
      <c r="U97">
        <f>Tabla1[[#This Row],[queso_kg]]*Tabla1[[#This Row],[queso_est_pct]]/100</f>
        <v>322.19057200000003</v>
      </c>
      <c r="V97">
        <f>Tabla1[[#This Row],[queso_kg]]*Tabla1[[#This Row],[queso_mg_pct]]/100</f>
        <v>169.79560800000002</v>
      </c>
      <c r="W97">
        <f>Tabla1[[#This Row],[queso_est_kg]]-Tabla1[[#This Row],[queso_mg_kg]]</f>
        <v>152.39496400000002</v>
      </c>
      <c r="X97">
        <f>_xlfn.ISOWEEKNUM(Tabla1[[#This Row],[fecha]])</f>
        <v>14</v>
      </c>
      <c r="Y97">
        <v>14</v>
      </c>
      <c r="Z97" s="7">
        <f>Tabla1[[#This Row],[suero_litros]]*Tabla1[[#This Row],[suero_grasa_g_l]]/1000</f>
        <v>22.496759999999998</v>
      </c>
      <c r="AA97" s="7">
        <f>Tabla1[[#This Row],[suero_litros]]*Tabla1[[#This Row],[suero_prot_g_l]]/1000</f>
        <v>30.54402</v>
      </c>
      <c r="AB97" s="7">
        <f>Tabla1[[#This Row],[suero_est_g_l]]*Tabla1[[#This Row],[suero_litros]]/1000</f>
        <v>272.80655999999999</v>
      </c>
    </row>
    <row r="98" spans="1:28" x14ac:dyDescent="0.25">
      <c r="A98" s="1">
        <v>45387</v>
      </c>
      <c r="B98">
        <v>0</v>
      </c>
      <c r="C98">
        <v>0</v>
      </c>
      <c r="D98">
        <v>0</v>
      </c>
      <c r="E98">
        <v>0</v>
      </c>
      <c r="F98">
        <v>5332</v>
      </c>
      <c r="G98">
        <v>38.19</v>
      </c>
      <c r="H98">
        <v>34.340000000000003</v>
      </c>
      <c r="I98">
        <v>0</v>
      </c>
      <c r="J98">
        <v>630.23</v>
      </c>
      <c r="K98">
        <v>51.65</v>
      </c>
      <c r="L98">
        <v>26.31</v>
      </c>
      <c r="M98">
        <v>4743</v>
      </c>
      <c r="N98">
        <v>7.82</v>
      </c>
      <c r="O98">
        <v>7.55</v>
      </c>
      <c r="P98">
        <v>67.930000000000007</v>
      </c>
      <c r="Q98">
        <f>Tabla1[[#This Row],[entrada_litros]]*Tabla1[[#This Row],[entrada_grasa_g_l]]/1000</f>
        <v>0</v>
      </c>
      <c r="R98">
        <f>Tabla1[[#This Row],[entrada_prot_g_l]]*Tabla1[[#This Row],[entrada_litros]]/1000</f>
        <v>0</v>
      </c>
      <c r="S98">
        <f>Tabla1[[#This Row],[cuba_fab_litros]]*Tabla1[[#This Row],[cuba_fab_grasa_g_l]]/1000</f>
        <v>203.62907999999999</v>
      </c>
      <c r="T98">
        <f>Tabla1[[#This Row],[cuba_fab_litros]]*Tabla1[[#This Row],[cuba_fab_prot_g_l]]/1000</f>
        <v>183.10088000000002</v>
      </c>
      <c r="U98">
        <f>Tabla1[[#This Row],[queso_kg]]*Tabla1[[#This Row],[queso_est_pct]]/100</f>
        <v>325.51379500000002</v>
      </c>
      <c r="V98">
        <f>Tabla1[[#This Row],[queso_kg]]*Tabla1[[#This Row],[queso_mg_pct]]/100</f>
        <v>165.81351299999997</v>
      </c>
      <c r="W98">
        <f>Tabla1[[#This Row],[queso_est_kg]]-Tabla1[[#This Row],[queso_mg_kg]]</f>
        <v>159.70028200000004</v>
      </c>
      <c r="X98">
        <f>_xlfn.ISOWEEKNUM(Tabla1[[#This Row],[fecha]])</f>
        <v>14</v>
      </c>
      <c r="Y98">
        <v>14</v>
      </c>
      <c r="Z98" s="7">
        <f>Tabla1[[#This Row],[suero_litros]]*Tabla1[[#This Row],[suero_grasa_g_l]]/1000</f>
        <v>37.090260000000001</v>
      </c>
      <c r="AA98" s="7">
        <f>Tabla1[[#This Row],[suero_litros]]*Tabla1[[#This Row],[suero_prot_g_l]]/1000</f>
        <v>35.809650000000005</v>
      </c>
      <c r="AB98" s="7">
        <f>Tabla1[[#This Row],[suero_est_g_l]]*Tabla1[[#This Row],[suero_litros]]/1000</f>
        <v>322.19199000000003</v>
      </c>
    </row>
    <row r="99" spans="1:28" x14ac:dyDescent="0.25">
      <c r="A99" s="1">
        <v>45388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f>Tabla1[[#This Row],[entrada_litros]]*Tabla1[[#This Row],[entrada_grasa_g_l]]/1000</f>
        <v>0</v>
      </c>
      <c r="R99">
        <f>Tabla1[[#This Row],[entrada_prot_g_l]]*Tabla1[[#This Row],[entrada_litros]]/1000</f>
        <v>0</v>
      </c>
      <c r="S99">
        <f>Tabla1[[#This Row],[cuba_fab_litros]]*Tabla1[[#This Row],[cuba_fab_grasa_g_l]]/1000</f>
        <v>0</v>
      </c>
      <c r="T99">
        <f>Tabla1[[#This Row],[cuba_fab_litros]]*Tabla1[[#This Row],[cuba_fab_prot_g_l]]/1000</f>
        <v>0</v>
      </c>
      <c r="U99">
        <f>Tabla1[[#This Row],[queso_kg]]*Tabla1[[#This Row],[queso_est_pct]]/100</f>
        <v>0</v>
      </c>
      <c r="V99">
        <f>Tabla1[[#This Row],[queso_kg]]*Tabla1[[#This Row],[queso_mg_pct]]/100</f>
        <v>0</v>
      </c>
      <c r="W99">
        <f>Tabla1[[#This Row],[queso_est_kg]]-Tabla1[[#This Row],[queso_mg_kg]]</f>
        <v>0</v>
      </c>
      <c r="X99">
        <f>_xlfn.ISOWEEKNUM(Tabla1[[#This Row],[fecha]])</f>
        <v>14</v>
      </c>
      <c r="Y99">
        <v>14</v>
      </c>
      <c r="Z99" s="7">
        <f>Tabla1[[#This Row],[suero_litros]]*Tabla1[[#This Row],[suero_grasa_g_l]]/1000</f>
        <v>0</v>
      </c>
      <c r="AA99" s="7">
        <f>Tabla1[[#This Row],[suero_litros]]*Tabla1[[#This Row],[suero_prot_g_l]]/1000</f>
        <v>0</v>
      </c>
      <c r="AB99" s="7">
        <f>Tabla1[[#This Row],[suero_est_g_l]]*Tabla1[[#This Row],[suero_litros]]/1000</f>
        <v>0</v>
      </c>
    </row>
    <row r="100" spans="1:28" x14ac:dyDescent="0.25">
      <c r="A100" s="1">
        <v>45389</v>
      </c>
      <c r="B100">
        <v>5012</v>
      </c>
      <c r="C100">
        <v>4866</v>
      </c>
      <c r="D100">
        <v>42.31</v>
      </c>
      <c r="E100">
        <v>37.56</v>
      </c>
      <c r="F100">
        <v>0</v>
      </c>
      <c r="G100">
        <v>0</v>
      </c>
      <c r="H100">
        <v>0</v>
      </c>
      <c r="I100">
        <v>4866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f>Tabla1[[#This Row],[entrada_litros]]*Tabla1[[#This Row],[entrada_grasa_g_l]]/1000</f>
        <v>205.88046000000003</v>
      </c>
      <c r="R100">
        <f>Tabla1[[#This Row],[entrada_prot_g_l]]*Tabla1[[#This Row],[entrada_litros]]/1000</f>
        <v>182.76696000000001</v>
      </c>
      <c r="S100">
        <f>Tabla1[[#This Row],[cuba_fab_litros]]*Tabla1[[#This Row],[cuba_fab_grasa_g_l]]/1000</f>
        <v>0</v>
      </c>
      <c r="T100">
        <f>Tabla1[[#This Row],[cuba_fab_litros]]*Tabla1[[#This Row],[cuba_fab_prot_g_l]]/1000</f>
        <v>0</v>
      </c>
      <c r="U100">
        <f>Tabla1[[#This Row],[queso_kg]]*Tabla1[[#This Row],[queso_est_pct]]/100</f>
        <v>0</v>
      </c>
      <c r="V100">
        <f>Tabla1[[#This Row],[queso_kg]]*Tabla1[[#This Row],[queso_mg_pct]]/100</f>
        <v>0</v>
      </c>
      <c r="W100">
        <f>Tabla1[[#This Row],[queso_est_kg]]-Tabla1[[#This Row],[queso_mg_kg]]</f>
        <v>0</v>
      </c>
      <c r="X100">
        <f>_xlfn.ISOWEEKNUM(Tabla1[[#This Row],[fecha]])</f>
        <v>14</v>
      </c>
      <c r="Y100">
        <v>15</v>
      </c>
      <c r="Z100" s="7">
        <f>Tabla1[[#This Row],[suero_litros]]*Tabla1[[#This Row],[suero_grasa_g_l]]/1000</f>
        <v>0</v>
      </c>
      <c r="AA100" s="7">
        <f>Tabla1[[#This Row],[suero_litros]]*Tabla1[[#This Row],[suero_prot_g_l]]/1000</f>
        <v>0</v>
      </c>
      <c r="AB100" s="7">
        <f>Tabla1[[#This Row],[suero_est_g_l]]*Tabla1[[#This Row],[suero_litros]]/1000</f>
        <v>0</v>
      </c>
    </row>
    <row r="101" spans="1:28" x14ac:dyDescent="0.25">
      <c r="A101" s="1">
        <v>45390</v>
      </c>
      <c r="B101">
        <v>5539</v>
      </c>
      <c r="C101">
        <v>5378</v>
      </c>
      <c r="D101">
        <v>41.31</v>
      </c>
      <c r="E101">
        <v>35.94</v>
      </c>
      <c r="F101">
        <v>5022</v>
      </c>
      <c r="G101">
        <v>39.85</v>
      </c>
      <c r="H101">
        <v>35.15</v>
      </c>
      <c r="I101">
        <v>5244</v>
      </c>
      <c r="J101">
        <v>647.11</v>
      </c>
      <c r="K101">
        <v>52.03</v>
      </c>
      <c r="L101">
        <v>26.88</v>
      </c>
      <c r="M101">
        <v>4415</v>
      </c>
      <c r="N101">
        <v>5.81</v>
      </c>
      <c r="O101">
        <v>5.33</v>
      </c>
      <c r="P101">
        <v>60.9</v>
      </c>
      <c r="Q101">
        <f>Tabla1[[#This Row],[entrada_litros]]*Tabla1[[#This Row],[entrada_grasa_g_l]]/1000</f>
        <v>222.16518000000002</v>
      </c>
      <c r="R101">
        <f>Tabla1[[#This Row],[entrada_prot_g_l]]*Tabla1[[#This Row],[entrada_litros]]/1000</f>
        <v>193.28531999999998</v>
      </c>
      <c r="S101">
        <f>Tabla1[[#This Row],[cuba_fab_litros]]*Tabla1[[#This Row],[cuba_fab_grasa_g_l]]/1000</f>
        <v>200.1267</v>
      </c>
      <c r="T101">
        <f>Tabla1[[#This Row],[cuba_fab_litros]]*Tabla1[[#This Row],[cuba_fab_prot_g_l]]/1000</f>
        <v>176.52329999999998</v>
      </c>
      <c r="U101">
        <f>Tabla1[[#This Row],[queso_kg]]*Tabla1[[#This Row],[queso_est_pct]]/100</f>
        <v>336.69133299999999</v>
      </c>
      <c r="V101">
        <f>Tabla1[[#This Row],[queso_kg]]*Tabla1[[#This Row],[queso_mg_pct]]/100</f>
        <v>173.94316800000001</v>
      </c>
      <c r="W101">
        <f>Tabla1[[#This Row],[queso_est_kg]]-Tabla1[[#This Row],[queso_mg_kg]]</f>
        <v>162.74816499999997</v>
      </c>
      <c r="X101">
        <f>_xlfn.ISOWEEKNUM(Tabla1[[#This Row],[fecha]])</f>
        <v>15</v>
      </c>
      <c r="Y101">
        <v>15</v>
      </c>
      <c r="Z101" s="7">
        <f>Tabla1[[#This Row],[suero_litros]]*Tabla1[[#This Row],[suero_grasa_g_l]]/1000</f>
        <v>25.651149999999998</v>
      </c>
      <c r="AA101" s="7">
        <f>Tabla1[[#This Row],[suero_litros]]*Tabla1[[#This Row],[suero_prot_g_l]]/1000</f>
        <v>23.531950000000002</v>
      </c>
      <c r="AB101" s="7">
        <f>Tabla1[[#This Row],[suero_est_g_l]]*Tabla1[[#This Row],[suero_litros]]/1000</f>
        <v>268.87349999999998</v>
      </c>
    </row>
    <row r="102" spans="1:28" x14ac:dyDescent="0.25">
      <c r="A102" s="1">
        <v>45391</v>
      </c>
      <c r="B102">
        <v>4864</v>
      </c>
      <c r="C102">
        <v>4722</v>
      </c>
      <c r="D102">
        <v>42.11</v>
      </c>
      <c r="E102">
        <v>35.090000000000003</v>
      </c>
      <c r="F102">
        <v>5027</v>
      </c>
      <c r="G102">
        <v>40.06</v>
      </c>
      <c r="H102">
        <v>34.1</v>
      </c>
      <c r="I102">
        <v>4966</v>
      </c>
      <c r="J102">
        <v>591.02</v>
      </c>
      <c r="K102">
        <v>52.51</v>
      </c>
      <c r="L102">
        <v>27.37</v>
      </c>
      <c r="M102">
        <v>4475</v>
      </c>
      <c r="N102">
        <v>8.69</v>
      </c>
      <c r="O102">
        <v>8.27</v>
      </c>
      <c r="P102">
        <v>67.39</v>
      </c>
      <c r="Q102">
        <f>Tabla1[[#This Row],[entrada_litros]]*Tabla1[[#This Row],[entrada_grasa_g_l]]/1000</f>
        <v>198.84341999999998</v>
      </c>
      <c r="R102">
        <f>Tabla1[[#This Row],[entrada_prot_g_l]]*Tabla1[[#This Row],[entrada_litros]]/1000</f>
        <v>165.69498000000002</v>
      </c>
      <c r="S102">
        <f>Tabla1[[#This Row],[cuba_fab_litros]]*Tabla1[[#This Row],[cuba_fab_grasa_g_l]]/1000</f>
        <v>201.38162000000003</v>
      </c>
      <c r="T102">
        <f>Tabla1[[#This Row],[cuba_fab_litros]]*Tabla1[[#This Row],[cuba_fab_prot_g_l]]/1000</f>
        <v>171.42070000000001</v>
      </c>
      <c r="U102">
        <f>Tabla1[[#This Row],[queso_kg]]*Tabla1[[#This Row],[queso_est_pct]]/100</f>
        <v>310.34460199999995</v>
      </c>
      <c r="V102">
        <f>Tabla1[[#This Row],[queso_kg]]*Tabla1[[#This Row],[queso_mg_pct]]/100</f>
        <v>161.76217399999999</v>
      </c>
      <c r="W102">
        <f>Tabla1[[#This Row],[queso_est_kg]]-Tabla1[[#This Row],[queso_mg_kg]]</f>
        <v>148.58242799999996</v>
      </c>
      <c r="X102">
        <f>_xlfn.ISOWEEKNUM(Tabla1[[#This Row],[fecha]])</f>
        <v>15</v>
      </c>
      <c r="Y102">
        <v>15</v>
      </c>
      <c r="Z102" s="7">
        <f>Tabla1[[#This Row],[suero_litros]]*Tabla1[[#This Row],[suero_grasa_g_l]]/1000</f>
        <v>38.887749999999997</v>
      </c>
      <c r="AA102" s="7">
        <f>Tabla1[[#This Row],[suero_litros]]*Tabla1[[#This Row],[suero_prot_g_l]]/1000</f>
        <v>37.008249999999997</v>
      </c>
      <c r="AB102" s="7">
        <f>Tabla1[[#This Row],[suero_est_g_l]]*Tabla1[[#This Row],[suero_litros]]/1000</f>
        <v>301.57024999999999</v>
      </c>
    </row>
    <row r="103" spans="1:28" x14ac:dyDescent="0.25">
      <c r="A103" s="1">
        <v>45392</v>
      </c>
      <c r="B103">
        <v>5101</v>
      </c>
      <c r="C103">
        <v>4952</v>
      </c>
      <c r="D103">
        <v>42.22</v>
      </c>
      <c r="E103">
        <v>35.630000000000003</v>
      </c>
      <c r="F103">
        <v>5028</v>
      </c>
      <c r="G103">
        <v>40.11</v>
      </c>
      <c r="H103">
        <v>34.26</v>
      </c>
      <c r="I103">
        <v>4918</v>
      </c>
      <c r="J103">
        <v>601.05999999999995</v>
      </c>
      <c r="K103">
        <v>51.52</v>
      </c>
      <c r="L103">
        <v>26.51</v>
      </c>
      <c r="M103">
        <v>4466</v>
      </c>
      <c r="N103">
        <v>9.2899999999999991</v>
      </c>
      <c r="O103">
        <v>6.89</v>
      </c>
      <c r="P103">
        <v>68.069999999999993</v>
      </c>
      <c r="Q103">
        <f>Tabla1[[#This Row],[entrada_litros]]*Tabla1[[#This Row],[entrada_grasa_g_l]]/1000</f>
        <v>209.07344000000001</v>
      </c>
      <c r="R103">
        <f>Tabla1[[#This Row],[entrada_prot_g_l]]*Tabla1[[#This Row],[entrada_litros]]/1000</f>
        <v>176.43976000000001</v>
      </c>
      <c r="S103">
        <f>Tabla1[[#This Row],[cuba_fab_litros]]*Tabla1[[#This Row],[cuba_fab_grasa_g_l]]/1000</f>
        <v>201.67308</v>
      </c>
      <c r="T103">
        <f>Tabla1[[#This Row],[cuba_fab_litros]]*Tabla1[[#This Row],[cuba_fab_prot_g_l]]/1000</f>
        <v>172.25927999999999</v>
      </c>
      <c r="U103">
        <f>Tabla1[[#This Row],[queso_kg]]*Tabla1[[#This Row],[queso_est_pct]]/100</f>
        <v>309.666112</v>
      </c>
      <c r="V103">
        <f>Tabla1[[#This Row],[queso_kg]]*Tabla1[[#This Row],[queso_mg_pct]]/100</f>
        <v>159.34100599999999</v>
      </c>
      <c r="W103">
        <f>Tabla1[[#This Row],[queso_est_kg]]-Tabla1[[#This Row],[queso_mg_kg]]</f>
        <v>150.32510600000001</v>
      </c>
      <c r="X103">
        <f>_xlfn.ISOWEEKNUM(Tabla1[[#This Row],[fecha]])</f>
        <v>15</v>
      </c>
      <c r="Y103">
        <v>15</v>
      </c>
      <c r="Z103" s="7">
        <f>Tabla1[[#This Row],[suero_litros]]*Tabla1[[#This Row],[suero_grasa_g_l]]/1000</f>
        <v>41.489139999999999</v>
      </c>
      <c r="AA103" s="7">
        <f>Tabla1[[#This Row],[suero_litros]]*Tabla1[[#This Row],[suero_prot_g_l]]/1000</f>
        <v>30.770739999999996</v>
      </c>
      <c r="AB103" s="7">
        <f>Tabla1[[#This Row],[suero_est_g_l]]*Tabla1[[#This Row],[suero_litros]]/1000</f>
        <v>304.00061999999997</v>
      </c>
    </row>
    <row r="104" spans="1:28" x14ac:dyDescent="0.25">
      <c r="A104" s="1">
        <v>45393</v>
      </c>
      <c r="B104">
        <v>5076</v>
      </c>
      <c r="C104">
        <v>4928</v>
      </c>
      <c r="D104">
        <v>43.63</v>
      </c>
      <c r="E104">
        <v>36.96</v>
      </c>
      <c r="F104">
        <v>5028</v>
      </c>
      <c r="G104">
        <v>41.15</v>
      </c>
      <c r="H104">
        <v>34.64</v>
      </c>
      <c r="I104">
        <v>4846</v>
      </c>
      <c r="J104">
        <v>617.21</v>
      </c>
      <c r="K104">
        <v>54.93</v>
      </c>
      <c r="L104">
        <v>28.58</v>
      </c>
      <c r="M104">
        <v>4450</v>
      </c>
      <c r="N104">
        <v>6.71</v>
      </c>
      <c r="O104">
        <v>7.49</v>
      </c>
      <c r="P104">
        <v>64.89</v>
      </c>
      <c r="Q104">
        <f>Tabla1[[#This Row],[entrada_litros]]*Tabla1[[#This Row],[entrada_grasa_g_l]]/1000</f>
        <v>215.00864000000001</v>
      </c>
      <c r="R104">
        <f>Tabla1[[#This Row],[entrada_prot_g_l]]*Tabla1[[#This Row],[entrada_litros]]/1000</f>
        <v>182.13888</v>
      </c>
      <c r="S104">
        <f>Tabla1[[#This Row],[cuba_fab_litros]]*Tabla1[[#This Row],[cuba_fab_grasa_g_l]]/1000</f>
        <v>206.90219999999999</v>
      </c>
      <c r="T104">
        <f>Tabla1[[#This Row],[cuba_fab_litros]]*Tabla1[[#This Row],[cuba_fab_prot_g_l]]/1000</f>
        <v>174.16992000000002</v>
      </c>
      <c r="U104">
        <f>Tabla1[[#This Row],[queso_kg]]*Tabla1[[#This Row],[queso_est_pct]]/100</f>
        <v>339.03345300000001</v>
      </c>
      <c r="V104">
        <f>Tabla1[[#This Row],[queso_kg]]*Tabla1[[#This Row],[queso_mg_pct]]/100</f>
        <v>176.398618</v>
      </c>
      <c r="W104">
        <f>Tabla1[[#This Row],[queso_est_kg]]-Tabla1[[#This Row],[queso_mg_kg]]</f>
        <v>162.63483500000001</v>
      </c>
      <c r="X104">
        <f>_xlfn.ISOWEEKNUM(Tabla1[[#This Row],[fecha]])</f>
        <v>15</v>
      </c>
      <c r="Y104">
        <v>15</v>
      </c>
      <c r="Z104" s="7">
        <f>Tabla1[[#This Row],[suero_litros]]*Tabla1[[#This Row],[suero_grasa_g_l]]/1000</f>
        <v>29.859500000000001</v>
      </c>
      <c r="AA104" s="7">
        <f>Tabla1[[#This Row],[suero_litros]]*Tabla1[[#This Row],[suero_prot_g_l]]/1000</f>
        <v>33.330500000000001</v>
      </c>
      <c r="AB104" s="7">
        <f>Tabla1[[#This Row],[suero_est_g_l]]*Tabla1[[#This Row],[suero_litros]]/1000</f>
        <v>288.76049999999998</v>
      </c>
    </row>
    <row r="105" spans="1:28" x14ac:dyDescent="0.25">
      <c r="A105" s="1">
        <v>45394</v>
      </c>
      <c r="B105">
        <v>0</v>
      </c>
      <c r="C105">
        <v>0</v>
      </c>
      <c r="D105">
        <v>0</v>
      </c>
      <c r="E105">
        <v>0</v>
      </c>
      <c r="F105">
        <v>4868</v>
      </c>
      <c r="G105">
        <v>40.89</v>
      </c>
      <c r="H105">
        <v>34.68</v>
      </c>
      <c r="I105">
        <v>0</v>
      </c>
      <c r="J105">
        <v>623.70000000000005</v>
      </c>
      <c r="K105">
        <v>53.32</v>
      </c>
      <c r="L105">
        <v>27.65</v>
      </c>
      <c r="M105">
        <v>4283</v>
      </c>
      <c r="N105">
        <v>6.08</v>
      </c>
      <c r="O105">
        <v>5.17</v>
      </c>
      <c r="P105">
        <v>63.49</v>
      </c>
      <c r="Q105">
        <f>Tabla1[[#This Row],[entrada_litros]]*Tabla1[[#This Row],[entrada_grasa_g_l]]/1000</f>
        <v>0</v>
      </c>
      <c r="R105">
        <f>Tabla1[[#This Row],[entrada_prot_g_l]]*Tabla1[[#This Row],[entrada_litros]]/1000</f>
        <v>0</v>
      </c>
      <c r="S105">
        <f>Tabla1[[#This Row],[cuba_fab_litros]]*Tabla1[[#This Row],[cuba_fab_grasa_g_l]]/1000</f>
        <v>199.05251999999999</v>
      </c>
      <c r="T105">
        <f>Tabla1[[#This Row],[cuba_fab_litros]]*Tabla1[[#This Row],[cuba_fab_prot_g_l]]/1000</f>
        <v>168.82223999999999</v>
      </c>
      <c r="U105">
        <f>Tabla1[[#This Row],[queso_kg]]*Tabla1[[#This Row],[queso_est_pct]]/100</f>
        <v>332.55684000000002</v>
      </c>
      <c r="V105">
        <f>Tabla1[[#This Row],[queso_kg]]*Tabla1[[#This Row],[queso_mg_pct]]/100</f>
        <v>172.45304999999999</v>
      </c>
      <c r="W105">
        <f>Tabla1[[#This Row],[queso_est_kg]]-Tabla1[[#This Row],[queso_mg_kg]]</f>
        <v>160.10379000000003</v>
      </c>
      <c r="X105">
        <f>_xlfn.ISOWEEKNUM(Tabla1[[#This Row],[fecha]])</f>
        <v>15</v>
      </c>
      <c r="Y105">
        <v>15</v>
      </c>
      <c r="Z105" s="7">
        <f>Tabla1[[#This Row],[suero_litros]]*Tabla1[[#This Row],[suero_grasa_g_l]]/1000</f>
        <v>26.04064</v>
      </c>
      <c r="AA105" s="7">
        <f>Tabla1[[#This Row],[suero_litros]]*Tabla1[[#This Row],[suero_prot_g_l]]/1000</f>
        <v>22.14311</v>
      </c>
      <c r="AB105" s="7">
        <f>Tabla1[[#This Row],[suero_est_g_l]]*Tabla1[[#This Row],[suero_litros]]/1000</f>
        <v>271.92766999999998</v>
      </c>
    </row>
    <row r="106" spans="1:28" x14ac:dyDescent="0.25">
      <c r="A106" s="1">
        <v>45395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f>Tabla1[[#This Row],[entrada_litros]]*Tabla1[[#This Row],[entrada_grasa_g_l]]/1000</f>
        <v>0</v>
      </c>
      <c r="R106">
        <f>Tabla1[[#This Row],[entrada_prot_g_l]]*Tabla1[[#This Row],[entrada_litros]]/1000</f>
        <v>0</v>
      </c>
      <c r="S106">
        <f>Tabla1[[#This Row],[cuba_fab_litros]]*Tabla1[[#This Row],[cuba_fab_grasa_g_l]]/1000</f>
        <v>0</v>
      </c>
      <c r="T106">
        <f>Tabla1[[#This Row],[cuba_fab_litros]]*Tabla1[[#This Row],[cuba_fab_prot_g_l]]/1000</f>
        <v>0</v>
      </c>
      <c r="U106">
        <f>Tabla1[[#This Row],[queso_kg]]*Tabla1[[#This Row],[queso_est_pct]]/100</f>
        <v>0</v>
      </c>
      <c r="V106">
        <f>Tabla1[[#This Row],[queso_kg]]*Tabla1[[#This Row],[queso_mg_pct]]/100</f>
        <v>0</v>
      </c>
      <c r="W106">
        <f>Tabla1[[#This Row],[queso_est_kg]]-Tabla1[[#This Row],[queso_mg_kg]]</f>
        <v>0</v>
      </c>
      <c r="X106">
        <f>_xlfn.ISOWEEKNUM(Tabla1[[#This Row],[fecha]])</f>
        <v>15</v>
      </c>
      <c r="Y106">
        <v>15</v>
      </c>
      <c r="Z106" s="7">
        <f>Tabla1[[#This Row],[suero_litros]]*Tabla1[[#This Row],[suero_grasa_g_l]]/1000</f>
        <v>0</v>
      </c>
      <c r="AA106" s="7">
        <f>Tabla1[[#This Row],[suero_litros]]*Tabla1[[#This Row],[suero_prot_g_l]]/1000</f>
        <v>0</v>
      </c>
      <c r="AB106" s="7">
        <f>Tabla1[[#This Row],[suero_est_g_l]]*Tabla1[[#This Row],[suero_litros]]/1000</f>
        <v>0</v>
      </c>
    </row>
    <row r="107" spans="1:28" x14ac:dyDescent="0.25">
      <c r="A107" s="1">
        <v>45396</v>
      </c>
      <c r="B107">
        <v>5426</v>
      </c>
      <c r="C107">
        <v>5268</v>
      </c>
      <c r="D107">
        <v>43.6</v>
      </c>
      <c r="E107">
        <v>34.57</v>
      </c>
      <c r="F107">
        <v>0</v>
      </c>
      <c r="G107">
        <v>0</v>
      </c>
      <c r="H107">
        <v>0</v>
      </c>
      <c r="I107">
        <v>5268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f>Tabla1[[#This Row],[entrada_litros]]*Tabla1[[#This Row],[entrada_grasa_g_l]]/1000</f>
        <v>229.68480000000002</v>
      </c>
      <c r="R107">
        <f>Tabla1[[#This Row],[entrada_prot_g_l]]*Tabla1[[#This Row],[entrada_litros]]/1000</f>
        <v>182.11476000000002</v>
      </c>
      <c r="S107">
        <f>Tabla1[[#This Row],[cuba_fab_litros]]*Tabla1[[#This Row],[cuba_fab_grasa_g_l]]/1000</f>
        <v>0</v>
      </c>
      <c r="T107">
        <f>Tabla1[[#This Row],[cuba_fab_litros]]*Tabla1[[#This Row],[cuba_fab_prot_g_l]]/1000</f>
        <v>0</v>
      </c>
      <c r="U107">
        <f>Tabla1[[#This Row],[queso_kg]]*Tabla1[[#This Row],[queso_est_pct]]/100</f>
        <v>0</v>
      </c>
      <c r="V107">
        <f>Tabla1[[#This Row],[queso_kg]]*Tabla1[[#This Row],[queso_mg_pct]]/100</f>
        <v>0</v>
      </c>
      <c r="W107">
        <f>Tabla1[[#This Row],[queso_est_kg]]-Tabla1[[#This Row],[queso_mg_kg]]</f>
        <v>0</v>
      </c>
      <c r="X107">
        <f>_xlfn.ISOWEEKNUM(Tabla1[[#This Row],[fecha]])</f>
        <v>15</v>
      </c>
      <c r="Y107">
        <v>16</v>
      </c>
      <c r="Z107" s="7">
        <f>Tabla1[[#This Row],[suero_litros]]*Tabla1[[#This Row],[suero_grasa_g_l]]/1000</f>
        <v>0</v>
      </c>
      <c r="AA107" s="7">
        <f>Tabla1[[#This Row],[suero_litros]]*Tabla1[[#This Row],[suero_prot_g_l]]/1000</f>
        <v>0</v>
      </c>
      <c r="AB107" s="7">
        <f>Tabla1[[#This Row],[suero_est_g_l]]*Tabla1[[#This Row],[suero_litros]]/1000</f>
        <v>0</v>
      </c>
    </row>
    <row r="108" spans="1:28" x14ac:dyDescent="0.25">
      <c r="A108" s="1">
        <v>45397</v>
      </c>
      <c r="B108">
        <v>5304</v>
      </c>
      <c r="C108">
        <v>5150</v>
      </c>
      <c r="D108">
        <v>42.92</v>
      </c>
      <c r="E108">
        <v>36.39</v>
      </c>
      <c r="F108">
        <v>5026</v>
      </c>
      <c r="G108">
        <v>41.53</v>
      </c>
      <c r="H108">
        <v>34.049999999999997</v>
      </c>
      <c r="I108">
        <v>5418</v>
      </c>
      <c r="J108">
        <v>608.29999999999995</v>
      </c>
      <c r="K108">
        <v>53.99</v>
      </c>
      <c r="L108">
        <v>28.03</v>
      </c>
      <c r="M108">
        <v>4457</v>
      </c>
      <c r="N108">
        <v>8.36</v>
      </c>
      <c r="O108">
        <v>7.95</v>
      </c>
      <c r="P108">
        <v>66.36</v>
      </c>
      <c r="Q108">
        <f>Tabla1[[#This Row],[entrada_litros]]*Tabla1[[#This Row],[entrada_grasa_g_l]]/1000</f>
        <v>221.03800000000001</v>
      </c>
      <c r="R108">
        <f>Tabla1[[#This Row],[entrada_prot_g_l]]*Tabla1[[#This Row],[entrada_litros]]/1000</f>
        <v>187.4085</v>
      </c>
      <c r="S108">
        <f>Tabla1[[#This Row],[cuba_fab_litros]]*Tabla1[[#This Row],[cuba_fab_grasa_g_l]]/1000</f>
        <v>208.72978000000001</v>
      </c>
      <c r="T108">
        <f>Tabla1[[#This Row],[cuba_fab_litros]]*Tabla1[[#This Row],[cuba_fab_prot_g_l]]/1000</f>
        <v>171.1353</v>
      </c>
      <c r="U108">
        <f>Tabla1[[#This Row],[queso_kg]]*Tabla1[[#This Row],[queso_est_pct]]/100</f>
        <v>328.42116999999996</v>
      </c>
      <c r="V108">
        <f>Tabla1[[#This Row],[queso_kg]]*Tabla1[[#This Row],[queso_mg_pct]]/100</f>
        <v>170.50648999999999</v>
      </c>
      <c r="W108">
        <f>Tabla1[[#This Row],[queso_est_kg]]-Tabla1[[#This Row],[queso_mg_kg]]</f>
        <v>157.91467999999998</v>
      </c>
      <c r="X108">
        <f>_xlfn.ISOWEEKNUM(Tabla1[[#This Row],[fecha]])</f>
        <v>16</v>
      </c>
      <c r="Y108">
        <v>16</v>
      </c>
      <c r="Z108" s="7">
        <f>Tabla1[[#This Row],[suero_litros]]*Tabla1[[#This Row],[suero_grasa_g_l]]/1000</f>
        <v>37.26052</v>
      </c>
      <c r="AA108" s="7">
        <f>Tabla1[[#This Row],[suero_litros]]*Tabla1[[#This Row],[suero_prot_g_l]]/1000</f>
        <v>35.433150000000005</v>
      </c>
      <c r="AB108" s="7">
        <f>Tabla1[[#This Row],[suero_est_g_l]]*Tabla1[[#This Row],[suero_litros]]/1000</f>
        <v>295.76652000000001</v>
      </c>
    </row>
    <row r="109" spans="1:28" x14ac:dyDescent="0.25">
      <c r="A109" s="1">
        <v>45398</v>
      </c>
      <c r="B109">
        <v>4960</v>
      </c>
      <c r="C109">
        <v>4816</v>
      </c>
      <c r="D109">
        <v>40.57</v>
      </c>
      <c r="E109">
        <v>34.5</v>
      </c>
      <c r="F109">
        <v>5025</v>
      </c>
      <c r="G109">
        <v>39.99</v>
      </c>
      <c r="H109">
        <v>33.39</v>
      </c>
      <c r="I109">
        <v>5234</v>
      </c>
      <c r="J109">
        <v>631.14</v>
      </c>
      <c r="K109">
        <v>52.27</v>
      </c>
      <c r="L109">
        <v>26.72</v>
      </c>
      <c r="M109">
        <v>4434</v>
      </c>
      <c r="N109">
        <v>7.15</v>
      </c>
      <c r="O109">
        <v>5.59</v>
      </c>
      <c r="P109">
        <v>63.45</v>
      </c>
      <c r="Q109">
        <f>Tabla1[[#This Row],[entrada_litros]]*Tabla1[[#This Row],[entrada_grasa_g_l]]/1000</f>
        <v>195.38512</v>
      </c>
      <c r="R109">
        <f>Tabla1[[#This Row],[entrada_prot_g_l]]*Tabla1[[#This Row],[entrada_litros]]/1000</f>
        <v>166.15199999999999</v>
      </c>
      <c r="S109">
        <f>Tabla1[[#This Row],[cuba_fab_litros]]*Tabla1[[#This Row],[cuba_fab_grasa_g_l]]/1000</f>
        <v>200.94974999999999</v>
      </c>
      <c r="T109">
        <f>Tabla1[[#This Row],[cuba_fab_litros]]*Tabla1[[#This Row],[cuba_fab_prot_g_l]]/1000</f>
        <v>167.78475</v>
      </c>
      <c r="U109">
        <f>Tabla1[[#This Row],[queso_kg]]*Tabla1[[#This Row],[queso_est_pct]]/100</f>
        <v>329.89687800000002</v>
      </c>
      <c r="V109">
        <f>Tabla1[[#This Row],[queso_kg]]*Tabla1[[#This Row],[queso_mg_pct]]/100</f>
        <v>168.64060799999999</v>
      </c>
      <c r="W109">
        <f>Tabla1[[#This Row],[queso_est_kg]]-Tabla1[[#This Row],[queso_mg_kg]]</f>
        <v>161.25627000000003</v>
      </c>
      <c r="X109">
        <f>_xlfn.ISOWEEKNUM(Tabla1[[#This Row],[fecha]])</f>
        <v>16</v>
      </c>
      <c r="Y109">
        <v>16</v>
      </c>
      <c r="Z109" s="7">
        <f>Tabla1[[#This Row],[suero_litros]]*Tabla1[[#This Row],[suero_grasa_g_l]]/1000</f>
        <v>31.703100000000003</v>
      </c>
      <c r="AA109" s="7">
        <f>Tabla1[[#This Row],[suero_litros]]*Tabla1[[#This Row],[suero_prot_g_l]]/1000</f>
        <v>24.786059999999999</v>
      </c>
      <c r="AB109" s="7">
        <f>Tabla1[[#This Row],[suero_est_g_l]]*Tabla1[[#This Row],[suero_litros]]/1000</f>
        <v>281.33729999999997</v>
      </c>
    </row>
    <row r="110" spans="1:28" x14ac:dyDescent="0.25">
      <c r="A110" s="1">
        <v>45399</v>
      </c>
      <c r="B110">
        <v>5309</v>
      </c>
      <c r="C110">
        <v>5154</v>
      </c>
      <c r="D110">
        <v>40.950000000000003</v>
      </c>
      <c r="E110">
        <v>36.979999999999997</v>
      </c>
      <c r="F110">
        <v>5018</v>
      </c>
      <c r="G110">
        <v>39.81</v>
      </c>
      <c r="H110">
        <v>34.299999999999997</v>
      </c>
      <c r="I110">
        <v>5388</v>
      </c>
      <c r="J110">
        <v>665.3</v>
      </c>
      <c r="K110">
        <v>50.53</v>
      </c>
      <c r="L110">
        <v>26</v>
      </c>
      <c r="M110">
        <v>4393</v>
      </c>
      <c r="N110">
        <v>5.98</v>
      </c>
      <c r="O110">
        <v>3.77</v>
      </c>
      <c r="P110">
        <v>60.87</v>
      </c>
      <c r="Q110">
        <f>Tabla1[[#This Row],[entrada_litros]]*Tabla1[[#This Row],[entrada_grasa_g_l]]/1000</f>
        <v>211.05630000000002</v>
      </c>
      <c r="R110">
        <f>Tabla1[[#This Row],[entrada_prot_g_l]]*Tabla1[[#This Row],[entrada_litros]]/1000</f>
        <v>190.59491999999997</v>
      </c>
      <c r="S110">
        <f>Tabla1[[#This Row],[cuba_fab_litros]]*Tabla1[[#This Row],[cuba_fab_grasa_g_l]]/1000</f>
        <v>199.76658</v>
      </c>
      <c r="T110">
        <f>Tabla1[[#This Row],[cuba_fab_litros]]*Tabla1[[#This Row],[cuba_fab_prot_g_l]]/1000</f>
        <v>172.1174</v>
      </c>
      <c r="U110">
        <f>Tabla1[[#This Row],[queso_kg]]*Tabla1[[#This Row],[queso_est_pct]]/100</f>
        <v>336.17608999999999</v>
      </c>
      <c r="V110">
        <f>Tabla1[[#This Row],[queso_kg]]*Tabla1[[#This Row],[queso_mg_pct]]/100</f>
        <v>172.97799999999998</v>
      </c>
      <c r="W110">
        <f>Tabla1[[#This Row],[queso_est_kg]]-Tabla1[[#This Row],[queso_mg_kg]]</f>
        <v>163.19809000000001</v>
      </c>
      <c r="X110">
        <f>_xlfn.ISOWEEKNUM(Tabla1[[#This Row],[fecha]])</f>
        <v>16</v>
      </c>
      <c r="Y110">
        <v>16</v>
      </c>
      <c r="Z110" s="7">
        <f>Tabla1[[#This Row],[suero_litros]]*Tabla1[[#This Row],[suero_grasa_g_l]]/1000</f>
        <v>26.270140000000001</v>
      </c>
      <c r="AA110" s="7">
        <f>Tabla1[[#This Row],[suero_litros]]*Tabla1[[#This Row],[suero_prot_g_l]]/1000</f>
        <v>16.561610000000002</v>
      </c>
      <c r="AB110" s="7">
        <f>Tabla1[[#This Row],[suero_est_g_l]]*Tabla1[[#This Row],[suero_litros]]/1000</f>
        <v>267.40190999999999</v>
      </c>
    </row>
    <row r="111" spans="1:28" x14ac:dyDescent="0.25">
      <c r="A111" s="1">
        <v>45400</v>
      </c>
      <c r="B111">
        <v>5335</v>
      </c>
      <c r="C111">
        <v>5180</v>
      </c>
      <c r="D111">
        <v>40.590000000000003</v>
      </c>
      <c r="E111">
        <v>36.659999999999997</v>
      </c>
      <c r="F111">
        <v>5031</v>
      </c>
      <c r="G111">
        <v>39.090000000000003</v>
      </c>
      <c r="H111">
        <v>34.520000000000003</v>
      </c>
      <c r="I111">
        <v>5568</v>
      </c>
      <c r="J111">
        <v>610.86</v>
      </c>
      <c r="K111">
        <v>51.82</v>
      </c>
      <c r="L111">
        <v>27.5</v>
      </c>
      <c r="M111">
        <v>4460</v>
      </c>
      <c r="N111">
        <v>6.27</v>
      </c>
      <c r="O111">
        <v>6.76</v>
      </c>
      <c r="P111">
        <v>64.2</v>
      </c>
      <c r="Q111">
        <f>Tabla1[[#This Row],[entrada_litros]]*Tabla1[[#This Row],[entrada_grasa_g_l]]/1000</f>
        <v>210.25620000000001</v>
      </c>
      <c r="R111">
        <f>Tabla1[[#This Row],[entrada_prot_g_l]]*Tabla1[[#This Row],[entrada_litros]]/1000</f>
        <v>189.89879999999999</v>
      </c>
      <c r="S111">
        <f>Tabla1[[#This Row],[cuba_fab_litros]]*Tabla1[[#This Row],[cuba_fab_grasa_g_l]]/1000</f>
        <v>196.66179</v>
      </c>
      <c r="T111">
        <f>Tabla1[[#This Row],[cuba_fab_litros]]*Tabla1[[#This Row],[cuba_fab_prot_g_l]]/1000</f>
        <v>173.67012000000003</v>
      </c>
      <c r="U111">
        <f>Tabla1[[#This Row],[queso_kg]]*Tabla1[[#This Row],[queso_est_pct]]/100</f>
        <v>316.54765200000003</v>
      </c>
      <c r="V111">
        <f>Tabla1[[#This Row],[queso_kg]]*Tabla1[[#This Row],[queso_mg_pct]]/100</f>
        <v>167.98650000000001</v>
      </c>
      <c r="W111">
        <f>Tabla1[[#This Row],[queso_est_kg]]-Tabla1[[#This Row],[queso_mg_kg]]</f>
        <v>148.56115200000002</v>
      </c>
      <c r="X111">
        <f>_xlfn.ISOWEEKNUM(Tabla1[[#This Row],[fecha]])</f>
        <v>16</v>
      </c>
      <c r="Y111">
        <v>16</v>
      </c>
      <c r="Z111" s="7">
        <f>Tabla1[[#This Row],[suero_litros]]*Tabla1[[#This Row],[suero_grasa_g_l]]/1000</f>
        <v>27.964199999999998</v>
      </c>
      <c r="AA111" s="7">
        <f>Tabla1[[#This Row],[suero_litros]]*Tabla1[[#This Row],[suero_prot_g_l]]/1000</f>
        <v>30.1496</v>
      </c>
      <c r="AB111" s="7">
        <f>Tabla1[[#This Row],[suero_est_g_l]]*Tabla1[[#This Row],[suero_litros]]/1000</f>
        <v>286.33199999999999</v>
      </c>
    </row>
    <row r="112" spans="1:28" x14ac:dyDescent="0.25">
      <c r="A112" s="1">
        <v>45401</v>
      </c>
      <c r="B112">
        <v>0</v>
      </c>
      <c r="C112">
        <v>0</v>
      </c>
      <c r="D112">
        <v>0</v>
      </c>
      <c r="E112">
        <v>0</v>
      </c>
      <c r="F112">
        <v>5589</v>
      </c>
      <c r="G112">
        <v>39.35</v>
      </c>
      <c r="H112">
        <v>34.81</v>
      </c>
      <c r="I112">
        <v>0</v>
      </c>
      <c r="J112">
        <v>688.41</v>
      </c>
      <c r="K112">
        <v>51.4</v>
      </c>
      <c r="L112">
        <v>27.68</v>
      </c>
      <c r="M112">
        <v>4945</v>
      </c>
      <c r="N112">
        <v>5.82</v>
      </c>
      <c r="O112">
        <v>7.94</v>
      </c>
      <c r="P112">
        <v>64.81</v>
      </c>
      <c r="Q112">
        <f>Tabla1[[#This Row],[entrada_litros]]*Tabla1[[#This Row],[entrada_grasa_g_l]]/1000</f>
        <v>0</v>
      </c>
      <c r="R112">
        <f>Tabla1[[#This Row],[entrada_prot_g_l]]*Tabla1[[#This Row],[entrada_litros]]/1000</f>
        <v>0</v>
      </c>
      <c r="S112">
        <f>Tabla1[[#This Row],[cuba_fab_litros]]*Tabla1[[#This Row],[cuba_fab_grasa_g_l]]/1000</f>
        <v>219.92714999999998</v>
      </c>
      <c r="T112">
        <f>Tabla1[[#This Row],[cuba_fab_litros]]*Tabla1[[#This Row],[cuba_fab_prot_g_l]]/1000</f>
        <v>194.55309000000003</v>
      </c>
      <c r="U112">
        <f>Tabla1[[#This Row],[queso_kg]]*Tabla1[[#This Row],[queso_est_pct]]/100</f>
        <v>353.84273999999999</v>
      </c>
      <c r="V112">
        <f>Tabla1[[#This Row],[queso_kg]]*Tabla1[[#This Row],[queso_mg_pct]]/100</f>
        <v>190.55188799999999</v>
      </c>
      <c r="W112">
        <f>Tabla1[[#This Row],[queso_est_kg]]-Tabla1[[#This Row],[queso_mg_kg]]</f>
        <v>163.290852</v>
      </c>
      <c r="X112">
        <f>_xlfn.ISOWEEKNUM(Tabla1[[#This Row],[fecha]])</f>
        <v>16</v>
      </c>
      <c r="Y112">
        <v>16</v>
      </c>
      <c r="Z112" s="7">
        <f>Tabla1[[#This Row],[suero_litros]]*Tabla1[[#This Row],[suero_grasa_g_l]]/1000</f>
        <v>28.779900000000001</v>
      </c>
      <c r="AA112" s="7">
        <f>Tabla1[[#This Row],[suero_litros]]*Tabla1[[#This Row],[suero_prot_g_l]]/1000</f>
        <v>39.263300000000001</v>
      </c>
      <c r="AB112" s="7">
        <f>Tabla1[[#This Row],[suero_est_g_l]]*Tabla1[[#This Row],[suero_litros]]/1000</f>
        <v>320.48545000000001</v>
      </c>
    </row>
    <row r="113" spans="1:28" x14ac:dyDescent="0.25">
      <c r="A113" s="1">
        <v>45402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f>Tabla1[[#This Row],[entrada_litros]]*Tabla1[[#This Row],[entrada_grasa_g_l]]/1000</f>
        <v>0</v>
      </c>
      <c r="R113">
        <f>Tabla1[[#This Row],[entrada_prot_g_l]]*Tabla1[[#This Row],[entrada_litros]]/1000</f>
        <v>0</v>
      </c>
      <c r="S113">
        <f>Tabla1[[#This Row],[cuba_fab_litros]]*Tabla1[[#This Row],[cuba_fab_grasa_g_l]]/1000</f>
        <v>0</v>
      </c>
      <c r="T113">
        <f>Tabla1[[#This Row],[cuba_fab_litros]]*Tabla1[[#This Row],[cuba_fab_prot_g_l]]/1000</f>
        <v>0</v>
      </c>
      <c r="U113">
        <f>Tabla1[[#This Row],[queso_kg]]*Tabla1[[#This Row],[queso_est_pct]]/100</f>
        <v>0</v>
      </c>
      <c r="V113">
        <f>Tabla1[[#This Row],[queso_kg]]*Tabla1[[#This Row],[queso_mg_pct]]/100</f>
        <v>0</v>
      </c>
      <c r="W113">
        <f>Tabla1[[#This Row],[queso_est_kg]]-Tabla1[[#This Row],[queso_mg_kg]]</f>
        <v>0</v>
      </c>
      <c r="X113">
        <f>_xlfn.ISOWEEKNUM(Tabla1[[#This Row],[fecha]])</f>
        <v>16</v>
      </c>
      <c r="Y113">
        <v>16</v>
      </c>
      <c r="Z113" s="7">
        <f>Tabla1[[#This Row],[suero_litros]]*Tabla1[[#This Row],[suero_grasa_g_l]]/1000</f>
        <v>0</v>
      </c>
      <c r="AA113" s="7">
        <f>Tabla1[[#This Row],[suero_litros]]*Tabla1[[#This Row],[suero_prot_g_l]]/1000</f>
        <v>0</v>
      </c>
      <c r="AB113" s="7">
        <f>Tabla1[[#This Row],[suero_est_g_l]]*Tabla1[[#This Row],[suero_litros]]/1000</f>
        <v>0</v>
      </c>
    </row>
    <row r="114" spans="1:28" x14ac:dyDescent="0.25">
      <c r="A114" s="1">
        <v>45403</v>
      </c>
      <c r="B114">
        <v>4751</v>
      </c>
      <c r="C114">
        <v>4613</v>
      </c>
      <c r="D114">
        <v>41.41</v>
      </c>
      <c r="E114">
        <v>34.81</v>
      </c>
      <c r="F114">
        <v>0</v>
      </c>
      <c r="G114">
        <v>0</v>
      </c>
      <c r="H114">
        <v>0</v>
      </c>
      <c r="I114">
        <v>4613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f>Tabla1[[#This Row],[entrada_litros]]*Tabla1[[#This Row],[entrada_grasa_g_l]]/1000</f>
        <v>191.02432999999999</v>
      </c>
      <c r="R114">
        <f>Tabla1[[#This Row],[entrada_prot_g_l]]*Tabla1[[#This Row],[entrada_litros]]/1000</f>
        <v>160.57853</v>
      </c>
      <c r="S114">
        <f>Tabla1[[#This Row],[cuba_fab_litros]]*Tabla1[[#This Row],[cuba_fab_grasa_g_l]]/1000</f>
        <v>0</v>
      </c>
      <c r="T114">
        <f>Tabla1[[#This Row],[cuba_fab_litros]]*Tabla1[[#This Row],[cuba_fab_prot_g_l]]/1000</f>
        <v>0</v>
      </c>
      <c r="U114">
        <f>Tabla1[[#This Row],[queso_kg]]*Tabla1[[#This Row],[queso_est_pct]]/100</f>
        <v>0</v>
      </c>
      <c r="V114">
        <f>Tabla1[[#This Row],[queso_kg]]*Tabla1[[#This Row],[queso_mg_pct]]/100</f>
        <v>0</v>
      </c>
      <c r="W114">
        <f>Tabla1[[#This Row],[queso_est_kg]]-Tabla1[[#This Row],[queso_mg_kg]]</f>
        <v>0</v>
      </c>
      <c r="X114">
        <f>_xlfn.ISOWEEKNUM(Tabla1[[#This Row],[fecha]])</f>
        <v>16</v>
      </c>
      <c r="Y114">
        <v>17</v>
      </c>
      <c r="Z114" s="7">
        <f>Tabla1[[#This Row],[suero_litros]]*Tabla1[[#This Row],[suero_grasa_g_l]]/1000</f>
        <v>0</v>
      </c>
      <c r="AA114" s="7">
        <f>Tabla1[[#This Row],[suero_litros]]*Tabla1[[#This Row],[suero_prot_g_l]]/1000</f>
        <v>0</v>
      </c>
      <c r="AB114" s="7">
        <f>Tabla1[[#This Row],[suero_est_g_l]]*Tabla1[[#This Row],[suero_litros]]/1000</f>
        <v>0</v>
      </c>
    </row>
    <row r="115" spans="1:28" x14ac:dyDescent="0.25">
      <c r="A115" s="1">
        <v>45404</v>
      </c>
      <c r="B115">
        <v>5635</v>
      </c>
      <c r="C115">
        <v>5471</v>
      </c>
      <c r="D115">
        <v>39.57</v>
      </c>
      <c r="E115">
        <v>35.869999999999997</v>
      </c>
      <c r="F115">
        <v>5028</v>
      </c>
      <c r="G115">
        <v>38.65</v>
      </c>
      <c r="H115">
        <v>33.72</v>
      </c>
      <c r="I115">
        <v>5084</v>
      </c>
      <c r="J115">
        <v>636.80999999999995</v>
      </c>
      <c r="K115">
        <v>51.18</v>
      </c>
      <c r="L115">
        <v>26.67</v>
      </c>
      <c r="M115">
        <v>4431</v>
      </c>
      <c r="N115">
        <v>5.47</v>
      </c>
      <c r="O115">
        <v>6.81</v>
      </c>
      <c r="P115">
        <v>62.68</v>
      </c>
      <c r="Q115">
        <f>Tabla1[[#This Row],[entrada_litros]]*Tabla1[[#This Row],[entrada_grasa_g_l]]/1000</f>
        <v>216.48747</v>
      </c>
      <c r="R115">
        <f>Tabla1[[#This Row],[entrada_prot_g_l]]*Tabla1[[#This Row],[entrada_litros]]/1000</f>
        <v>196.24476999999999</v>
      </c>
      <c r="S115">
        <f>Tabla1[[#This Row],[cuba_fab_litros]]*Tabla1[[#This Row],[cuba_fab_grasa_g_l]]/1000</f>
        <v>194.33219999999997</v>
      </c>
      <c r="T115">
        <f>Tabla1[[#This Row],[cuba_fab_litros]]*Tabla1[[#This Row],[cuba_fab_prot_g_l]]/1000</f>
        <v>169.54416000000001</v>
      </c>
      <c r="U115">
        <f>Tabla1[[#This Row],[queso_kg]]*Tabla1[[#This Row],[queso_est_pct]]/100</f>
        <v>325.91935799999993</v>
      </c>
      <c r="V115">
        <f>Tabla1[[#This Row],[queso_kg]]*Tabla1[[#This Row],[queso_mg_pct]]/100</f>
        <v>169.83722699999998</v>
      </c>
      <c r="W115">
        <f>Tabla1[[#This Row],[queso_est_kg]]-Tabla1[[#This Row],[queso_mg_kg]]</f>
        <v>156.08213099999995</v>
      </c>
      <c r="X115">
        <f>_xlfn.ISOWEEKNUM(Tabla1[[#This Row],[fecha]])</f>
        <v>17</v>
      </c>
      <c r="Y115">
        <v>17</v>
      </c>
      <c r="Z115" s="7">
        <f>Tabla1[[#This Row],[suero_litros]]*Tabla1[[#This Row],[suero_grasa_g_l]]/1000</f>
        <v>24.237569999999998</v>
      </c>
      <c r="AA115" s="7">
        <f>Tabla1[[#This Row],[suero_litros]]*Tabla1[[#This Row],[suero_prot_g_l]]/1000</f>
        <v>30.175109999999997</v>
      </c>
      <c r="AB115" s="7">
        <f>Tabla1[[#This Row],[suero_est_g_l]]*Tabla1[[#This Row],[suero_litros]]/1000</f>
        <v>277.73508000000004</v>
      </c>
    </row>
    <row r="116" spans="1:28" x14ac:dyDescent="0.25">
      <c r="A116" s="1">
        <v>45405</v>
      </c>
      <c r="B116">
        <v>5183</v>
      </c>
      <c r="C116">
        <v>5032</v>
      </c>
      <c r="D116">
        <v>42.95</v>
      </c>
      <c r="E116">
        <v>37</v>
      </c>
      <c r="F116">
        <v>5020</v>
      </c>
      <c r="G116">
        <v>39.92</v>
      </c>
      <c r="H116">
        <v>34.69</v>
      </c>
      <c r="I116">
        <v>5116</v>
      </c>
      <c r="J116">
        <v>614.67999999999995</v>
      </c>
      <c r="K116">
        <v>54.34</v>
      </c>
      <c r="L116">
        <v>28.51</v>
      </c>
      <c r="M116">
        <v>4445</v>
      </c>
      <c r="N116">
        <v>5.53</v>
      </c>
      <c r="O116">
        <v>6.67</v>
      </c>
      <c r="P116">
        <v>62.6</v>
      </c>
      <c r="Q116">
        <f>Tabla1[[#This Row],[entrada_litros]]*Tabla1[[#This Row],[entrada_grasa_g_l]]/1000</f>
        <v>216.12440000000004</v>
      </c>
      <c r="R116">
        <f>Tabla1[[#This Row],[entrada_prot_g_l]]*Tabla1[[#This Row],[entrada_litros]]/1000</f>
        <v>186.184</v>
      </c>
      <c r="S116">
        <f>Tabla1[[#This Row],[cuba_fab_litros]]*Tabla1[[#This Row],[cuba_fab_grasa_g_l]]/1000</f>
        <v>200.39839999999998</v>
      </c>
      <c r="T116">
        <f>Tabla1[[#This Row],[cuba_fab_litros]]*Tabla1[[#This Row],[cuba_fab_prot_g_l]]/1000</f>
        <v>174.1438</v>
      </c>
      <c r="U116">
        <f>Tabla1[[#This Row],[queso_kg]]*Tabla1[[#This Row],[queso_est_pct]]/100</f>
        <v>334.017112</v>
      </c>
      <c r="V116">
        <f>Tabla1[[#This Row],[queso_kg]]*Tabla1[[#This Row],[queso_mg_pct]]/100</f>
        <v>175.24526800000001</v>
      </c>
      <c r="W116">
        <f>Tabla1[[#This Row],[queso_est_kg]]-Tabla1[[#This Row],[queso_mg_kg]]</f>
        <v>158.77184399999999</v>
      </c>
      <c r="X116">
        <f>_xlfn.ISOWEEKNUM(Tabla1[[#This Row],[fecha]])</f>
        <v>17</v>
      </c>
      <c r="Y116">
        <v>17</v>
      </c>
      <c r="Z116" s="7">
        <f>Tabla1[[#This Row],[suero_litros]]*Tabla1[[#This Row],[suero_grasa_g_l]]/1000</f>
        <v>24.580850000000002</v>
      </c>
      <c r="AA116" s="7">
        <f>Tabla1[[#This Row],[suero_litros]]*Tabla1[[#This Row],[suero_prot_g_l]]/1000</f>
        <v>29.648150000000001</v>
      </c>
      <c r="AB116" s="7">
        <f>Tabla1[[#This Row],[suero_est_g_l]]*Tabla1[[#This Row],[suero_litros]]/1000</f>
        <v>278.25700000000001</v>
      </c>
    </row>
    <row r="117" spans="1:28" x14ac:dyDescent="0.25">
      <c r="A117" s="1">
        <v>45406</v>
      </c>
      <c r="B117">
        <v>5354</v>
      </c>
      <c r="C117">
        <v>5198</v>
      </c>
      <c r="D117">
        <v>42.58</v>
      </c>
      <c r="E117">
        <v>34.46</v>
      </c>
      <c r="F117">
        <v>5020</v>
      </c>
      <c r="G117">
        <v>40.14</v>
      </c>
      <c r="H117">
        <v>34.08</v>
      </c>
      <c r="I117">
        <v>5314</v>
      </c>
      <c r="J117">
        <v>565.74</v>
      </c>
      <c r="K117">
        <v>53.48</v>
      </c>
      <c r="L117">
        <v>27.87</v>
      </c>
      <c r="M117">
        <v>4493</v>
      </c>
      <c r="N117">
        <v>9.6199999999999992</v>
      </c>
      <c r="O117">
        <v>8.86</v>
      </c>
      <c r="P117">
        <v>68.36</v>
      </c>
      <c r="Q117">
        <f>Tabla1[[#This Row],[entrada_litros]]*Tabla1[[#This Row],[entrada_grasa_g_l]]/1000</f>
        <v>221.33083999999999</v>
      </c>
      <c r="R117">
        <f>Tabla1[[#This Row],[entrada_prot_g_l]]*Tabla1[[#This Row],[entrada_litros]]/1000</f>
        <v>179.12308000000002</v>
      </c>
      <c r="S117">
        <f>Tabla1[[#This Row],[cuba_fab_litros]]*Tabla1[[#This Row],[cuba_fab_grasa_g_l]]/1000</f>
        <v>201.50279999999998</v>
      </c>
      <c r="T117">
        <f>Tabla1[[#This Row],[cuba_fab_litros]]*Tabla1[[#This Row],[cuba_fab_prot_g_l]]/1000</f>
        <v>171.08160000000001</v>
      </c>
      <c r="U117">
        <f>Tabla1[[#This Row],[queso_kg]]*Tabla1[[#This Row],[queso_est_pct]]/100</f>
        <v>302.55775199999999</v>
      </c>
      <c r="V117">
        <f>Tabla1[[#This Row],[queso_kg]]*Tabla1[[#This Row],[queso_mg_pct]]/100</f>
        <v>157.671738</v>
      </c>
      <c r="W117">
        <f>Tabla1[[#This Row],[queso_est_kg]]-Tabla1[[#This Row],[queso_mg_kg]]</f>
        <v>144.88601399999999</v>
      </c>
      <c r="X117">
        <f>_xlfn.ISOWEEKNUM(Tabla1[[#This Row],[fecha]])</f>
        <v>17</v>
      </c>
      <c r="Y117">
        <v>17</v>
      </c>
      <c r="Z117" s="7">
        <f>Tabla1[[#This Row],[suero_litros]]*Tabla1[[#This Row],[suero_grasa_g_l]]/1000</f>
        <v>43.222659999999998</v>
      </c>
      <c r="AA117" s="7">
        <f>Tabla1[[#This Row],[suero_litros]]*Tabla1[[#This Row],[suero_prot_g_l]]/1000</f>
        <v>39.807979999999993</v>
      </c>
      <c r="AB117" s="7">
        <f>Tabla1[[#This Row],[suero_est_g_l]]*Tabla1[[#This Row],[suero_litros]]/1000</f>
        <v>307.14148</v>
      </c>
    </row>
    <row r="118" spans="1:28" x14ac:dyDescent="0.25">
      <c r="A118" s="1">
        <v>45407</v>
      </c>
      <c r="B118">
        <v>5364</v>
      </c>
      <c r="C118">
        <v>5208</v>
      </c>
      <c r="D118">
        <v>42.94</v>
      </c>
      <c r="E118">
        <v>35.880000000000003</v>
      </c>
      <c r="F118">
        <v>5021</v>
      </c>
      <c r="G118">
        <v>40.79</v>
      </c>
      <c r="H118">
        <v>34.21</v>
      </c>
      <c r="I118">
        <v>5522</v>
      </c>
      <c r="J118">
        <v>613.16999999999996</v>
      </c>
      <c r="K118">
        <v>50.88</v>
      </c>
      <c r="L118">
        <v>26.93</v>
      </c>
      <c r="M118">
        <v>4447</v>
      </c>
      <c r="N118">
        <v>8.69</v>
      </c>
      <c r="O118">
        <v>7.35</v>
      </c>
      <c r="P118">
        <v>66.709999999999994</v>
      </c>
      <c r="Q118">
        <f>Tabla1[[#This Row],[entrada_litros]]*Tabla1[[#This Row],[entrada_grasa_g_l]]/1000</f>
        <v>223.63151999999999</v>
      </c>
      <c r="R118">
        <f>Tabla1[[#This Row],[entrada_prot_g_l]]*Tabla1[[#This Row],[entrada_litros]]/1000</f>
        <v>186.86304000000001</v>
      </c>
      <c r="S118">
        <f>Tabla1[[#This Row],[cuba_fab_litros]]*Tabla1[[#This Row],[cuba_fab_grasa_g_l]]/1000</f>
        <v>204.80659</v>
      </c>
      <c r="T118">
        <f>Tabla1[[#This Row],[cuba_fab_litros]]*Tabla1[[#This Row],[cuba_fab_prot_g_l]]/1000</f>
        <v>171.76841000000002</v>
      </c>
      <c r="U118">
        <f>Tabla1[[#This Row],[queso_kg]]*Tabla1[[#This Row],[queso_est_pct]]/100</f>
        <v>311.98089599999997</v>
      </c>
      <c r="V118">
        <f>Tabla1[[#This Row],[queso_kg]]*Tabla1[[#This Row],[queso_mg_pct]]/100</f>
        <v>165.12668099999999</v>
      </c>
      <c r="W118">
        <f>Tabla1[[#This Row],[queso_est_kg]]-Tabla1[[#This Row],[queso_mg_kg]]</f>
        <v>146.85421499999998</v>
      </c>
      <c r="X118">
        <f>_xlfn.ISOWEEKNUM(Tabla1[[#This Row],[fecha]])</f>
        <v>17</v>
      </c>
      <c r="Y118">
        <v>17</v>
      </c>
      <c r="Z118" s="7">
        <f>Tabla1[[#This Row],[suero_litros]]*Tabla1[[#This Row],[suero_grasa_g_l]]/1000</f>
        <v>38.64443</v>
      </c>
      <c r="AA118" s="7">
        <f>Tabla1[[#This Row],[suero_litros]]*Tabla1[[#This Row],[suero_prot_g_l]]/1000</f>
        <v>32.685449999999996</v>
      </c>
      <c r="AB118" s="7">
        <f>Tabla1[[#This Row],[suero_est_g_l]]*Tabla1[[#This Row],[suero_litros]]/1000</f>
        <v>296.65936999999997</v>
      </c>
    </row>
    <row r="119" spans="1:28" x14ac:dyDescent="0.25">
      <c r="A119" s="1">
        <v>45408</v>
      </c>
      <c r="B119">
        <v>0</v>
      </c>
      <c r="C119">
        <v>0</v>
      </c>
      <c r="D119">
        <v>0</v>
      </c>
      <c r="E119">
        <v>0</v>
      </c>
      <c r="F119">
        <v>5537</v>
      </c>
      <c r="G119">
        <v>40.92</v>
      </c>
      <c r="H119">
        <v>34.409999999999997</v>
      </c>
      <c r="I119">
        <v>0</v>
      </c>
      <c r="J119">
        <v>676.1</v>
      </c>
      <c r="K119">
        <v>52.22</v>
      </c>
      <c r="L119">
        <v>26.54</v>
      </c>
      <c r="M119">
        <v>4904</v>
      </c>
      <c r="N119">
        <v>9.48</v>
      </c>
      <c r="O119">
        <v>6.16</v>
      </c>
      <c r="P119">
        <v>67.55</v>
      </c>
      <c r="Q119">
        <f>Tabla1[[#This Row],[entrada_litros]]*Tabla1[[#This Row],[entrada_grasa_g_l]]/1000</f>
        <v>0</v>
      </c>
      <c r="R119">
        <f>Tabla1[[#This Row],[entrada_prot_g_l]]*Tabla1[[#This Row],[entrada_litros]]/1000</f>
        <v>0</v>
      </c>
      <c r="S119">
        <f>Tabla1[[#This Row],[cuba_fab_litros]]*Tabla1[[#This Row],[cuba_fab_grasa_g_l]]/1000</f>
        <v>226.57404</v>
      </c>
      <c r="T119">
        <f>Tabla1[[#This Row],[cuba_fab_litros]]*Tabla1[[#This Row],[cuba_fab_prot_g_l]]/1000</f>
        <v>190.52816999999999</v>
      </c>
      <c r="U119">
        <f>Tabla1[[#This Row],[queso_kg]]*Tabla1[[#This Row],[queso_est_pct]]/100</f>
        <v>353.05942000000005</v>
      </c>
      <c r="V119">
        <f>Tabla1[[#This Row],[queso_kg]]*Tabla1[[#This Row],[queso_mg_pct]]/100</f>
        <v>179.43693999999999</v>
      </c>
      <c r="W119">
        <f>Tabla1[[#This Row],[queso_est_kg]]-Tabla1[[#This Row],[queso_mg_kg]]</f>
        <v>173.62248000000005</v>
      </c>
      <c r="X119">
        <f>_xlfn.ISOWEEKNUM(Tabla1[[#This Row],[fecha]])</f>
        <v>17</v>
      </c>
      <c r="Y119">
        <v>17</v>
      </c>
      <c r="Z119" s="7">
        <f>Tabla1[[#This Row],[suero_litros]]*Tabla1[[#This Row],[suero_grasa_g_l]]/1000</f>
        <v>46.489920000000005</v>
      </c>
      <c r="AA119" s="7">
        <f>Tabla1[[#This Row],[suero_litros]]*Tabla1[[#This Row],[suero_prot_g_l]]/1000</f>
        <v>30.208639999999999</v>
      </c>
      <c r="AB119" s="7">
        <f>Tabla1[[#This Row],[suero_est_g_l]]*Tabla1[[#This Row],[suero_litros]]/1000</f>
        <v>331.26519999999999</v>
      </c>
    </row>
    <row r="120" spans="1:28" x14ac:dyDescent="0.25">
      <c r="A120" s="1">
        <v>45409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f>Tabla1[[#This Row],[entrada_litros]]*Tabla1[[#This Row],[entrada_grasa_g_l]]/1000</f>
        <v>0</v>
      </c>
      <c r="R120">
        <f>Tabla1[[#This Row],[entrada_prot_g_l]]*Tabla1[[#This Row],[entrada_litros]]/1000</f>
        <v>0</v>
      </c>
      <c r="S120">
        <f>Tabla1[[#This Row],[cuba_fab_litros]]*Tabla1[[#This Row],[cuba_fab_grasa_g_l]]/1000</f>
        <v>0</v>
      </c>
      <c r="T120">
        <f>Tabla1[[#This Row],[cuba_fab_litros]]*Tabla1[[#This Row],[cuba_fab_prot_g_l]]/1000</f>
        <v>0</v>
      </c>
      <c r="U120">
        <f>Tabla1[[#This Row],[queso_kg]]*Tabla1[[#This Row],[queso_est_pct]]/100</f>
        <v>0</v>
      </c>
      <c r="V120">
        <f>Tabla1[[#This Row],[queso_kg]]*Tabla1[[#This Row],[queso_mg_pct]]/100</f>
        <v>0</v>
      </c>
      <c r="W120">
        <f>Tabla1[[#This Row],[queso_est_kg]]-Tabla1[[#This Row],[queso_mg_kg]]</f>
        <v>0</v>
      </c>
      <c r="X120">
        <f>_xlfn.ISOWEEKNUM(Tabla1[[#This Row],[fecha]])</f>
        <v>17</v>
      </c>
      <c r="Y120">
        <v>17</v>
      </c>
      <c r="Z120" s="7">
        <f>Tabla1[[#This Row],[suero_litros]]*Tabla1[[#This Row],[suero_grasa_g_l]]/1000</f>
        <v>0</v>
      </c>
      <c r="AA120" s="7">
        <f>Tabla1[[#This Row],[suero_litros]]*Tabla1[[#This Row],[suero_prot_g_l]]/1000</f>
        <v>0</v>
      </c>
      <c r="AB120" s="7">
        <f>Tabla1[[#This Row],[suero_est_g_l]]*Tabla1[[#This Row],[suero_litros]]/1000</f>
        <v>0</v>
      </c>
    </row>
    <row r="121" spans="1:28" x14ac:dyDescent="0.25">
      <c r="A121" s="1">
        <v>45410</v>
      </c>
      <c r="B121">
        <v>5078</v>
      </c>
      <c r="C121">
        <v>4930</v>
      </c>
      <c r="D121">
        <v>43</v>
      </c>
      <c r="E121">
        <v>35.56</v>
      </c>
      <c r="F121">
        <v>0</v>
      </c>
      <c r="G121">
        <v>0</v>
      </c>
      <c r="H121">
        <v>0</v>
      </c>
      <c r="I121">
        <v>4930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f>Tabla1[[#This Row],[entrada_litros]]*Tabla1[[#This Row],[entrada_grasa_g_l]]/1000</f>
        <v>211.99</v>
      </c>
      <c r="R121">
        <f>Tabla1[[#This Row],[entrada_prot_g_l]]*Tabla1[[#This Row],[entrada_litros]]/1000</f>
        <v>175.31080000000003</v>
      </c>
      <c r="S121">
        <f>Tabla1[[#This Row],[cuba_fab_litros]]*Tabla1[[#This Row],[cuba_fab_grasa_g_l]]/1000</f>
        <v>0</v>
      </c>
      <c r="T121">
        <f>Tabla1[[#This Row],[cuba_fab_litros]]*Tabla1[[#This Row],[cuba_fab_prot_g_l]]/1000</f>
        <v>0</v>
      </c>
      <c r="U121">
        <f>Tabla1[[#This Row],[queso_kg]]*Tabla1[[#This Row],[queso_est_pct]]/100</f>
        <v>0</v>
      </c>
      <c r="V121">
        <f>Tabla1[[#This Row],[queso_kg]]*Tabla1[[#This Row],[queso_mg_pct]]/100</f>
        <v>0</v>
      </c>
      <c r="W121">
        <f>Tabla1[[#This Row],[queso_est_kg]]-Tabla1[[#This Row],[queso_mg_kg]]</f>
        <v>0</v>
      </c>
      <c r="X121">
        <f>_xlfn.ISOWEEKNUM(Tabla1[[#This Row],[fecha]])</f>
        <v>17</v>
      </c>
      <c r="Y121">
        <v>18</v>
      </c>
      <c r="Z121" s="7">
        <f>Tabla1[[#This Row],[suero_litros]]*Tabla1[[#This Row],[suero_grasa_g_l]]/1000</f>
        <v>0</v>
      </c>
      <c r="AA121" s="7">
        <f>Tabla1[[#This Row],[suero_litros]]*Tabla1[[#This Row],[suero_prot_g_l]]/1000</f>
        <v>0</v>
      </c>
      <c r="AB121" s="7">
        <f>Tabla1[[#This Row],[suero_est_g_l]]*Tabla1[[#This Row],[suero_litros]]/1000</f>
        <v>0</v>
      </c>
    </row>
    <row r="122" spans="1:28" x14ac:dyDescent="0.25">
      <c r="A122" s="1">
        <v>45411</v>
      </c>
      <c r="B122">
        <v>5791</v>
      </c>
      <c r="C122">
        <v>5622</v>
      </c>
      <c r="D122">
        <v>42.87</v>
      </c>
      <c r="E122">
        <v>36.29</v>
      </c>
      <c r="F122">
        <v>5020</v>
      </c>
      <c r="G122">
        <v>41.23</v>
      </c>
      <c r="H122">
        <v>34.450000000000003</v>
      </c>
      <c r="I122">
        <v>5552</v>
      </c>
      <c r="J122">
        <v>617.42999999999995</v>
      </c>
      <c r="K122">
        <v>50.63</v>
      </c>
      <c r="L122">
        <v>25.89</v>
      </c>
      <c r="M122">
        <v>4442</v>
      </c>
      <c r="N122">
        <v>10.32</v>
      </c>
      <c r="O122">
        <v>6.55</v>
      </c>
      <c r="P122">
        <v>67.87</v>
      </c>
      <c r="Q122">
        <f>Tabla1[[#This Row],[entrada_litros]]*Tabla1[[#This Row],[entrada_grasa_g_l]]/1000</f>
        <v>241.01513999999997</v>
      </c>
      <c r="R122">
        <f>Tabla1[[#This Row],[entrada_prot_g_l]]*Tabla1[[#This Row],[entrada_litros]]/1000</f>
        <v>204.02238</v>
      </c>
      <c r="S122">
        <f>Tabla1[[#This Row],[cuba_fab_litros]]*Tabla1[[#This Row],[cuba_fab_grasa_g_l]]/1000</f>
        <v>206.97459999999998</v>
      </c>
      <c r="T122">
        <f>Tabla1[[#This Row],[cuba_fab_litros]]*Tabla1[[#This Row],[cuba_fab_prot_g_l]]/1000</f>
        <v>172.93899999999999</v>
      </c>
      <c r="U122">
        <f>Tabla1[[#This Row],[queso_kg]]*Tabla1[[#This Row],[queso_est_pct]]/100</f>
        <v>312.60480899999999</v>
      </c>
      <c r="V122">
        <f>Tabla1[[#This Row],[queso_kg]]*Tabla1[[#This Row],[queso_mg_pct]]/100</f>
        <v>159.85262699999998</v>
      </c>
      <c r="W122">
        <f>Tabla1[[#This Row],[queso_est_kg]]-Tabla1[[#This Row],[queso_mg_kg]]</f>
        <v>152.752182</v>
      </c>
      <c r="X122">
        <f>_xlfn.ISOWEEKNUM(Tabla1[[#This Row],[fecha]])</f>
        <v>18</v>
      </c>
      <c r="Y122">
        <v>18</v>
      </c>
      <c r="Z122" s="7">
        <f>Tabla1[[#This Row],[suero_litros]]*Tabla1[[#This Row],[suero_grasa_g_l]]/1000</f>
        <v>45.841440000000006</v>
      </c>
      <c r="AA122" s="7">
        <f>Tabla1[[#This Row],[suero_litros]]*Tabla1[[#This Row],[suero_prot_g_l]]/1000</f>
        <v>29.095099999999999</v>
      </c>
      <c r="AB122" s="7">
        <f>Tabla1[[#This Row],[suero_est_g_l]]*Tabla1[[#This Row],[suero_litros]]/1000</f>
        <v>301.47854000000001</v>
      </c>
    </row>
    <row r="123" spans="1:28" x14ac:dyDescent="0.25">
      <c r="A123" s="1">
        <v>45412</v>
      </c>
      <c r="B123">
        <v>5106</v>
      </c>
      <c r="C123">
        <v>4957</v>
      </c>
      <c r="D123">
        <v>40.770000000000003</v>
      </c>
      <c r="E123">
        <v>35.799999999999997</v>
      </c>
      <c r="F123">
        <v>5026</v>
      </c>
      <c r="G123">
        <v>40.06</v>
      </c>
      <c r="H123">
        <v>34.520000000000003</v>
      </c>
      <c r="I123">
        <v>5509</v>
      </c>
      <c r="J123">
        <v>625.26</v>
      </c>
      <c r="K123">
        <v>51.33</v>
      </c>
      <c r="L123">
        <v>27.9</v>
      </c>
      <c r="M123">
        <v>4441</v>
      </c>
      <c r="N123">
        <v>5.87</v>
      </c>
      <c r="O123">
        <v>7.66</v>
      </c>
      <c r="P123">
        <v>64.17</v>
      </c>
      <c r="Q123">
        <f>Tabla1[[#This Row],[entrada_litros]]*Tabla1[[#This Row],[entrada_grasa_g_l]]/1000</f>
        <v>202.09689</v>
      </c>
      <c r="R123">
        <f>Tabla1[[#This Row],[entrada_prot_g_l]]*Tabla1[[#This Row],[entrada_litros]]/1000</f>
        <v>177.46059999999997</v>
      </c>
      <c r="S123">
        <f>Tabla1[[#This Row],[cuba_fab_litros]]*Tabla1[[#This Row],[cuba_fab_grasa_g_l]]/1000</f>
        <v>201.34155999999999</v>
      </c>
      <c r="T123">
        <f>Tabla1[[#This Row],[cuba_fab_litros]]*Tabla1[[#This Row],[cuba_fab_prot_g_l]]/1000</f>
        <v>173.49752000000001</v>
      </c>
      <c r="U123">
        <f>Tabla1[[#This Row],[queso_kg]]*Tabla1[[#This Row],[queso_est_pct]]/100</f>
        <v>320.94595800000002</v>
      </c>
      <c r="V123">
        <f>Tabla1[[#This Row],[queso_kg]]*Tabla1[[#This Row],[queso_mg_pct]]/100</f>
        <v>174.44753999999998</v>
      </c>
      <c r="W123">
        <f>Tabla1[[#This Row],[queso_est_kg]]-Tabla1[[#This Row],[queso_mg_kg]]</f>
        <v>146.49841800000004</v>
      </c>
      <c r="X123">
        <f>_xlfn.ISOWEEKNUM(Tabla1[[#This Row],[fecha]])</f>
        <v>18</v>
      </c>
      <c r="Y123">
        <v>18</v>
      </c>
      <c r="Z123" s="7">
        <f>Tabla1[[#This Row],[suero_litros]]*Tabla1[[#This Row],[suero_grasa_g_l]]/1000</f>
        <v>26.068670000000001</v>
      </c>
      <c r="AA123" s="7">
        <f>Tabla1[[#This Row],[suero_litros]]*Tabla1[[#This Row],[suero_prot_g_l]]/1000</f>
        <v>34.018059999999998</v>
      </c>
      <c r="AB123" s="7">
        <f>Tabla1[[#This Row],[suero_est_g_l]]*Tabla1[[#This Row],[suero_litros]]/1000</f>
        <v>284.97897</v>
      </c>
    </row>
    <row r="124" spans="1:28" x14ac:dyDescent="0.25">
      <c r="A124" s="1">
        <v>45413</v>
      </c>
      <c r="B124">
        <v>5234</v>
      </c>
      <c r="C124">
        <v>5082</v>
      </c>
      <c r="D124">
        <v>39.630000000000003</v>
      </c>
      <c r="E124">
        <v>35.520000000000003</v>
      </c>
      <c r="F124">
        <v>5030</v>
      </c>
      <c r="G124">
        <v>38.700000000000003</v>
      </c>
      <c r="H124">
        <v>34.22</v>
      </c>
      <c r="I124">
        <v>5591</v>
      </c>
      <c r="J124">
        <v>660.75</v>
      </c>
      <c r="K124">
        <v>51.7</v>
      </c>
      <c r="L124">
        <v>26.48</v>
      </c>
      <c r="M124">
        <v>4410</v>
      </c>
      <c r="N124">
        <v>4.3499999999999996</v>
      </c>
      <c r="O124">
        <v>4.7699999999999996</v>
      </c>
      <c r="P124">
        <v>58.83</v>
      </c>
      <c r="Q124">
        <f>Tabla1[[#This Row],[entrada_litros]]*Tabla1[[#This Row],[entrada_grasa_g_l]]/1000</f>
        <v>201.39966000000001</v>
      </c>
      <c r="R124">
        <f>Tabla1[[#This Row],[entrada_prot_g_l]]*Tabla1[[#This Row],[entrada_litros]]/1000</f>
        <v>180.51264</v>
      </c>
      <c r="S124">
        <f>Tabla1[[#This Row],[cuba_fab_litros]]*Tabla1[[#This Row],[cuba_fab_grasa_g_l]]/1000</f>
        <v>194.661</v>
      </c>
      <c r="T124">
        <f>Tabla1[[#This Row],[cuba_fab_litros]]*Tabla1[[#This Row],[cuba_fab_prot_g_l]]/1000</f>
        <v>172.1266</v>
      </c>
      <c r="U124">
        <f>Tabla1[[#This Row],[queso_kg]]*Tabla1[[#This Row],[queso_est_pct]]/100</f>
        <v>341.60775000000001</v>
      </c>
      <c r="V124">
        <f>Tabla1[[#This Row],[queso_kg]]*Tabla1[[#This Row],[queso_mg_pct]]/100</f>
        <v>174.9666</v>
      </c>
      <c r="W124">
        <f>Tabla1[[#This Row],[queso_est_kg]]-Tabla1[[#This Row],[queso_mg_kg]]</f>
        <v>166.64115000000001</v>
      </c>
      <c r="X124">
        <f>_xlfn.ISOWEEKNUM(Tabla1[[#This Row],[fecha]])</f>
        <v>18</v>
      </c>
      <c r="Y124">
        <v>18</v>
      </c>
      <c r="Z124" s="7">
        <f>Tabla1[[#This Row],[suero_litros]]*Tabla1[[#This Row],[suero_grasa_g_l]]/1000</f>
        <v>19.183499999999999</v>
      </c>
      <c r="AA124" s="7">
        <f>Tabla1[[#This Row],[suero_litros]]*Tabla1[[#This Row],[suero_prot_g_l]]/1000</f>
        <v>21.035699999999999</v>
      </c>
      <c r="AB124" s="7">
        <f>Tabla1[[#This Row],[suero_est_g_l]]*Tabla1[[#This Row],[suero_litros]]/1000</f>
        <v>259.44029999999998</v>
      </c>
    </row>
    <row r="125" spans="1:28" x14ac:dyDescent="0.25">
      <c r="A125" s="1">
        <v>45414</v>
      </c>
      <c r="B125">
        <v>4550</v>
      </c>
      <c r="C125">
        <v>4417</v>
      </c>
      <c r="D125">
        <v>43.97</v>
      </c>
      <c r="E125">
        <v>35.86</v>
      </c>
      <c r="F125">
        <v>5019</v>
      </c>
      <c r="G125">
        <v>40.29</v>
      </c>
      <c r="H125">
        <v>34.25</v>
      </c>
      <c r="I125">
        <v>5008</v>
      </c>
      <c r="J125">
        <v>619.69000000000005</v>
      </c>
      <c r="K125">
        <v>52.62</v>
      </c>
      <c r="L125">
        <v>27.6</v>
      </c>
      <c r="M125">
        <v>4439</v>
      </c>
      <c r="N125">
        <v>6.87</v>
      </c>
      <c r="O125">
        <v>6.41</v>
      </c>
      <c r="P125">
        <v>65.040000000000006</v>
      </c>
      <c r="Q125">
        <f>Tabla1[[#This Row],[entrada_litros]]*Tabla1[[#This Row],[entrada_grasa_g_l]]/1000</f>
        <v>194.21548999999999</v>
      </c>
      <c r="R125">
        <f>Tabla1[[#This Row],[entrada_prot_g_l]]*Tabla1[[#This Row],[entrada_litros]]/1000</f>
        <v>158.39362</v>
      </c>
      <c r="S125">
        <f>Tabla1[[#This Row],[cuba_fab_litros]]*Tabla1[[#This Row],[cuba_fab_grasa_g_l]]/1000</f>
        <v>202.21551000000002</v>
      </c>
      <c r="T125">
        <f>Tabla1[[#This Row],[cuba_fab_litros]]*Tabla1[[#This Row],[cuba_fab_prot_g_l]]/1000</f>
        <v>171.90074999999999</v>
      </c>
      <c r="U125">
        <f>Tabla1[[#This Row],[queso_kg]]*Tabla1[[#This Row],[queso_est_pct]]/100</f>
        <v>326.08087799999998</v>
      </c>
      <c r="V125">
        <f>Tabla1[[#This Row],[queso_kg]]*Tabla1[[#This Row],[queso_mg_pct]]/100</f>
        <v>171.03444000000002</v>
      </c>
      <c r="W125">
        <f>Tabla1[[#This Row],[queso_est_kg]]-Tabla1[[#This Row],[queso_mg_kg]]</f>
        <v>155.04643799999997</v>
      </c>
      <c r="X125">
        <f>_xlfn.ISOWEEKNUM(Tabla1[[#This Row],[fecha]])</f>
        <v>18</v>
      </c>
      <c r="Y125">
        <v>18</v>
      </c>
      <c r="Z125" s="7">
        <f>Tabla1[[#This Row],[suero_litros]]*Tabla1[[#This Row],[suero_grasa_g_l]]/1000</f>
        <v>30.495930000000001</v>
      </c>
      <c r="AA125" s="7">
        <f>Tabla1[[#This Row],[suero_litros]]*Tabla1[[#This Row],[suero_prot_g_l]]/1000</f>
        <v>28.453990000000001</v>
      </c>
      <c r="AB125" s="7">
        <f>Tabla1[[#This Row],[suero_est_g_l]]*Tabla1[[#This Row],[suero_litros]]/1000</f>
        <v>288.71256000000005</v>
      </c>
    </row>
    <row r="126" spans="1:28" x14ac:dyDescent="0.25">
      <c r="A126" s="1">
        <v>45415</v>
      </c>
      <c r="B126">
        <v>0</v>
      </c>
      <c r="C126">
        <v>0</v>
      </c>
      <c r="D126">
        <v>0</v>
      </c>
      <c r="E126">
        <v>0</v>
      </c>
      <c r="F126">
        <v>5028</v>
      </c>
      <c r="G126">
        <v>40.36</v>
      </c>
      <c r="H126">
        <v>34.630000000000003</v>
      </c>
      <c r="I126">
        <v>0</v>
      </c>
      <c r="J126">
        <v>670.1</v>
      </c>
      <c r="K126">
        <v>51.67</v>
      </c>
      <c r="L126">
        <v>27.02</v>
      </c>
      <c r="M126">
        <v>4399</v>
      </c>
      <c r="N126">
        <v>4.8600000000000003</v>
      </c>
      <c r="O126">
        <v>3.56</v>
      </c>
      <c r="P126">
        <v>59.11</v>
      </c>
      <c r="Q126">
        <f>Tabla1[[#This Row],[entrada_litros]]*Tabla1[[#This Row],[entrada_grasa_g_l]]/1000</f>
        <v>0</v>
      </c>
      <c r="R126">
        <f>Tabla1[[#This Row],[entrada_prot_g_l]]*Tabla1[[#This Row],[entrada_litros]]/1000</f>
        <v>0</v>
      </c>
      <c r="S126">
        <f>Tabla1[[#This Row],[cuba_fab_litros]]*Tabla1[[#This Row],[cuba_fab_grasa_g_l]]/1000</f>
        <v>202.93007999999998</v>
      </c>
      <c r="T126">
        <f>Tabla1[[#This Row],[cuba_fab_litros]]*Tabla1[[#This Row],[cuba_fab_prot_g_l]]/1000</f>
        <v>174.11964</v>
      </c>
      <c r="U126">
        <f>Tabla1[[#This Row],[queso_kg]]*Tabla1[[#This Row],[queso_est_pct]]/100</f>
        <v>346.24067000000002</v>
      </c>
      <c r="V126">
        <f>Tabla1[[#This Row],[queso_kg]]*Tabla1[[#This Row],[queso_mg_pct]]/100</f>
        <v>181.06101999999998</v>
      </c>
      <c r="W126">
        <f>Tabla1[[#This Row],[queso_est_kg]]-Tabla1[[#This Row],[queso_mg_kg]]</f>
        <v>165.17965000000004</v>
      </c>
      <c r="X126">
        <f>_xlfn.ISOWEEKNUM(Tabla1[[#This Row],[fecha]])</f>
        <v>18</v>
      </c>
      <c r="Y126">
        <v>18</v>
      </c>
      <c r="Z126" s="7">
        <f>Tabla1[[#This Row],[suero_litros]]*Tabla1[[#This Row],[suero_grasa_g_l]]/1000</f>
        <v>21.379140000000003</v>
      </c>
      <c r="AA126" s="7">
        <f>Tabla1[[#This Row],[suero_litros]]*Tabla1[[#This Row],[suero_prot_g_l]]/1000</f>
        <v>15.660440000000001</v>
      </c>
      <c r="AB126" s="7">
        <f>Tabla1[[#This Row],[suero_est_g_l]]*Tabla1[[#This Row],[suero_litros]]/1000</f>
        <v>260.02488999999997</v>
      </c>
    </row>
    <row r="127" spans="1:28" x14ac:dyDescent="0.25">
      <c r="A127" s="1">
        <v>45416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f>Tabla1[[#This Row],[entrada_litros]]*Tabla1[[#This Row],[entrada_grasa_g_l]]/1000</f>
        <v>0</v>
      </c>
      <c r="R127">
        <f>Tabla1[[#This Row],[entrada_prot_g_l]]*Tabla1[[#This Row],[entrada_litros]]/1000</f>
        <v>0</v>
      </c>
      <c r="S127">
        <f>Tabla1[[#This Row],[cuba_fab_litros]]*Tabla1[[#This Row],[cuba_fab_grasa_g_l]]/1000</f>
        <v>0</v>
      </c>
      <c r="T127">
        <f>Tabla1[[#This Row],[cuba_fab_litros]]*Tabla1[[#This Row],[cuba_fab_prot_g_l]]/1000</f>
        <v>0</v>
      </c>
      <c r="U127">
        <f>Tabla1[[#This Row],[queso_kg]]*Tabla1[[#This Row],[queso_est_pct]]/100</f>
        <v>0</v>
      </c>
      <c r="V127">
        <f>Tabla1[[#This Row],[queso_kg]]*Tabla1[[#This Row],[queso_mg_pct]]/100</f>
        <v>0</v>
      </c>
      <c r="W127">
        <f>Tabla1[[#This Row],[queso_est_kg]]-Tabla1[[#This Row],[queso_mg_kg]]</f>
        <v>0</v>
      </c>
      <c r="X127">
        <f>_xlfn.ISOWEEKNUM(Tabla1[[#This Row],[fecha]])</f>
        <v>18</v>
      </c>
      <c r="Y127">
        <v>18</v>
      </c>
      <c r="Z127" s="7">
        <f>Tabla1[[#This Row],[suero_litros]]*Tabla1[[#This Row],[suero_grasa_g_l]]/1000</f>
        <v>0</v>
      </c>
      <c r="AA127" s="7">
        <f>Tabla1[[#This Row],[suero_litros]]*Tabla1[[#This Row],[suero_prot_g_l]]/1000</f>
        <v>0</v>
      </c>
      <c r="AB127" s="7">
        <f>Tabla1[[#This Row],[suero_est_g_l]]*Tabla1[[#This Row],[suero_litros]]/1000</f>
        <v>0</v>
      </c>
    </row>
    <row r="128" spans="1:28" x14ac:dyDescent="0.25">
      <c r="A128" s="1">
        <v>45417</v>
      </c>
      <c r="B128">
        <v>5162</v>
      </c>
      <c r="C128">
        <v>5012</v>
      </c>
      <c r="D128">
        <v>44.86</v>
      </c>
      <c r="E128">
        <v>36.29</v>
      </c>
      <c r="F128">
        <v>0</v>
      </c>
      <c r="G128">
        <v>0</v>
      </c>
      <c r="H128">
        <v>0</v>
      </c>
      <c r="I128">
        <v>5012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f>Tabla1[[#This Row],[entrada_litros]]*Tabla1[[#This Row],[entrada_grasa_g_l]]/1000</f>
        <v>224.83832000000001</v>
      </c>
      <c r="R128">
        <f>Tabla1[[#This Row],[entrada_prot_g_l]]*Tabla1[[#This Row],[entrada_litros]]/1000</f>
        <v>181.88547999999997</v>
      </c>
      <c r="S128">
        <f>Tabla1[[#This Row],[cuba_fab_litros]]*Tabla1[[#This Row],[cuba_fab_grasa_g_l]]/1000</f>
        <v>0</v>
      </c>
      <c r="T128">
        <f>Tabla1[[#This Row],[cuba_fab_litros]]*Tabla1[[#This Row],[cuba_fab_prot_g_l]]/1000</f>
        <v>0</v>
      </c>
      <c r="U128">
        <f>Tabla1[[#This Row],[queso_kg]]*Tabla1[[#This Row],[queso_est_pct]]/100</f>
        <v>0</v>
      </c>
      <c r="V128">
        <f>Tabla1[[#This Row],[queso_kg]]*Tabla1[[#This Row],[queso_mg_pct]]/100</f>
        <v>0</v>
      </c>
      <c r="W128">
        <f>Tabla1[[#This Row],[queso_est_kg]]-Tabla1[[#This Row],[queso_mg_kg]]</f>
        <v>0</v>
      </c>
      <c r="X128">
        <f>_xlfn.ISOWEEKNUM(Tabla1[[#This Row],[fecha]])</f>
        <v>18</v>
      </c>
      <c r="Y128">
        <v>19</v>
      </c>
      <c r="Z128" s="7">
        <f>Tabla1[[#This Row],[suero_litros]]*Tabla1[[#This Row],[suero_grasa_g_l]]/1000</f>
        <v>0</v>
      </c>
      <c r="AA128" s="7">
        <f>Tabla1[[#This Row],[suero_litros]]*Tabla1[[#This Row],[suero_prot_g_l]]/1000</f>
        <v>0</v>
      </c>
      <c r="AB128" s="7">
        <f>Tabla1[[#This Row],[suero_est_g_l]]*Tabla1[[#This Row],[suero_litros]]/1000</f>
        <v>0</v>
      </c>
    </row>
    <row r="129" spans="1:28" x14ac:dyDescent="0.25">
      <c r="A129" s="1">
        <v>45418</v>
      </c>
      <c r="B129">
        <v>5171</v>
      </c>
      <c r="C129">
        <v>5020</v>
      </c>
      <c r="D129">
        <v>42.73</v>
      </c>
      <c r="E129">
        <v>35.29</v>
      </c>
      <c r="F129">
        <v>5027</v>
      </c>
      <c r="G129">
        <v>41.66</v>
      </c>
      <c r="H129">
        <v>34.54</v>
      </c>
      <c r="I129">
        <v>5032</v>
      </c>
      <c r="J129">
        <v>600.6</v>
      </c>
      <c r="K129">
        <v>54.18</v>
      </c>
      <c r="L129">
        <v>27.43</v>
      </c>
      <c r="M129">
        <v>4466</v>
      </c>
      <c r="N129">
        <v>9.8699999999999992</v>
      </c>
      <c r="O129">
        <v>8.19</v>
      </c>
      <c r="P129">
        <v>68.83</v>
      </c>
      <c r="Q129">
        <f>Tabla1[[#This Row],[entrada_litros]]*Tabla1[[#This Row],[entrada_grasa_g_l]]/1000</f>
        <v>214.50459999999998</v>
      </c>
      <c r="R129">
        <f>Tabla1[[#This Row],[entrada_prot_g_l]]*Tabla1[[#This Row],[entrada_litros]]/1000</f>
        <v>177.1558</v>
      </c>
      <c r="S129">
        <f>Tabla1[[#This Row],[cuba_fab_litros]]*Tabla1[[#This Row],[cuba_fab_grasa_g_l]]/1000</f>
        <v>209.42481999999998</v>
      </c>
      <c r="T129">
        <f>Tabla1[[#This Row],[cuba_fab_litros]]*Tabla1[[#This Row],[cuba_fab_prot_g_l]]/1000</f>
        <v>173.63257999999999</v>
      </c>
      <c r="U129">
        <f>Tabla1[[#This Row],[queso_kg]]*Tabla1[[#This Row],[queso_est_pct]]/100</f>
        <v>325.40508</v>
      </c>
      <c r="V129">
        <f>Tabla1[[#This Row],[queso_kg]]*Tabla1[[#This Row],[queso_mg_pct]]/100</f>
        <v>164.74457999999998</v>
      </c>
      <c r="W129">
        <f>Tabla1[[#This Row],[queso_est_kg]]-Tabla1[[#This Row],[queso_mg_kg]]</f>
        <v>160.66050000000001</v>
      </c>
      <c r="X129">
        <f>_xlfn.ISOWEEKNUM(Tabla1[[#This Row],[fecha]])</f>
        <v>19</v>
      </c>
      <c r="Y129">
        <v>19</v>
      </c>
      <c r="Z129" s="7">
        <f>Tabla1[[#This Row],[suero_litros]]*Tabla1[[#This Row],[suero_grasa_g_l]]/1000</f>
        <v>44.079419999999999</v>
      </c>
      <c r="AA129" s="7">
        <f>Tabla1[[#This Row],[suero_litros]]*Tabla1[[#This Row],[suero_prot_g_l]]/1000</f>
        <v>36.576540000000001</v>
      </c>
      <c r="AB129" s="7">
        <f>Tabla1[[#This Row],[suero_est_g_l]]*Tabla1[[#This Row],[suero_litros]]/1000</f>
        <v>307.39477999999997</v>
      </c>
    </row>
    <row r="130" spans="1:28" x14ac:dyDescent="0.25">
      <c r="A130" s="1">
        <v>45419</v>
      </c>
      <c r="B130">
        <v>4868</v>
      </c>
      <c r="C130">
        <v>4726</v>
      </c>
      <c r="D130">
        <v>39.6</v>
      </c>
      <c r="E130">
        <v>36.950000000000003</v>
      </c>
      <c r="F130">
        <v>5025</v>
      </c>
      <c r="G130">
        <v>39.880000000000003</v>
      </c>
      <c r="H130">
        <v>34.69</v>
      </c>
      <c r="I130">
        <v>4758</v>
      </c>
      <c r="J130">
        <v>608.79</v>
      </c>
      <c r="K130">
        <v>53.03</v>
      </c>
      <c r="L130">
        <v>28.04</v>
      </c>
      <c r="M130">
        <v>4456</v>
      </c>
      <c r="N130">
        <v>6.52</v>
      </c>
      <c r="O130">
        <v>6.68</v>
      </c>
      <c r="P130">
        <v>64.77</v>
      </c>
      <c r="Q130">
        <f>Tabla1[[#This Row],[entrada_litros]]*Tabla1[[#This Row],[entrada_grasa_g_l]]/1000</f>
        <v>187.14959999999999</v>
      </c>
      <c r="R130">
        <f>Tabla1[[#This Row],[entrada_prot_g_l]]*Tabla1[[#This Row],[entrada_litros]]/1000</f>
        <v>174.62570000000002</v>
      </c>
      <c r="S130">
        <f>Tabla1[[#This Row],[cuba_fab_litros]]*Tabla1[[#This Row],[cuba_fab_grasa_g_l]]/1000</f>
        <v>200.39699999999999</v>
      </c>
      <c r="T130">
        <f>Tabla1[[#This Row],[cuba_fab_litros]]*Tabla1[[#This Row],[cuba_fab_prot_g_l]]/1000</f>
        <v>174.31725</v>
      </c>
      <c r="U130">
        <f>Tabla1[[#This Row],[queso_kg]]*Tabla1[[#This Row],[queso_est_pct]]/100</f>
        <v>322.84133700000001</v>
      </c>
      <c r="V130">
        <f>Tabla1[[#This Row],[queso_kg]]*Tabla1[[#This Row],[queso_mg_pct]]/100</f>
        <v>170.70471599999996</v>
      </c>
      <c r="W130">
        <f>Tabla1[[#This Row],[queso_est_kg]]-Tabla1[[#This Row],[queso_mg_kg]]</f>
        <v>152.13662100000005</v>
      </c>
      <c r="X130">
        <f>_xlfn.ISOWEEKNUM(Tabla1[[#This Row],[fecha]])</f>
        <v>19</v>
      </c>
      <c r="Y130">
        <v>19</v>
      </c>
      <c r="Z130" s="7">
        <f>Tabla1[[#This Row],[suero_litros]]*Tabla1[[#This Row],[suero_grasa_g_l]]/1000</f>
        <v>29.05312</v>
      </c>
      <c r="AA130" s="7">
        <f>Tabla1[[#This Row],[suero_litros]]*Tabla1[[#This Row],[suero_prot_g_l]]/1000</f>
        <v>29.766079999999999</v>
      </c>
      <c r="AB130" s="7">
        <f>Tabla1[[#This Row],[suero_est_g_l]]*Tabla1[[#This Row],[suero_litros]]/1000</f>
        <v>288.61511999999999</v>
      </c>
    </row>
    <row r="131" spans="1:28" x14ac:dyDescent="0.25">
      <c r="A131" s="1">
        <v>45420</v>
      </c>
      <c r="B131">
        <v>5193</v>
      </c>
      <c r="C131">
        <v>5042</v>
      </c>
      <c r="D131">
        <v>42.86</v>
      </c>
      <c r="E131">
        <v>35.21</v>
      </c>
      <c r="F131">
        <v>5018</v>
      </c>
      <c r="G131">
        <v>40.619999999999997</v>
      </c>
      <c r="H131">
        <v>33.99</v>
      </c>
      <c r="I131">
        <v>4800</v>
      </c>
      <c r="J131">
        <v>632.05999999999995</v>
      </c>
      <c r="K131">
        <v>51.01</v>
      </c>
      <c r="L131">
        <v>27.21</v>
      </c>
      <c r="M131">
        <v>4426</v>
      </c>
      <c r="N131">
        <v>7.03</v>
      </c>
      <c r="O131">
        <v>5.9</v>
      </c>
      <c r="P131">
        <v>63.8</v>
      </c>
      <c r="Q131">
        <f>Tabla1[[#This Row],[entrada_litros]]*Tabla1[[#This Row],[entrada_grasa_g_l]]/1000</f>
        <v>216.10012</v>
      </c>
      <c r="R131">
        <f>Tabla1[[#This Row],[entrada_prot_g_l]]*Tabla1[[#This Row],[entrada_litros]]/1000</f>
        <v>177.52882</v>
      </c>
      <c r="S131">
        <f>Tabla1[[#This Row],[cuba_fab_litros]]*Tabla1[[#This Row],[cuba_fab_grasa_g_l]]/1000</f>
        <v>203.83115999999998</v>
      </c>
      <c r="T131">
        <f>Tabla1[[#This Row],[cuba_fab_litros]]*Tabla1[[#This Row],[cuba_fab_prot_g_l]]/1000</f>
        <v>170.56182000000001</v>
      </c>
      <c r="U131">
        <f>Tabla1[[#This Row],[queso_kg]]*Tabla1[[#This Row],[queso_est_pct]]/100</f>
        <v>322.41380599999997</v>
      </c>
      <c r="V131">
        <f>Tabla1[[#This Row],[queso_kg]]*Tabla1[[#This Row],[queso_mg_pct]]/100</f>
        <v>171.98352599999998</v>
      </c>
      <c r="W131">
        <f>Tabla1[[#This Row],[queso_est_kg]]-Tabla1[[#This Row],[queso_mg_kg]]</f>
        <v>150.43027999999998</v>
      </c>
      <c r="X131">
        <f>_xlfn.ISOWEEKNUM(Tabla1[[#This Row],[fecha]])</f>
        <v>19</v>
      </c>
      <c r="Y131">
        <v>19</v>
      </c>
      <c r="Z131" s="7">
        <f>Tabla1[[#This Row],[suero_litros]]*Tabla1[[#This Row],[suero_grasa_g_l]]/1000</f>
        <v>31.114780000000003</v>
      </c>
      <c r="AA131" s="7">
        <f>Tabla1[[#This Row],[suero_litros]]*Tabla1[[#This Row],[suero_prot_g_l]]/1000</f>
        <v>26.113400000000002</v>
      </c>
      <c r="AB131" s="7">
        <f>Tabla1[[#This Row],[suero_est_g_l]]*Tabla1[[#This Row],[suero_litros]]/1000</f>
        <v>282.37880000000001</v>
      </c>
    </row>
    <row r="132" spans="1:28" x14ac:dyDescent="0.25">
      <c r="A132" s="1">
        <v>45421</v>
      </c>
      <c r="B132">
        <v>4502</v>
      </c>
      <c r="C132">
        <v>4371</v>
      </c>
      <c r="D132">
        <v>39.31</v>
      </c>
      <c r="E132">
        <v>36.03</v>
      </c>
      <c r="F132">
        <v>5022</v>
      </c>
      <c r="G132">
        <v>39.369999999999997</v>
      </c>
      <c r="H132">
        <v>34.26</v>
      </c>
      <c r="I132">
        <v>4171</v>
      </c>
      <c r="J132">
        <v>635.69000000000005</v>
      </c>
      <c r="K132">
        <v>49.18</v>
      </c>
      <c r="L132">
        <v>25.71</v>
      </c>
      <c r="M132">
        <v>4426</v>
      </c>
      <c r="N132">
        <v>7.58</v>
      </c>
      <c r="O132">
        <v>6.15</v>
      </c>
      <c r="P132">
        <v>64.56</v>
      </c>
      <c r="Q132">
        <f>Tabla1[[#This Row],[entrada_litros]]*Tabla1[[#This Row],[entrada_grasa_g_l]]/1000</f>
        <v>171.82401000000002</v>
      </c>
      <c r="R132">
        <f>Tabla1[[#This Row],[entrada_prot_g_l]]*Tabla1[[#This Row],[entrada_litros]]/1000</f>
        <v>157.48713000000001</v>
      </c>
      <c r="S132">
        <f>Tabla1[[#This Row],[cuba_fab_litros]]*Tabla1[[#This Row],[cuba_fab_grasa_g_l]]/1000</f>
        <v>197.71614</v>
      </c>
      <c r="T132">
        <f>Tabla1[[#This Row],[cuba_fab_litros]]*Tabla1[[#This Row],[cuba_fab_prot_g_l]]/1000</f>
        <v>172.05372</v>
      </c>
      <c r="U132">
        <f>Tabla1[[#This Row],[queso_kg]]*Tabla1[[#This Row],[queso_est_pct]]/100</f>
        <v>312.63234200000005</v>
      </c>
      <c r="V132">
        <f>Tabla1[[#This Row],[queso_kg]]*Tabla1[[#This Row],[queso_mg_pct]]/100</f>
        <v>163.43589900000003</v>
      </c>
      <c r="W132">
        <f>Tabla1[[#This Row],[queso_est_kg]]-Tabla1[[#This Row],[queso_mg_kg]]</f>
        <v>149.19644300000002</v>
      </c>
      <c r="X132">
        <f>_xlfn.ISOWEEKNUM(Tabla1[[#This Row],[fecha]])</f>
        <v>19</v>
      </c>
      <c r="Y132">
        <v>19</v>
      </c>
      <c r="Z132" s="7">
        <f>Tabla1[[#This Row],[suero_litros]]*Tabla1[[#This Row],[suero_grasa_g_l]]/1000</f>
        <v>33.549080000000004</v>
      </c>
      <c r="AA132" s="7">
        <f>Tabla1[[#This Row],[suero_litros]]*Tabla1[[#This Row],[suero_prot_g_l]]/1000</f>
        <v>27.219900000000003</v>
      </c>
      <c r="AB132" s="7">
        <f>Tabla1[[#This Row],[suero_est_g_l]]*Tabla1[[#This Row],[suero_litros]]/1000</f>
        <v>285.74256000000003</v>
      </c>
    </row>
    <row r="133" spans="1:28" x14ac:dyDescent="0.25">
      <c r="A133" s="1">
        <v>45422</v>
      </c>
      <c r="B133">
        <v>0</v>
      </c>
      <c r="C133">
        <v>0</v>
      </c>
      <c r="D133">
        <v>0</v>
      </c>
      <c r="E133">
        <v>0</v>
      </c>
      <c r="F133">
        <v>4189</v>
      </c>
      <c r="G133">
        <v>39.06</v>
      </c>
      <c r="H133">
        <v>34.44</v>
      </c>
      <c r="I133">
        <v>0</v>
      </c>
      <c r="J133">
        <v>525</v>
      </c>
      <c r="K133">
        <v>52.02</v>
      </c>
      <c r="L133">
        <v>26.78</v>
      </c>
      <c r="M133">
        <v>3697</v>
      </c>
      <c r="N133">
        <v>6.08</v>
      </c>
      <c r="O133">
        <v>4.8499999999999996</v>
      </c>
      <c r="P133">
        <v>61.58</v>
      </c>
      <c r="Q133">
        <f>Tabla1[[#This Row],[entrada_litros]]*Tabla1[[#This Row],[entrada_grasa_g_l]]/1000</f>
        <v>0</v>
      </c>
      <c r="R133">
        <f>Tabla1[[#This Row],[entrada_prot_g_l]]*Tabla1[[#This Row],[entrada_litros]]/1000</f>
        <v>0</v>
      </c>
      <c r="S133">
        <f>Tabla1[[#This Row],[cuba_fab_litros]]*Tabla1[[#This Row],[cuba_fab_grasa_g_l]]/1000</f>
        <v>163.62234000000001</v>
      </c>
      <c r="T133">
        <f>Tabla1[[#This Row],[cuba_fab_litros]]*Tabla1[[#This Row],[cuba_fab_prot_g_l]]/1000</f>
        <v>144.26916</v>
      </c>
      <c r="U133">
        <f>Tabla1[[#This Row],[queso_kg]]*Tabla1[[#This Row],[queso_est_pct]]/100</f>
        <v>273.10500000000002</v>
      </c>
      <c r="V133">
        <f>Tabla1[[#This Row],[queso_kg]]*Tabla1[[#This Row],[queso_mg_pct]]/100</f>
        <v>140.595</v>
      </c>
      <c r="W133">
        <f>Tabla1[[#This Row],[queso_est_kg]]-Tabla1[[#This Row],[queso_mg_kg]]</f>
        <v>132.51000000000002</v>
      </c>
      <c r="X133">
        <f>_xlfn.ISOWEEKNUM(Tabla1[[#This Row],[fecha]])</f>
        <v>19</v>
      </c>
      <c r="Y133">
        <v>19</v>
      </c>
      <c r="Z133" s="7">
        <f>Tabla1[[#This Row],[suero_litros]]*Tabla1[[#This Row],[suero_grasa_g_l]]/1000</f>
        <v>22.477760000000004</v>
      </c>
      <c r="AA133" s="7">
        <f>Tabla1[[#This Row],[suero_litros]]*Tabla1[[#This Row],[suero_prot_g_l]]/1000</f>
        <v>17.930449999999997</v>
      </c>
      <c r="AB133" s="7">
        <f>Tabla1[[#This Row],[suero_est_g_l]]*Tabla1[[#This Row],[suero_litros]]/1000</f>
        <v>227.66125999999997</v>
      </c>
    </row>
    <row r="134" spans="1:28" x14ac:dyDescent="0.25">
      <c r="A134" s="1">
        <v>45423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f>Tabla1[[#This Row],[entrada_litros]]*Tabla1[[#This Row],[entrada_grasa_g_l]]/1000</f>
        <v>0</v>
      </c>
      <c r="R134">
        <f>Tabla1[[#This Row],[entrada_prot_g_l]]*Tabla1[[#This Row],[entrada_litros]]/1000</f>
        <v>0</v>
      </c>
      <c r="S134">
        <f>Tabla1[[#This Row],[cuba_fab_litros]]*Tabla1[[#This Row],[cuba_fab_grasa_g_l]]/1000</f>
        <v>0</v>
      </c>
      <c r="T134">
        <f>Tabla1[[#This Row],[cuba_fab_litros]]*Tabla1[[#This Row],[cuba_fab_prot_g_l]]/1000</f>
        <v>0</v>
      </c>
      <c r="U134">
        <f>Tabla1[[#This Row],[queso_kg]]*Tabla1[[#This Row],[queso_est_pct]]/100</f>
        <v>0</v>
      </c>
      <c r="V134">
        <f>Tabla1[[#This Row],[queso_kg]]*Tabla1[[#This Row],[queso_mg_pct]]/100</f>
        <v>0</v>
      </c>
      <c r="W134">
        <f>Tabla1[[#This Row],[queso_est_kg]]-Tabla1[[#This Row],[queso_mg_kg]]</f>
        <v>0</v>
      </c>
      <c r="X134">
        <f>_xlfn.ISOWEEKNUM(Tabla1[[#This Row],[fecha]])</f>
        <v>19</v>
      </c>
      <c r="Y134">
        <v>19</v>
      </c>
      <c r="Z134" s="7">
        <f>Tabla1[[#This Row],[suero_litros]]*Tabla1[[#This Row],[suero_grasa_g_l]]/1000</f>
        <v>0</v>
      </c>
      <c r="AA134" s="7">
        <f>Tabla1[[#This Row],[suero_litros]]*Tabla1[[#This Row],[suero_prot_g_l]]/1000</f>
        <v>0</v>
      </c>
      <c r="AB134" s="7">
        <f>Tabla1[[#This Row],[suero_est_g_l]]*Tabla1[[#This Row],[suero_litros]]/1000</f>
        <v>0</v>
      </c>
    </row>
    <row r="135" spans="1:28" x14ac:dyDescent="0.25">
      <c r="A135" s="1">
        <v>45424</v>
      </c>
      <c r="B135">
        <v>5013</v>
      </c>
      <c r="C135">
        <v>4867</v>
      </c>
      <c r="D135">
        <v>41.72</v>
      </c>
      <c r="E135">
        <v>35.479999999999997</v>
      </c>
      <c r="F135">
        <v>0</v>
      </c>
      <c r="G135">
        <v>0</v>
      </c>
      <c r="H135">
        <v>0</v>
      </c>
      <c r="I135">
        <v>4867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f>Tabla1[[#This Row],[entrada_litros]]*Tabla1[[#This Row],[entrada_grasa_g_l]]/1000</f>
        <v>203.05123999999998</v>
      </c>
      <c r="R135">
        <f>Tabla1[[#This Row],[entrada_prot_g_l]]*Tabla1[[#This Row],[entrada_litros]]/1000</f>
        <v>172.68115999999998</v>
      </c>
      <c r="S135">
        <f>Tabla1[[#This Row],[cuba_fab_litros]]*Tabla1[[#This Row],[cuba_fab_grasa_g_l]]/1000</f>
        <v>0</v>
      </c>
      <c r="T135">
        <f>Tabla1[[#This Row],[cuba_fab_litros]]*Tabla1[[#This Row],[cuba_fab_prot_g_l]]/1000</f>
        <v>0</v>
      </c>
      <c r="U135">
        <f>Tabla1[[#This Row],[queso_kg]]*Tabla1[[#This Row],[queso_est_pct]]/100</f>
        <v>0</v>
      </c>
      <c r="V135">
        <f>Tabla1[[#This Row],[queso_kg]]*Tabla1[[#This Row],[queso_mg_pct]]/100</f>
        <v>0</v>
      </c>
      <c r="W135">
        <f>Tabla1[[#This Row],[queso_est_kg]]-Tabla1[[#This Row],[queso_mg_kg]]</f>
        <v>0</v>
      </c>
      <c r="X135">
        <f>_xlfn.ISOWEEKNUM(Tabla1[[#This Row],[fecha]])</f>
        <v>19</v>
      </c>
      <c r="Y135">
        <v>20</v>
      </c>
      <c r="Z135" s="7">
        <f>Tabla1[[#This Row],[suero_litros]]*Tabla1[[#This Row],[suero_grasa_g_l]]/1000</f>
        <v>0</v>
      </c>
      <c r="AA135" s="7">
        <f>Tabla1[[#This Row],[suero_litros]]*Tabla1[[#This Row],[suero_prot_g_l]]/1000</f>
        <v>0</v>
      </c>
      <c r="AB135" s="7">
        <f>Tabla1[[#This Row],[suero_est_g_l]]*Tabla1[[#This Row],[suero_litros]]/1000</f>
        <v>0</v>
      </c>
    </row>
    <row r="136" spans="1:28" x14ac:dyDescent="0.25">
      <c r="A136" s="1">
        <v>45425</v>
      </c>
      <c r="B136">
        <v>5692</v>
      </c>
      <c r="C136">
        <v>5526</v>
      </c>
      <c r="D136">
        <v>41.65</v>
      </c>
      <c r="E136">
        <v>36.56</v>
      </c>
      <c r="F136">
        <v>5020</v>
      </c>
      <c r="G136">
        <v>39.76</v>
      </c>
      <c r="H136">
        <v>34.46</v>
      </c>
      <c r="I136">
        <v>5393</v>
      </c>
      <c r="J136">
        <v>633.84</v>
      </c>
      <c r="K136">
        <v>51.11</v>
      </c>
      <c r="L136">
        <v>26.93</v>
      </c>
      <c r="M136">
        <v>4426</v>
      </c>
      <c r="N136">
        <v>6.42</v>
      </c>
      <c r="O136">
        <v>5.5</v>
      </c>
      <c r="P136">
        <v>63.57</v>
      </c>
      <c r="Q136">
        <f>Tabla1[[#This Row],[entrada_litros]]*Tabla1[[#This Row],[entrada_grasa_g_l]]/1000</f>
        <v>230.15789999999998</v>
      </c>
      <c r="R136">
        <f>Tabla1[[#This Row],[entrada_prot_g_l]]*Tabla1[[#This Row],[entrada_litros]]/1000</f>
        <v>202.03056000000004</v>
      </c>
      <c r="S136">
        <f>Tabla1[[#This Row],[cuba_fab_litros]]*Tabla1[[#This Row],[cuba_fab_grasa_g_l]]/1000</f>
        <v>199.59519999999998</v>
      </c>
      <c r="T136">
        <f>Tabla1[[#This Row],[cuba_fab_litros]]*Tabla1[[#This Row],[cuba_fab_prot_g_l]]/1000</f>
        <v>172.98920000000001</v>
      </c>
      <c r="U136">
        <f>Tabla1[[#This Row],[queso_kg]]*Tabla1[[#This Row],[queso_est_pct]]/100</f>
        <v>323.955624</v>
      </c>
      <c r="V136">
        <f>Tabla1[[#This Row],[queso_kg]]*Tabla1[[#This Row],[queso_mg_pct]]/100</f>
        <v>170.69311200000001</v>
      </c>
      <c r="W136">
        <f>Tabla1[[#This Row],[queso_est_kg]]-Tabla1[[#This Row],[queso_mg_kg]]</f>
        <v>153.26251199999999</v>
      </c>
      <c r="X136">
        <f>_xlfn.ISOWEEKNUM(Tabla1[[#This Row],[fecha]])</f>
        <v>20</v>
      </c>
      <c r="Y136">
        <v>20</v>
      </c>
      <c r="Z136" s="7">
        <f>Tabla1[[#This Row],[suero_litros]]*Tabla1[[#This Row],[suero_grasa_g_l]]/1000</f>
        <v>28.414919999999999</v>
      </c>
      <c r="AA136" s="7">
        <f>Tabla1[[#This Row],[suero_litros]]*Tabla1[[#This Row],[suero_prot_g_l]]/1000</f>
        <v>24.343</v>
      </c>
      <c r="AB136" s="7">
        <f>Tabla1[[#This Row],[suero_est_g_l]]*Tabla1[[#This Row],[suero_litros]]/1000</f>
        <v>281.36081999999999</v>
      </c>
    </row>
    <row r="137" spans="1:28" x14ac:dyDescent="0.25">
      <c r="A137" s="1">
        <v>45426</v>
      </c>
      <c r="B137">
        <v>4935</v>
      </c>
      <c r="C137">
        <v>4791</v>
      </c>
      <c r="D137">
        <v>40.74</v>
      </c>
      <c r="E137">
        <v>33.89</v>
      </c>
      <c r="F137">
        <v>5031</v>
      </c>
      <c r="G137">
        <v>39.64</v>
      </c>
      <c r="H137">
        <v>33.200000000000003</v>
      </c>
      <c r="I137">
        <v>5184</v>
      </c>
      <c r="J137">
        <v>636.63</v>
      </c>
      <c r="K137">
        <v>50.74</v>
      </c>
      <c r="L137">
        <v>26.92</v>
      </c>
      <c r="M137">
        <v>4434</v>
      </c>
      <c r="N137">
        <v>6.21</v>
      </c>
      <c r="O137">
        <v>6.05</v>
      </c>
      <c r="P137">
        <v>63.2</v>
      </c>
      <c r="Q137">
        <f>Tabla1[[#This Row],[entrada_litros]]*Tabla1[[#This Row],[entrada_grasa_g_l]]/1000</f>
        <v>195.18534</v>
      </c>
      <c r="R137">
        <f>Tabla1[[#This Row],[entrada_prot_g_l]]*Tabla1[[#This Row],[entrada_litros]]/1000</f>
        <v>162.36698999999999</v>
      </c>
      <c r="S137">
        <f>Tabla1[[#This Row],[cuba_fab_litros]]*Tabla1[[#This Row],[cuba_fab_grasa_g_l]]/1000</f>
        <v>199.42884000000001</v>
      </c>
      <c r="T137">
        <f>Tabla1[[#This Row],[cuba_fab_litros]]*Tabla1[[#This Row],[cuba_fab_prot_g_l]]/1000</f>
        <v>167.0292</v>
      </c>
      <c r="U137">
        <f>Tabla1[[#This Row],[queso_kg]]*Tabla1[[#This Row],[queso_est_pct]]/100</f>
        <v>323.02606200000002</v>
      </c>
      <c r="V137">
        <f>Tabla1[[#This Row],[queso_kg]]*Tabla1[[#This Row],[queso_mg_pct]]/100</f>
        <v>171.380796</v>
      </c>
      <c r="W137">
        <f>Tabla1[[#This Row],[queso_est_kg]]-Tabla1[[#This Row],[queso_mg_kg]]</f>
        <v>151.64526600000002</v>
      </c>
      <c r="X137">
        <f>_xlfn.ISOWEEKNUM(Tabla1[[#This Row],[fecha]])</f>
        <v>20</v>
      </c>
      <c r="Y137">
        <v>20</v>
      </c>
      <c r="Z137" s="7">
        <f>Tabla1[[#This Row],[suero_litros]]*Tabla1[[#This Row],[suero_grasa_g_l]]/1000</f>
        <v>27.535139999999998</v>
      </c>
      <c r="AA137" s="7">
        <f>Tabla1[[#This Row],[suero_litros]]*Tabla1[[#This Row],[suero_prot_g_l]]/1000</f>
        <v>26.825700000000001</v>
      </c>
      <c r="AB137" s="7">
        <f>Tabla1[[#This Row],[suero_est_g_l]]*Tabla1[[#This Row],[suero_litros]]/1000</f>
        <v>280.22879999999998</v>
      </c>
    </row>
    <row r="138" spans="1:28" x14ac:dyDescent="0.25">
      <c r="A138" s="1">
        <v>45427</v>
      </c>
      <c r="B138">
        <v>5340</v>
      </c>
      <c r="C138">
        <v>5184</v>
      </c>
      <c r="D138">
        <v>42.42</v>
      </c>
      <c r="E138">
        <v>34.24</v>
      </c>
      <c r="F138">
        <v>5026</v>
      </c>
      <c r="G138">
        <v>39.93</v>
      </c>
      <c r="H138">
        <v>33.17</v>
      </c>
      <c r="I138">
        <v>5368</v>
      </c>
      <c r="J138">
        <v>597.37</v>
      </c>
      <c r="K138">
        <v>54.75</v>
      </c>
      <c r="L138">
        <v>28.26</v>
      </c>
      <c r="M138">
        <v>4468</v>
      </c>
      <c r="N138">
        <v>7.04</v>
      </c>
      <c r="O138">
        <v>6.11</v>
      </c>
      <c r="P138">
        <v>62.15</v>
      </c>
      <c r="Q138">
        <f>Tabla1[[#This Row],[entrada_litros]]*Tabla1[[#This Row],[entrada_grasa_g_l]]/1000</f>
        <v>219.90528</v>
      </c>
      <c r="R138">
        <f>Tabla1[[#This Row],[entrada_prot_g_l]]*Tabla1[[#This Row],[entrada_litros]]/1000</f>
        <v>177.50015999999999</v>
      </c>
      <c r="S138">
        <f>Tabla1[[#This Row],[cuba_fab_litros]]*Tabla1[[#This Row],[cuba_fab_grasa_g_l]]/1000</f>
        <v>200.68817999999999</v>
      </c>
      <c r="T138">
        <f>Tabla1[[#This Row],[cuba_fab_litros]]*Tabla1[[#This Row],[cuba_fab_prot_g_l]]/1000</f>
        <v>166.71242000000001</v>
      </c>
      <c r="U138">
        <f>Tabla1[[#This Row],[queso_kg]]*Tabla1[[#This Row],[queso_est_pct]]/100</f>
        <v>327.06007499999998</v>
      </c>
      <c r="V138">
        <f>Tabla1[[#This Row],[queso_kg]]*Tabla1[[#This Row],[queso_mg_pct]]/100</f>
        <v>168.81676200000001</v>
      </c>
      <c r="W138">
        <f>Tabla1[[#This Row],[queso_est_kg]]-Tabla1[[#This Row],[queso_mg_kg]]</f>
        <v>158.24331299999997</v>
      </c>
      <c r="X138">
        <f>_xlfn.ISOWEEKNUM(Tabla1[[#This Row],[fecha]])</f>
        <v>20</v>
      </c>
      <c r="Y138">
        <v>20</v>
      </c>
      <c r="Z138" s="7">
        <f>Tabla1[[#This Row],[suero_litros]]*Tabla1[[#This Row],[suero_grasa_g_l]]/1000</f>
        <v>31.454720000000002</v>
      </c>
      <c r="AA138" s="7">
        <f>Tabla1[[#This Row],[suero_litros]]*Tabla1[[#This Row],[suero_prot_g_l]]/1000</f>
        <v>27.299480000000003</v>
      </c>
      <c r="AB138" s="7">
        <f>Tabla1[[#This Row],[suero_est_g_l]]*Tabla1[[#This Row],[suero_litros]]/1000</f>
        <v>277.68619999999999</v>
      </c>
    </row>
    <row r="139" spans="1:28" x14ac:dyDescent="0.25">
      <c r="A139" s="1">
        <v>45428</v>
      </c>
      <c r="B139">
        <v>5008</v>
      </c>
      <c r="C139">
        <v>4862</v>
      </c>
      <c r="D139">
        <v>41.96</v>
      </c>
      <c r="E139">
        <v>36.25</v>
      </c>
      <c r="F139">
        <v>5032</v>
      </c>
      <c r="G139">
        <v>40.229999999999997</v>
      </c>
      <c r="H139">
        <v>34.130000000000003</v>
      </c>
      <c r="I139">
        <v>5230</v>
      </c>
      <c r="J139">
        <v>569.86</v>
      </c>
      <c r="K139">
        <v>54.31</v>
      </c>
      <c r="L139">
        <v>26.98</v>
      </c>
      <c r="M139">
        <v>4501</v>
      </c>
      <c r="N139">
        <v>10.6</v>
      </c>
      <c r="O139">
        <v>8.6</v>
      </c>
      <c r="P139">
        <v>69</v>
      </c>
      <c r="Q139">
        <f>Tabla1[[#This Row],[entrada_litros]]*Tabla1[[#This Row],[entrada_grasa_g_l]]/1000</f>
        <v>204.00952000000001</v>
      </c>
      <c r="R139">
        <f>Tabla1[[#This Row],[entrada_prot_g_l]]*Tabla1[[#This Row],[entrada_litros]]/1000</f>
        <v>176.2475</v>
      </c>
      <c r="S139">
        <f>Tabla1[[#This Row],[cuba_fab_litros]]*Tabla1[[#This Row],[cuba_fab_grasa_g_l]]/1000</f>
        <v>202.43735999999998</v>
      </c>
      <c r="T139">
        <f>Tabla1[[#This Row],[cuba_fab_litros]]*Tabla1[[#This Row],[cuba_fab_prot_g_l]]/1000</f>
        <v>171.74216000000001</v>
      </c>
      <c r="U139">
        <f>Tabla1[[#This Row],[queso_kg]]*Tabla1[[#This Row],[queso_est_pct]]/100</f>
        <v>309.49096600000001</v>
      </c>
      <c r="V139">
        <f>Tabla1[[#This Row],[queso_kg]]*Tabla1[[#This Row],[queso_mg_pct]]/100</f>
        <v>153.74822800000001</v>
      </c>
      <c r="W139">
        <f>Tabla1[[#This Row],[queso_est_kg]]-Tabla1[[#This Row],[queso_mg_kg]]</f>
        <v>155.742738</v>
      </c>
      <c r="X139">
        <f>_xlfn.ISOWEEKNUM(Tabla1[[#This Row],[fecha]])</f>
        <v>20</v>
      </c>
      <c r="Y139">
        <v>20</v>
      </c>
      <c r="Z139" s="7">
        <f>Tabla1[[#This Row],[suero_litros]]*Tabla1[[#This Row],[suero_grasa_g_l]]/1000</f>
        <v>47.710599999999999</v>
      </c>
      <c r="AA139" s="7">
        <f>Tabla1[[#This Row],[suero_litros]]*Tabla1[[#This Row],[suero_prot_g_l]]/1000</f>
        <v>38.708599999999997</v>
      </c>
      <c r="AB139" s="7">
        <f>Tabla1[[#This Row],[suero_est_g_l]]*Tabla1[[#This Row],[suero_litros]]/1000</f>
        <v>310.56900000000002</v>
      </c>
    </row>
    <row r="140" spans="1:28" x14ac:dyDescent="0.25">
      <c r="A140" s="1">
        <v>45429</v>
      </c>
      <c r="B140">
        <v>0</v>
      </c>
      <c r="C140">
        <v>0</v>
      </c>
      <c r="D140">
        <v>0</v>
      </c>
      <c r="E140">
        <v>0</v>
      </c>
      <c r="F140">
        <v>5254</v>
      </c>
      <c r="G140">
        <v>40.08</v>
      </c>
      <c r="H140">
        <v>33.69</v>
      </c>
      <c r="I140">
        <v>0</v>
      </c>
      <c r="J140">
        <v>674.36</v>
      </c>
      <c r="K140">
        <v>49.92</v>
      </c>
      <c r="L140">
        <v>25.94</v>
      </c>
      <c r="M140">
        <v>4622</v>
      </c>
      <c r="N140">
        <v>7.56</v>
      </c>
      <c r="O140">
        <v>3.9</v>
      </c>
      <c r="P140">
        <v>61.3</v>
      </c>
      <c r="Q140">
        <f>Tabla1[[#This Row],[entrada_litros]]*Tabla1[[#This Row],[entrada_grasa_g_l]]/1000</f>
        <v>0</v>
      </c>
      <c r="R140">
        <f>Tabla1[[#This Row],[entrada_prot_g_l]]*Tabla1[[#This Row],[entrada_litros]]/1000</f>
        <v>0</v>
      </c>
      <c r="S140">
        <f>Tabla1[[#This Row],[cuba_fab_litros]]*Tabla1[[#This Row],[cuba_fab_grasa_g_l]]/1000</f>
        <v>210.58031999999997</v>
      </c>
      <c r="T140">
        <f>Tabla1[[#This Row],[cuba_fab_litros]]*Tabla1[[#This Row],[cuba_fab_prot_g_l]]/1000</f>
        <v>177.00725999999997</v>
      </c>
      <c r="U140">
        <f>Tabla1[[#This Row],[queso_kg]]*Tabla1[[#This Row],[queso_est_pct]]/100</f>
        <v>336.640512</v>
      </c>
      <c r="V140">
        <f>Tabla1[[#This Row],[queso_kg]]*Tabla1[[#This Row],[queso_mg_pct]]/100</f>
        <v>174.92898400000001</v>
      </c>
      <c r="W140">
        <f>Tabla1[[#This Row],[queso_est_kg]]-Tabla1[[#This Row],[queso_mg_kg]]</f>
        <v>161.71152799999999</v>
      </c>
      <c r="X140">
        <f>_xlfn.ISOWEEKNUM(Tabla1[[#This Row],[fecha]])</f>
        <v>20</v>
      </c>
      <c r="Y140">
        <v>20</v>
      </c>
      <c r="Z140" s="7">
        <f>Tabla1[[#This Row],[suero_litros]]*Tabla1[[#This Row],[suero_grasa_g_l]]/1000</f>
        <v>34.942320000000002</v>
      </c>
      <c r="AA140" s="7">
        <f>Tabla1[[#This Row],[suero_litros]]*Tabla1[[#This Row],[suero_prot_g_l]]/1000</f>
        <v>18.0258</v>
      </c>
      <c r="AB140" s="7">
        <f>Tabla1[[#This Row],[suero_est_g_l]]*Tabla1[[#This Row],[suero_litros]]/1000</f>
        <v>283.32859999999999</v>
      </c>
    </row>
    <row r="141" spans="1:28" x14ac:dyDescent="0.25">
      <c r="A141" s="1">
        <v>45430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f>Tabla1[[#This Row],[entrada_litros]]*Tabla1[[#This Row],[entrada_grasa_g_l]]/1000</f>
        <v>0</v>
      </c>
      <c r="R141">
        <f>Tabla1[[#This Row],[entrada_prot_g_l]]*Tabla1[[#This Row],[entrada_litros]]/1000</f>
        <v>0</v>
      </c>
      <c r="S141">
        <f>Tabla1[[#This Row],[cuba_fab_litros]]*Tabla1[[#This Row],[cuba_fab_grasa_g_l]]/1000</f>
        <v>0</v>
      </c>
      <c r="T141">
        <f>Tabla1[[#This Row],[cuba_fab_litros]]*Tabla1[[#This Row],[cuba_fab_prot_g_l]]/1000</f>
        <v>0</v>
      </c>
      <c r="U141">
        <f>Tabla1[[#This Row],[queso_kg]]*Tabla1[[#This Row],[queso_est_pct]]/100</f>
        <v>0</v>
      </c>
      <c r="V141">
        <f>Tabla1[[#This Row],[queso_kg]]*Tabla1[[#This Row],[queso_mg_pct]]/100</f>
        <v>0</v>
      </c>
      <c r="W141">
        <f>Tabla1[[#This Row],[queso_est_kg]]-Tabla1[[#This Row],[queso_mg_kg]]</f>
        <v>0</v>
      </c>
      <c r="X141">
        <f>_xlfn.ISOWEEKNUM(Tabla1[[#This Row],[fecha]])</f>
        <v>20</v>
      </c>
      <c r="Y141">
        <v>20</v>
      </c>
      <c r="Z141" s="7">
        <f>Tabla1[[#This Row],[suero_litros]]*Tabla1[[#This Row],[suero_grasa_g_l]]/1000</f>
        <v>0</v>
      </c>
      <c r="AA141" s="7">
        <f>Tabla1[[#This Row],[suero_litros]]*Tabla1[[#This Row],[suero_prot_g_l]]/1000</f>
        <v>0</v>
      </c>
      <c r="AB141" s="7">
        <f>Tabla1[[#This Row],[suero_est_g_l]]*Tabla1[[#This Row],[suero_litros]]/1000</f>
        <v>0</v>
      </c>
    </row>
    <row r="142" spans="1:28" x14ac:dyDescent="0.25">
      <c r="A142" s="1">
        <v>45431</v>
      </c>
      <c r="B142">
        <v>4993</v>
      </c>
      <c r="C142">
        <v>4848</v>
      </c>
      <c r="D142">
        <v>43.6</v>
      </c>
      <c r="E142">
        <v>35.869999999999997</v>
      </c>
      <c r="F142">
        <v>0</v>
      </c>
      <c r="G142">
        <v>0</v>
      </c>
      <c r="H142">
        <v>0</v>
      </c>
      <c r="I142">
        <v>4848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f>Tabla1[[#This Row],[entrada_litros]]*Tabla1[[#This Row],[entrada_grasa_g_l]]/1000</f>
        <v>211.37280000000001</v>
      </c>
      <c r="R142">
        <f>Tabla1[[#This Row],[entrada_prot_g_l]]*Tabla1[[#This Row],[entrada_litros]]/1000</f>
        <v>173.89775999999998</v>
      </c>
      <c r="S142">
        <f>Tabla1[[#This Row],[cuba_fab_litros]]*Tabla1[[#This Row],[cuba_fab_grasa_g_l]]/1000</f>
        <v>0</v>
      </c>
      <c r="T142">
        <f>Tabla1[[#This Row],[cuba_fab_litros]]*Tabla1[[#This Row],[cuba_fab_prot_g_l]]/1000</f>
        <v>0</v>
      </c>
      <c r="U142">
        <f>Tabla1[[#This Row],[queso_kg]]*Tabla1[[#This Row],[queso_est_pct]]/100</f>
        <v>0</v>
      </c>
      <c r="V142">
        <f>Tabla1[[#This Row],[queso_kg]]*Tabla1[[#This Row],[queso_mg_pct]]/100</f>
        <v>0</v>
      </c>
      <c r="W142">
        <f>Tabla1[[#This Row],[queso_est_kg]]-Tabla1[[#This Row],[queso_mg_kg]]</f>
        <v>0</v>
      </c>
      <c r="X142">
        <f>_xlfn.ISOWEEKNUM(Tabla1[[#This Row],[fecha]])</f>
        <v>20</v>
      </c>
      <c r="Y142">
        <v>21</v>
      </c>
      <c r="Z142" s="7">
        <f>Tabla1[[#This Row],[suero_litros]]*Tabla1[[#This Row],[suero_grasa_g_l]]/1000</f>
        <v>0</v>
      </c>
      <c r="AA142" s="7">
        <f>Tabla1[[#This Row],[suero_litros]]*Tabla1[[#This Row],[suero_prot_g_l]]/1000</f>
        <v>0</v>
      </c>
      <c r="AB142" s="7">
        <f>Tabla1[[#This Row],[suero_est_g_l]]*Tabla1[[#This Row],[suero_litros]]/1000</f>
        <v>0</v>
      </c>
    </row>
    <row r="143" spans="1:28" x14ac:dyDescent="0.25">
      <c r="A143" s="1">
        <v>45432</v>
      </c>
      <c r="B143">
        <v>5378</v>
      </c>
      <c r="C143">
        <v>5221</v>
      </c>
      <c r="D143">
        <v>43.81</v>
      </c>
      <c r="E143">
        <v>36.729999999999997</v>
      </c>
      <c r="F143">
        <v>5026</v>
      </c>
      <c r="G143">
        <v>41.69</v>
      </c>
      <c r="H143">
        <v>34.630000000000003</v>
      </c>
      <c r="I143">
        <v>5069</v>
      </c>
      <c r="J143">
        <v>657.65</v>
      </c>
      <c r="K143">
        <v>51.6</v>
      </c>
      <c r="L143">
        <v>27.23</v>
      </c>
      <c r="M143">
        <v>4409</v>
      </c>
      <c r="N143">
        <v>6.71</v>
      </c>
      <c r="O143">
        <v>5.13</v>
      </c>
      <c r="P143">
        <v>62.92</v>
      </c>
      <c r="Q143">
        <f>Tabla1[[#This Row],[entrada_litros]]*Tabla1[[#This Row],[entrada_grasa_g_l]]/1000</f>
        <v>228.73201</v>
      </c>
      <c r="R143">
        <f>Tabla1[[#This Row],[entrada_prot_g_l]]*Tabla1[[#This Row],[entrada_litros]]/1000</f>
        <v>191.76732999999999</v>
      </c>
      <c r="S143">
        <f>Tabla1[[#This Row],[cuba_fab_litros]]*Tabla1[[#This Row],[cuba_fab_grasa_g_l]]/1000</f>
        <v>209.53394</v>
      </c>
      <c r="T143">
        <f>Tabla1[[#This Row],[cuba_fab_litros]]*Tabla1[[#This Row],[cuba_fab_prot_g_l]]/1000</f>
        <v>174.05038000000002</v>
      </c>
      <c r="U143">
        <f>Tabla1[[#This Row],[queso_kg]]*Tabla1[[#This Row],[queso_est_pct]]/100</f>
        <v>339.34739999999999</v>
      </c>
      <c r="V143">
        <f>Tabla1[[#This Row],[queso_kg]]*Tabla1[[#This Row],[queso_mg_pct]]/100</f>
        <v>179.07809499999999</v>
      </c>
      <c r="W143">
        <f>Tabla1[[#This Row],[queso_est_kg]]-Tabla1[[#This Row],[queso_mg_kg]]</f>
        <v>160.269305</v>
      </c>
      <c r="X143">
        <f>_xlfn.ISOWEEKNUM(Tabla1[[#This Row],[fecha]])</f>
        <v>21</v>
      </c>
      <c r="Y143">
        <v>21</v>
      </c>
      <c r="Z143" s="7">
        <f>Tabla1[[#This Row],[suero_litros]]*Tabla1[[#This Row],[suero_grasa_g_l]]/1000</f>
        <v>29.584389999999999</v>
      </c>
      <c r="AA143" s="7">
        <f>Tabla1[[#This Row],[suero_litros]]*Tabla1[[#This Row],[suero_prot_g_l]]/1000</f>
        <v>22.618169999999999</v>
      </c>
      <c r="AB143" s="7">
        <f>Tabla1[[#This Row],[suero_est_g_l]]*Tabla1[[#This Row],[suero_litros]]/1000</f>
        <v>277.41428000000002</v>
      </c>
    </row>
    <row r="144" spans="1:28" x14ac:dyDescent="0.25">
      <c r="A144" s="1">
        <v>45433</v>
      </c>
      <c r="B144">
        <v>5097</v>
      </c>
      <c r="C144">
        <v>4949</v>
      </c>
      <c r="D144">
        <v>42.2</v>
      </c>
      <c r="E144">
        <v>35.409999999999997</v>
      </c>
      <c r="F144">
        <v>5028</v>
      </c>
      <c r="G144">
        <v>41.08</v>
      </c>
      <c r="H144">
        <v>34.35</v>
      </c>
      <c r="I144">
        <v>5018</v>
      </c>
      <c r="J144">
        <v>630.71</v>
      </c>
      <c r="K144">
        <v>51.65</v>
      </c>
      <c r="L144">
        <v>26.36</v>
      </c>
      <c r="M144">
        <v>4437</v>
      </c>
      <c r="N144">
        <v>8.9499999999999993</v>
      </c>
      <c r="O144">
        <v>5.64</v>
      </c>
      <c r="P144">
        <v>65.06</v>
      </c>
      <c r="Q144">
        <f>Tabla1[[#This Row],[entrada_litros]]*Tabla1[[#This Row],[entrada_grasa_g_l]]/1000</f>
        <v>208.84780000000001</v>
      </c>
      <c r="R144">
        <f>Tabla1[[#This Row],[entrada_prot_g_l]]*Tabla1[[#This Row],[entrada_litros]]/1000</f>
        <v>175.24409</v>
      </c>
      <c r="S144">
        <f>Tabla1[[#This Row],[cuba_fab_litros]]*Tabla1[[#This Row],[cuba_fab_grasa_g_l]]/1000</f>
        <v>206.55024</v>
      </c>
      <c r="T144">
        <f>Tabla1[[#This Row],[cuba_fab_litros]]*Tabla1[[#This Row],[cuba_fab_prot_g_l]]/1000</f>
        <v>172.71180000000001</v>
      </c>
      <c r="U144">
        <f>Tabla1[[#This Row],[queso_kg]]*Tabla1[[#This Row],[queso_est_pct]]/100</f>
        <v>325.76171499999998</v>
      </c>
      <c r="V144">
        <f>Tabla1[[#This Row],[queso_kg]]*Tabla1[[#This Row],[queso_mg_pct]]/100</f>
        <v>166.255156</v>
      </c>
      <c r="W144">
        <f>Tabla1[[#This Row],[queso_est_kg]]-Tabla1[[#This Row],[queso_mg_kg]]</f>
        <v>159.50655899999998</v>
      </c>
      <c r="X144">
        <f>_xlfn.ISOWEEKNUM(Tabla1[[#This Row],[fecha]])</f>
        <v>21</v>
      </c>
      <c r="Y144">
        <v>21</v>
      </c>
      <c r="Z144" s="7">
        <f>Tabla1[[#This Row],[suero_litros]]*Tabla1[[#This Row],[suero_grasa_g_l]]/1000</f>
        <v>39.711149999999996</v>
      </c>
      <c r="AA144" s="7">
        <f>Tabla1[[#This Row],[suero_litros]]*Tabla1[[#This Row],[suero_prot_g_l]]/1000</f>
        <v>25.02468</v>
      </c>
      <c r="AB144" s="7">
        <f>Tabla1[[#This Row],[suero_est_g_l]]*Tabla1[[#This Row],[suero_litros]]/1000</f>
        <v>288.67122000000001</v>
      </c>
    </row>
    <row r="145" spans="1:28" x14ac:dyDescent="0.25">
      <c r="A145" s="1">
        <v>45434</v>
      </c>
      <c r="B145">
        <v>5130</v>
      </c>
      <c r="C145">
        <v>4981</v>
      </c>
      <c r="D145">
        <v>44.24</v>
      </c>
      <c r="E145">
        <v>36.83</v>
      </c>
      <c r="F145">
        <v>5019</v>
      </c>
      <c r="G145">
        <v>41.65</v>
      </c>
      <c r="H145">
        <v>35.15</v>
      </c>
      <c r="I145">
        <v>4999</v>
      </c>
      <c r="J145">
        <v>638.44000000000005</v>
      </c>
      <c r="K145">
        <v>51.54</v>
      </c>
      <c r="L145">
        <v>26.42</v>
      </c>
      <c r="M145">
        <v>4421</v>
      </c>
      <c r="N145">
        <v>8.93</v>
      </c>
      <c r="O145">
        <v>5.66</v>
      </c>
      <c r="P145">
        <v>67.5</v>
      </c>
      <c r="Q145">
        <f>Tabla1[[#This Row],[entrada_litros]]*Tabla1[[#This Row],[entrada_grasa_g_l]]/1000</f>
        <v>220.35944000000001</v>
      </c>
      <c r="R145">
        <f>Tabla1[[#This Row],[entrada_prot_g_l]]*Tabla1[[#This Row],[entrada_litros]]/1000</f>
        <v>183.45022999999998</v>
      </c>
      <c r="S145">
        <f>Tabla1[[#This Row],[cuba_fab_litros]]*Tabla1[[#This Row],[cuba_fab_grasa_g_l]]/1000</f>
        <v>209.04134999999999</v>
      </c>
      <c r="T145">
        <f>Tabla1[[#This Row],[cuba_fab_litros]]*Tabla1[[#This Row],[cuba_fab_prot_g_l]]/1000</f>
        <v>176.41785000000002</v>
      </c>
      <c r="U145">
        <f>Tabla1[[#This Row],[queso_kg]]*Tabla1[[#This Row],[queso_est_pct]]/100</f>
        <v>329.05197599999997</v>
      </c>
      <c r="V145">
        <f>Tabla1[[#This Row],[queso_kg]]*Tabla1[[#This Row],[queso_mg_pct]]/100</f>
        <v>168.67584800000003</v>
      </c>
      <c r="W145">
        <f>Tabla1[[#This Row],[queso_est_kg]]-Tabla1[[#This Row],[queso_mg_kg]]</f>
        <v>160.37612799999994</v>
      </c>
      <c r="X145">
        <f>_xlfn.ISOWEEKNUM(Tabla1[[#This Row],[fecha]])</f>
        <v>21</v>
      </c>
      <c r="Y145">
        <v>21</v>
      </c>
      <c r="Z145" s="7">
        <f>Tabla1[[#This Row],[suero_litros]]*Tabla1[[#This Row],[suero_grasa_g_l]]/1000</f>
        <v>39.479529999999997</v>
      </c>
      <c r="AA145" s="7">
        <f>Tabla1[[#This Row],[suero_litros]]*Tabla1[[#This Row],[suero_prot_g_l]]/1000</f>
        <v>25.022860000000001</v>
      </c>
      <c r="AB145" s="7">
        <f>Tabla1[[#This Row],[suero_est_g_l]]*Tabla1[[#This Row],[suero_litros]]/1000</f>
        <v>298.41750000000002</v>
      </c>
    </row>
    <row r="146" spans="1:28" x14ac:dyDescent="0.25">
      <c r="A146" s="1">
        <v>45435</v>
      </c>
      <c r="B146">
        <v>5078</v>
      </c>
      <c r="C146">
        <v>4930</v>
      </c>
      <c r="D146">
        <v>42.33</v>
      </c>
      <c r="E146">
        <v>35.25</v>
      </c>
      <c r="F146">
        <v>5029</v>
      </c>
      <c r="G146">
        <v>40.99</v>
      </c>
      <c r="H146">
        <v>34.340000000000003</v>
      </c>
      <c r="I146">
        <v>4929</v>
      </c>
      <c r="J146">
        <v>602.5</v>
      </c>
      <c r="K146">
        <v>51.24</v>
      </c>
      <c r="L146">
        <v>26.67</v>
      </c>
      <c r="M146">
        <v>4466</v>
      </c>
      <c r="N146">
        <v>10</v>
      </c>
      <c r="O146">
        <v>8.1</v>
      </c>
      <c r="P146">
        <v>69.42</v>
      </c>
      <c r="Q146">
        <f>Tabla1[[#This Row],[entrada_litros]]*Tabla1[[#This Row],[entrada_grasa_g_l]]/1000</f>
        <v>208.68689999999998</v>
      </c>
      <c r="R146">
        <f>Tabla1[[#This Row],[entrada_prot_g_l]]*Tabla1[[#This Row],[entrada_litros]]/1000</f>
        <v>173.7825</v>
      </c>
      <c r="S146">
        <f>Tabla1[[#This Row],[cuba_fab_litros]]*Tabla1[[#This Row],[cuba_fab_grasa_g_l]]/1000</f>
        <v>206.13871000000003</v>
      </c>
      <c r="T146">
        <f>Tabla1[[#This Row],[cuba_fab_litros]]*Tabla1[[#This Row],[cuba_fab_prot_g_l]]/1000</f>
        <v>172.69586000000001</v>
      </c>
      <c r="U146">
        <f>Tabla1[[#This Row],[queso_kg]]*Tabla1[[#This Row],[queso_est_pct]]/100</f>
        <v>308.721</v>
      </c>
      <c r="V146">
        <f>Tabla1[[#This Row],[queso_kg]]*Tabla1[[#This Row],[queso_mg_pct]]/100</f>
        <v>160.68675000000002</v>
      </c>
      <c r="W146">
        <f>Tabla1[[#This Row],[queso_est_kg]]-Tabla1[[#This Row],[queso_mg_kg]]</f>
        <v>148.03424999999999</v>
      </c>
      <c r="X146">
        <f>_xlfn.ISOWEEKNUM(Tabla1[[#This Row],[fecha]])</f>
        <v>21</v>
      </c>
      <c r="Y146">
        <v>21</v>
      </c>
      <c r="Z146" s="7">
        <f>Tabla1[[#This Row],[suero_litros]]*Tabla1[[#This Row],[suero_grasa_g_l]]/1000</f>
        <v>44.66</v>
      </c>
      <c r="AA146" s="7">
        <f>Tabla1[[#This Row],[suero_litros]]*Tabla1[[#This Row],[suero_prot_g_l]]/1000</f>
        <v>36.174599999999998</v>
      </c>
      <c r="AB146" s="7">
        <f>Tabla1[[#This Row],[suero_est_g_l]]*Tabla1[[#This Row],[suero_litros]]/1000</f>
        <v>310.02972000000005</v>
      </c>
    </row>
    <row r="147" spans="1:28" x14ac:dyDescent="0.25">
      <c r="A147" s="1">
        <v>45436</v>
      </c>
      <c r="B147">
        <v>0</v>
      </c>
      <c r="C147">
        <v>0</v>
      </c>
      <c r="D147">
        <v>0</v>
      </c>
      <c r="E147">
        <v>0</v>
      </c>
      <c r="F147">
        <v>4956</v>
      </c>
      <c r="G147">
        <v>41.01</v>
      </c>
      <c r="H147">
        <v>34.01</v>
      </c>
      <c r="I147">
        <v>0</v>
      </c>
      <c r="J147">
        <v>628.96</v>
      </c>
      <c r="K147">
        <v>54.2</v>
      </c>
      <c r="L147">
        <v>28.24</v>
      </c>
      <c r="M147">
        <v>4367</v>
      </c>
      <c r="N147">
        <v>5.77</v>
      </c>
      <c r="O147">
        <v>4.83</v>
      </c>
      <c r="P147">
        <v>60.48</v>
      </c>
      <c r="Q147">
        <f>Tabla1[[#This Row],[entrada_litros]]*Tabla1[[#This Row],[entrada_grasa_g_l]]/1000</f>
        <v>0</v>
      </c>
      <c r="R147">
        <f>Tabla1[[#This Row],[entrada_prot_g_l]]*Tabla1[[#This Row],[entrada_litros]]/1000</f>
        <v>0</v>
      </c>
      <c r="S147">
        <f>Tabla1[[#This Row],[cuba_fab_litros]]*Tabla1[[#This Row],[cuba_fab_grasa_g_l]]/1000</f>
        <v>203.24556000000001</v>
      </c>
      <c r="T147">
        <f>Tabla1[[#This Row],[cuba_fab_litros]]*Tabla1[[#This Row],[cuba_fab_prot_g_l]]/1000</f>
        <v>168.55356</v>
      </c>
      <c r="U147">
        <f>Tabla1[[#This Row],[queso_kg]]*Tabla1[[#This Row],[queso_est_pct]]/100</f>
        <v>340.89632000000006</v>
      </c>
      <c r="V147">
        <f>Tabla1[[#This Row],[queso_kg]]*Tabla1[[#This Row],[queso_mg_pct]]/100</f>
        <v>177.61830399999999</v>
      </c>
      <c r="W147">
        <f>Tabla1[[#This Row],[queso_est_kg]]-Tabla1[[#This Row],[queso_mg_kg]]</f>
        <v>163.27801600000006</v>
      </c>
      <c r="X147">
        <f>_xlfn.ISOWEEKNUM(Tabla1[[#This Row],[fecha]])</f>
        <v>21</v>
      </c>
      <c r="Y147">
        <v>21</v>
      </c>
      <c r="Z147" s="7">
        <f>Tabla1[[#This Row],[suero_litros]]*Tabla1[[#This Row],[suero_grasa_g_l]]/1000</f>
        <v>25.197589999999998</v>
      </c>
      <c r="AA147" s="7">
        <f>Tabla1[[#This Row],[suero_litros]]*Tabla1[[#This Row],[suero_prot_g_l]]/1000</f>
        <v>21.092610000000001</v>
      </c>
      <c r="AB147" s="7">
        <f>Tabla1[[#This Row],[suero_est_g_l]]*Tabla1[[#This Row],[suero_litros]]/1000</f>
        <v>264.11615999999998</v>
      </c>
    </row>
    <row r="148" spans="1:28" x14ac:dyDescent="0.25">
      <c r="A148" s="1">
        <v>45437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f>Tabla1[[#This Row],[entrada_litros]]*Tabla1[[#This Row],[entrada_grasa_g_l]]/1000</f>
        <v>0</v>
      </c>
      <c r="R148">
        <f>Tabla1[[#This Row],[entrada_prot_g_l]]*Tabla1[[#This Row],[entrada_litros]]/1000</f>
        <v>0</v>
      </c>
      <c r="S148">
        <f>Tabla1[[#This Row],[cuba_fab_litros]]*Tabla1[[#This Row],[cuba_fab_grasa_g_l]]/1000</f>
        <v>0</v>
      </c>
      <c r="T148">
        <f>Tabla1[[#This Row],[cuba_fab_litros]]*Tabla1[[#This Row],[cuba_fab_prot_g_l]]/1000</f>
        <v>0</v>
      </c>
      <c r="U148">
        <f>Tabla1[[#This Row],[queso_kg]]*Tabla1[[#This Row],[queso_est_pct]]/100</f>
        <v>0</v>
      </c>
      <c r="V148">
        <f>Tabla1[[#This Row],[queso_kg]]*Tabla1[[#This Row],[queso_mg_pct]]/100</f>
        <v>0</v>
      </c>
      <c r="W148">
        <f>Tabla1[[#This Row],[queso_est_kg]]-Tabla1[[#This Row],[queso_mg_kg]]</f>
        <v>0</v>
      </c>
      <c r="X148">
        <f>_xlfn.ISOWEEKNUM(Tabla1[[#This Row],[fecha]])</f>
        <v>21</v>
      </c>
      <c r="Y148">
        <v>21</v>
      </c>
      <c r="Z148" s="7">
        <f>Tabla1[[#This Row],[suero_litros]]*Tabla1[[#This Row],[suero_grasa_g_l]]/1000</f>
        <v>0</v>
      </c>
      <c r="AA148" s="7">
        <f>Tabla1[[#This Row],[suero_litros]]*Tabla1[[#This Row],[suero_prot_g_l]]/1000</f>
        <v>0</v>
      </c>
      <c r="AB148" s="7">
        <f>Tabla1[[#This Row],[suero_est_g_l]]*Tabla1[[#This Row],[suero_litros]]/1000</f>
        <v>0</v>
      </c>
    </row>
    <row r="149" spans="1:28" x14ac:dyDescent="0.25">
      <c r="A149" s="1">
        <v>45438</v>
      </c>
      <c r="B149">
        <v>5103</v>
      </c>
      <c r="C149">
        <v>4954</v>
      </c>
      <c r="D149">
        <v>43.05</v>
      </c>
      <c r="E149">
        <v>36.93</v>
      </c>
      <c r="F149">
        <v>0</v>
      </c>
      <c r="G149">
        <v>0</v>
      </c>
      <c r="H149">
        <v>0</v>
      </c>
      <c r="I149">
        <v>4954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f>Tabla1[[#This Row],[entrada_litros]]*Tabla1[[#This Row],[entrada_grasa_g_l]]/1000</f>
        <v>213.26969999999997</v>
      </c>
      <c r="R149">
        <f>Tabla1[[#This Row],[entrada_prot_g_l]]*Tabla1[[#This Row],[entrada_litros]]/1000</f>
        <v>182.95122000000001</v>
      </c>
      <c r="S149">
        <f>Tabla1[[#This Row],[cuba_fab_litros]]*Tabla1[[#This Row],[cuba_fab_grasa_g_l]]/1000</f>
        <v>0</v>
      </c>
      <c r="T149">
        <f>Tabla1[[#This Row],[cuba_fab_litros]]*Tabla1[[#This Row],[cuba_fab_prot_g_l]]/1000</f>
        <v>0</v>
      </c>
      <c r="U149">
        <f>Tabla1[[#This Row],[queso_kg]]*Tabla1[[#This Row],[queso_est_pct]]/100</f>
        <v>0</v>
      </c>
      <c r="V149">
        <f>Tabla1[[#This Row],[queso_kg]]*Tabla1[[#This Row],[queso_mg_pct]]/100</f>
        <v>0</v>
      </c>
      <c r="W149">
        <f>Tabla1[[#This Row],[queso_est_kg]]-Tabla1[[#This Row],[queso_mg_kg]]</f>
        <v>0</v>
      </c>
      <c r="X149">
        <f>_xlfn.ISOWEEKNUM(Tabla1[[#This Row],[fecha]])</f>
        <v>21</v>
      </c>
      <c r="Y149">
        <v>22</v>
      </c>
      <c r="Z149" s="7">
        <f>Tabla1[[#This Row],[suero_litros]]*Tabla1[[#This Row],[suero_grasa_g_l]]/1000</f>
        <v>0</v>
      </c>
      <c r="AA149" s="7">
        <f>Tabla1[[#This Row],[suero_litros]]*Tabla1[[#This Row],[suero_prot_g_l]]/1000</f>
        <v>0</v>
      </c>
      <c r="AB149" s="7">
        <f>Tabla1[[#This Row],[suero_est_g_l]]*Tabla1[[#This Row],[suero_litros]]/1000</f>
        <v>0</v>
      </c>
    </row>
    <row r="150" spans="1:28" x14ac:dyDescent="0.25">
      <c r="A150" s="1">
        <v>45439</v>
      </c>
      <c r="B150">
        <v>5105</v>
      </c>
      <c r="C150">
        <v>4956</v>
      </c>
      <c r="D150">
        <v>41.04</v>
      </c>
      <c r="E150">
        <v>36.17</v>
      </c>
      <c r="F150">
        <v>5025</v>
      </c>
      <c r="G150">
        <v>39.729999999999997</v>
      </c>
      <c r="H150">
        <v>34.909999999999997</v>
      </c>
      <c r="I150">
        <v>4910</v>
      </c>
      <c r="J150">
        <v>603.5</v>
      </c>
      <c r="K150">
        <v>52.56</v>
      </c>
      <c r="L150">
        <v>28.1</v>
      </c>
      <c r="M150">
        <v>4461</v>
      </c>
      <c r="N150">
        <v>6.63</v>
      </c>
      <c r="O150">
        <v>8.58</v>
      </c>
      <c r="P150">
        <v>66.349999999999994</v>
      </c>
      <c r="Q150">
        <f>Tabla1[[#This Row],[entrada_litros]]*Tabla1[[#This Row],[entrada_grasa_g_l]]/1000</f>
        <v>203.39424</v>
      </c>
      <c r="R150">
        <f>Tabla1[[#This Row],[entrada_prot_g_l]]*Tabla1[[#This Row],[entrada_litros]]/1000</f>
        <v>179.25852000000003</v>
      </c>
      <c r="S150">
        <f>Tabla1[[#This Row],[cuba_fab_litros]]*Tabla1[[#This Row],[cuba_fab_grasa_g_l]]/1000</f>
        <v>199.64324999999997</v>
      </c>
      <c r="T150">
        <f>Tabla1[[#This Row],[cuba_fab_litros]]*Tabla1[[#This Row],[cuba_fab_prot_g_l]]/1000</f>
        <v>175.42274999999998</v>
      </c>
      <c r="U150">
        <f>Tabla1[[#This Row],[queso_kg]]*Tabla1[[#This Row],[queso_est_pct]]/100</f>
        <v>317.19960000000003</v>
      </c>
      <c r="V150">
        <f>Tabla1[[#This Row],[queso_kg]]*Tabla1[[#This Row],[queso_mg_pct]]/100</f>
        <v>169.58350000000002</v>
      </c>
      <c r="W150">
        <f>Tabla1[[#This Row],[queso_est_kg]]-Tabla1[[#This Row],[queso_mg_kg]]</f>
        <v>147.61610000000002</v>
      </c>
      <c r="X150">
        <f>_xlfn.ISOWEEKNUM(Tabla1[[#This Row],[fecha]])</f>
        <v>22</v>
      </c>
      <c r="Y150">
        <v>22</v>
      </c>
      <c r="Z150" s="7">
        <f>Tabla1[[#This Row],[suero_litros]]*Tabla1[[#This Row],[suero_grasa_g_l]]/1000</f>
        <v>29.576430000000002</v>
      </c>
      <c r="AA150" s="7">
        <f>Tabla1[[#This Row],[suero_litros]]*Tabla1[[#This Row],[suero_prot_g_l]]/1000</f>
        <v>38.275379999999998</v>
      </c>
      <c r="AB150" s="7">
        <f>Tabla1[[#This Row],[suero_est_g_l]]*Tabla1[[#This Row],[suero_litros]]/1000</f>
        <v>295.98734999999999</v>
      </c>
    </row>
    <row r="151" spans="1:28" x14ac:dyDescent="0.25">
      <c r="A151" s="1">
        <v>45440</v>
      </c>
      <c r="B151">
        <v>4746</v>
      </c>
      <c r="C151">
        <v>4608</v>
      </c>
      <c r="D151">
        <v>45.06</v>
      </c>
      <c r="E151">
        <v>36.03</v>
      </c>
      <c r="F151">
        <v>5022</v>
      </c>
      <c r="G151">
        <v>41.89</v>
      </c>
      <c r="H151">
        <v>34.4</v>
      </c>
      <c r="I151">
        <v>4518</v>
      </c>
      <c r="J151">
        <v>615.54</v>
      </c>
      <c r="K151">
        <v>53.74</v>
      </c>
      <c r="L151">
        <v>27.03</v>
      </c>
      <c r="M151">
        <v>4446</v>
      </c>
      <c r="N151">
        <v>9.76</v>
      </c>
      <c r="O151">
        <v>6.05</v>
      </c>
      <c r="P151">
        <v>67.91</v>
      </c>
      <c r="Q151">
        <f>Tabla1[[#This Row],[entrada_litros]]*Tabla1[[#This Row],[entrada_grasa_g_l]]/1000</f>
        <v>207.63648000000001</v>
      </c>
      <c r="R151">
        <f>Tabla1[[#This Row],[entrada_prot_g_l]]*Tabla1[[#This Row],[entrada_litros]]/1000</f>
        <v>166.02624</v>
      </c>
      <c r="S151">
        <f>Tabla1[[#This Row],[cuba_fab_litros]]*Tabla1[[#This Row],[cuba_fab_grasa_g_l]]/1000</f>
        <v>210.37158000000002</v>
      </c>
      <c r="T151">
        <f>Tabla1[[#This Row],[cuba_fab_litros]]*Tabla1[[#This Row],[cuba_fab_prot_g_l]]/1000</f>
        <v>172.7568</v>
      </c>
      <c r="U151">
        <f>Tabla1[[#This Row],[queso_kg]]*Tabla1[[#This Row],[queso_est_pct]]/100</f>
        <v>330.79119599999996</v>
      </c>
      <c r="V151">
        <f>Tabla1[[#This Row],[queso_kg]]*Tabla1[[#This Row],[queso_mg_pct]]/100</f>
        <v>166.38046199999999</v>
      </c>
      <c r="W151">
        <f>Tabla1[[#This Row],[queso_est_kg]]-Tabla1[[#This Row],[queso_mg_kg]]</f>
        <v>164.41073399999996</v>
      </c>
      <c r="X151">
        <f>_xlfn.ISOWEEKNUM(Tabla1[[#This Row],[fecha]])</f>
        <v>22</v>
      </c>
      <c r="Y151">
        <v>22</v>
      </c>
      <c r="Z151" s="7">
        <f>Tabla1[[#This Row],[suero_litros]]*Tabla1[[#This Row],[suero_grasa_g_l]]/1000</f>
        <v>43.392960000000002</v>
      </c>
      <c r="AA151" s="7">
        <f>Tabla1[[#This Row],[suero_litros]]*Tabla1[[#This Row],[suero_prot_g_l]]/1000</f>
        <v>26.898299999999999</v>
      </c>
      <c r="AB151" s="7">
        <f>Tabla1[[#This Row],[suero_est_g_l]]*Tabla1[[#This Row],[suero_litros]]/1000</f>
        <v>301.92786000000001</v>
      </c>
    </row>
    <row r="152" spans="1:28" x14ac:dyDescent="0.25">
      <c r="A152" s="1">
        <v>45441</v>
      </c>
      <c r="B152">
        <v>5047</v>
      </c>
      <c r="C152">
        <v>4900</v>
      </c>
      <c r="D152">
        <v>41.01</v>
      </c>
      <c r="E152">
        <v>35.61</v>
      </c>
      <c r="F152">
        <v>5030</v>
      </c>
      <c r="G152">
        <v>40.229999999999997</v>
      </c>
      <c r="H152">
        <v>34.33</v>
      </c>
      <c r="I152">
        <v>4418</v>
      </c>
      <c r="J152">
        <v>627.4</v>
      </c>
      <c r="K152">
        <v>54.29</v>
      </c>
      <c r="L152">
        <v>28.58</v>
      </c>
      <c r="M152">
        <v>4442</v>
      </c>
      <c r="N152">
        <v>5.12</v>
      </c>
      <c r="O152">
        <v>6.98</v>
      </c>
      <c r="P152">
        <v>63.44</v>
      </c>
      <c r="Q152">
        <f>Tabla1[[#This Row],[entrada_litros]]*Tabla1[[#This Row],[entrada_grasa_g_l]]/1000</f>
        <v>200.94900000000001</v>
      </c>
      <c r="R152">
        <f>Tabla1[[#This Row],[entrada_prot_g_l]]*Tabla1[[#This Row],[entrada_litros]]/1000</f>
        <v>174.489</v>
      </c>
      <c r="S152">
        <f>Tabla1[[#This Row],[cuba_fab_litros]]*Tabla1[[#This Row],[cuba_fab_grasa_g_l]]/1000</f>
        <v>202.3569</v>
      </c>
      <c r="T152">
        <f>Tabla1[[#This Row],[cuba_fab_litros]]*Tabla1[[#This Row],[cuba_fab_prot_g_l]]/1000</f>
        <v>172.6799</v>
      </c>
      <c r="U152">
        <f>Tabla1[[#This Row],[queso_kg]]*Tabla1[[#This Row],[queso_est_pct]]/100</f>
        <v>340.61545999999993</v>
      </c>
      <c r="V152">
        <f>Tabla1[[#This Row],[queso_kg]]*Tabla1[[#This Row],[queso_mg_pct]]/100</f>
        <v>179.31091999999998</v>
      </c>
      <c r="W152">
        <f>Tabla1[[#This Row],[queso_est_kg]]-Tabla1[[#This Row],[queso_mg_kg]]</f>
        <v>161.30453999999995</v>
      </c>
      <c r="X152">
        <f>_xlfn.ISOWEEKNUM(Tabla1[[#This Row],[fecha]])</f>
        <v>22</v>
      </c>
      <c r="Y152">
        <v>22</v>
      </c>
      <c r="Z152" s="7">
        <f>Tabla1[[#This Row],[suero_litros]]*Tabla1[[#This Row],[suero_grasa_g_l]]/1000</f>
        <v>22.743040000000001</v>
      </c>
      <c r="AA152" s="7">
        <f>Tabla1[[#This Row],[suero_litros]]*Tabla1[[#This Row],[suero_prot_g_l]]/1000</f>
        <v>31.005160000000004</v>
      </c>
      <c r="AB152" s="7">
        <f>Tabla1[[#This Row],[suero_est_g_l]]*Tabla1[[#This Row],[suero_litros]]/1000</f>
        <v>281.80047999999999</v>
      </c>
    </row>
    <row r="153" spans="1:28" x14ac:dyDescent="0.25">
      <c r="A153" s="1">
        <v>45442</v>
      </c>
      <c r="B153">
        <v>5217</v>
      </c>
      <c r="C153">
        <v>5065</v>
      </c>
      <c r="D153">
        <v>42.29</v>
      </c>
      <c r="E153">
        <v>34.380000000000003</v>
      </c>
      <c r="F153">
        <v>5029</v>
      </c>
      <c r="G153">
        <v>40.42</v>
      </c>
      <c r="H153">
        <v>33.520000000000003</v>
      </c>
      <c r="I153">
        <v>4483</v>
      </c>
      <c r="J153">
        <v>687.35</v>
      </c>
      <c r="K153">
        <v>49.97</v>
      </c>
      <c r="L153">
        <v>26.59</v>
      </c>
      <c r="M153">
        <v>4383</v>
      </c>
      <c r="N153">
        <v>4.59</v>
      </c>
      <c r="O153">
        <v>3.13</v>
      </c>
      <c r="P153">
        <v>58.65</v>
      </c>
      <c r="Q153">
        <f>Tabla1[[#This Row],[entrada_litros]]*Tabla1[[#This Row],[entrada_grasa_g_l]]/1000</f>
        <v>214.19884999999999</v>
      </c>
      <c r="R153">
        <f>Tabla1[[#This Row],[entrada_prot_g_l]]*Tabla1[[#This Row],[entrada_litros]]/1000</f>
        <v>174.13470000000001</v>
      </c>
      <c r="S153">
        <f>Tabla1[[#This Row],[cuba_fab_litros]]*Tabla1[[#This Row],[cuba_fab_grasa_g_l]]/1000</f>
        <v>203.27218000000002</v>
      </c>
      <c r="T153">
        <f>Tabla1[[#This Row],[cuba_fab_litros]]*Tabla1[[#This Row],[cuba_fab_prot_g_l]]/1000</f>
        <v>168.57208000000003</v>
      </c>
      <c r="U153">
        <f>Tabla1[[#This Row],[queso_kg]]*Tabla1[[#This Row],[queso_est_pct]]/100</f>
        <v>343.468795</v>
      </c>
      <c r="V153">
        <f>Tabla1[[#This Row],[queso_kg]]*Tabla1[[#This Row],[queso_mg_pct]]/100</f>
        <v>182.76636500000001</v>
      </c>
      <c r="W153">
        <f>Tabla1[[#This Row],[queso_est_kg]]-Tabla1[[#This Row],[queso_mg_kg]]</f>
        <v>160.70242999999999</v>
      </c>
      <c r="X153">
        <f>_xlfn.ISOWEEKNUM(Tabla1[[#This Row],[fecha]])</f>
        <v>22</v>
      </c>
      <c r="Y153">
        <v>22</v>
      </c>
      <c r="Z153" s="7">
        <f>Tabla1[[#This Row],[suero_litros]]*Tabla1[[#This Row],[suero_grasa_g_l]]/1000</f>
        <v>20.11797</v>
      </c>
      <c r="AA153" s="7">
        <f>Tabla1[[#This Row],[suero_litros]]*Tabla1[[#This Row],[suero_prot_g_l]]/1000</f>
        <v>13.718789999999998</v>
      </c>
      <c r="AB153" s="7">
        <f>Tabla1[[#This Row],[suero_est_g_l]]*Tabla1[[#This Row],[suero_litros]]/1000</f>
        <v>257.06295</v>
      </c>
    </row>
    <row r="154" spans="1:28" x14ac:dyDescent="0.25">
      <c r="A154" s="1">
        <v>45443</v>
      </c>
      <c r="B154">
        <v>0</v>
      </c>
      <c r="C154">
        <v>0</v>
      </c>
      <c r="D154">
        <v>0</v>
      </c>
      <c r="E154">
        <v>0</v>
      </c>
      <c r="F154">
        <v>4502</v>
      </c>
      <c r="G154">
        <v>40.36</v>
      </c>
      <c r="H154">
        <v>33.229999999999997</v>
      </c>
      <c r="I154">
        <v>0</v>
      </c>
      <c r="J154">
        <v>621.77</v>
      </c>
      <c r="K154">
        <v>49.61</v>
      </c>
      <c r="L154">
        <v>26.13</v>
      </c>
      <c r="M154">
        <v>3917</v>
      </c>
      <c r="N154">
        <v>4.8499999999999996</v>
      </c>
      <c r="O154">
        <v>0.61</v>
      </c>
      <c r="P154">
        <v>56.97</v>
      </c>
      <c r="Q154">
        <f>Tabla1[[#This Row],[entrada_litros]]*Tabla1[[#This Row],[entrada_grasa_g_l]]/1000</f>
        <v>0</v>
      </c>
      <c r="R154">
        <f>Tabla1[[#This Row],[entrada_prot_g_l]]*Tabla1[[#This Row],[entrada_litros]]/1000</f>
        <v>0</v>
      </c>
      <c r="S154">
        <f>Tabla1[[#This Row],[cuba_fab_litros]]*Tabla1[[#This Row],[cuba_fab_grasa_g_l]]/1000</f>
        <v>181.70071999999999</v>
      </c>
      <c r="T154">
        <f>Tabla1[[#This Row],[cuba_fab_litros]]*Tabla1[[#This Row],[cuba_fab_prot_g_l]]/1000</f>
        <v>149.60146</v>
      </c>
      <c r="U154">
        <f>Tabla1[[#This Row],[queso_kg]]*Tabla1[[#This Row],[queso_est_pct]]/100</f>
        <v>308.46009699999996</v>
      </c>
      <c r="V154">
        <f>Tabla1[[#This Row],[queso_kg]]*Tabla1[[#This Row],[queso_mg_pct]]/100</f>
        <v>162.468501</v>
      </c>
      <c r="W154">
        <f>Tabla1[[#This Row],[queso_est_kg]]-Tabla1[[#This Row],[queso_mg_kg]]</f>
        <v>145.99159599999996</v>
      </c>
      <c r="X154">
        <f>_xlfn.ISOWEEKNUM(Tabla1[[#This Row],[fecha]])</f>
        <v>22</v>
      </c>
      <c r="Y154">
        <v>22</v>
      </c>
      <c r="Z154" s="7">
        <f>Tabla1[[#This Row],[suero_litros]]*Tabla1[[#This Row],[suero_grasa_g_l]]/1000</f>
        <v>18.997449999999997</v>
      </c>
      <c r="AA154" s="7">
        <f>Tabla1[[#This Row],[suero_litros]]*Tabla1[[#This Row],[suero_prot_g_l]]/1000</f>
        <v>2.38937</v>
      </c>
      <c r="AB154" s="7">
        <f>Tabla1[[#This Row],[suero_est_g_l]]*Tabla1[[#This Row],[suero_litros]]/1000</f>
        <v>223.15149</v>
      </c>
    </row>
    <row r="155" spans="1:28" x14ac:dyDescent="0.25">
      <c r="A155" s="1">
        <v>45444</v>
      </c>
      <c r="B155">
        <v>0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f>Tabla1[[#This Row],[entrada_litros]]*Tabla1[[#This Row],[entrada_grasa_g_l]]/1000</f>
        <v>0</v>
      </c>
      <c r="R155">
        <f>Tabla1[[#This Row],[entrada_prot_g_l]]*Tabla1[[#This Row],[entrada_litros]]/1000</f>
        <v>0</v>
      </c>
      <c r="S155">
        <f>Tabla1[[#This Row],[cuba_fab_litros]]*Tabla1[[#This Row],[cuba_fab_grasa_g_l]]/1000</f>
        <v>0</v>
      </c>
      <c r="T155">
        <f>Tabla1[[#This Row],[cuba_fab_litros]]*Tabla1[[#This Row],[cuba_fab_prot_g_l]]/1000</f>
        <v>0</v>
      </c>
      <c r="U155">
        <f>Tabla1[[#This Row],[queso_kg]]*Tabla1[[#This Row],[queso_est_pct]]/100</f>
        <v>0</v>
      </c>
      <c r="V155">
        <f>Tabla1[[#This Row],[queso_kg]]*Tabla1[[#This Row],[queso_mg_pct]]/100</f>
        <v>0</v>
      </c>
      <c r="W155">
        <f>Tabla1[[#This Row],[queso_est_kg]]-Tabla1[[#This Row],[queso_mg_kg]]</f>
        <v>0</v>
      </c>
      <c r="X155">
        <f>_xlfn.ISOWEEKNUM(Tabla1[[#This Row],[fecha]])</f>
        <v>22</v>
      </c>
      <c r="Y155">
        <v>22</v>
      </c>
      <c r="Z155" s="7">
        <f>Tabla1[[#This Row],[suero_litros]]*Tabla1[[#This Row],[suero_grasa_g_l]]/1000</f>
        <v>0</v>
      </c>
      <c r="AA155" s="7">
        <f>Tabla1[[#This Row],[suero_litros]]*Tabla1[[#This Row],[suero_prot_g_l]]/1000</f>
        <v>0</v>
      </c>
      <c r="AB155" s="7">
        <f>Tabla1[[#This Row],[suero_est_g_l]]*Tabla1[[#This Row],[suero_litros]]/1000</f>
        <v>0</v>
      </c>
    </row>
    <row r="156" spans="1:28" x14ac:dyDescent="0.25">
      <c r="A156" s="1">
        <v>45445</v>
      </c>
      <c r="B156">
        <v>5022</v>
      </c>
      <c r="C156">
        <v>4876</v>
      </c>
      <c r="D156">
        <v>41.27</v>
      </c>
      <c r="E156">
        <v>36.86</v>
      </c>
      <c r="F156">
        <v>0</v>
      </c>
      <c r="G156">
        <v>0</v>
      </c>
      <c r="H156">
        <v>0</v>
      </c>
      <c r="I156">
        <v>4876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f>Tabla1[[#This Row],[entrada_litros]]*Tabla1[[#This Row],[entrada_grasa_g_l]]/1000</f>
        <v>201.23252000000002</v>
      </c>
      <c r="R156">
        <f>Tabla1[[#This Row],[entrada_prot_g_l]]*Tabla1[[#This Row],[entrada_litros]]/1000</f>
        <v>179.72935999999999</v>
      </c>
      <c r="S156">
        <f>Tabla1[[#This Row],[cuba_fab_litros]]*Tabla1[[#This Row],[cuba_fab_grasa_g_l]]/1000</f>
        <v>0</v>
      </c>
      <c r="T156">
        <f>Tabla1[[#This Row],[cuba_fab_litros]]*Tabla1[[#This Row],[cuba_fab_prot_g_l]]/1000</f>
        <v>0</v>
      </c>
      <c r="U156">
        <f>Tabla1[[#This Row],[queso_kg]]*Tabla1[[#This Row],[queso_est_pct]]/100</f>
        <v>0</v>
      </c>
      <c r="V156">
        <f>Tabla1[[#This Row],[queso_kg]]*Tabla1[[#This Row],[queso_mg_pct]]/100</f>
        <v>0</v>
      </c>
      <c r="W156">
        <f>Tabla1[[#This Row],[queso_est_kg]]-Tabla1[[#This Row],[queso_mg_kg]]</f>
        <v>0</v>
      </c>
      <c r="X156">
        <f>_xlfn.ISOWEEKNUM(Tabla1[[#This Row],[fecha]])</f>
        <v>22</v>
      </c>
      <c r="Y156">
        <v>23</v>
      </c>
      <c r="Z156" s="7">
        <f>Tabla1[[#This Row],[suero_litros]]*Tabla1[[#This Row],[suero_grasa_g_l]]/1000</f>
        <v>0</v>
      </c>
      <c r="AA156" s="7">
        <f>Tabla1[[#This Row],[suero_litros]]*Tabla1[[#This Row],[suero_prot_g_l]]/1000</f>
        <v>0</v>
      </c>
      <c r="AB156" s="7">
        <f>Tabla1[[#This Row],[suero_est_g_l]]*Tabla1[[#This Row],[suero_litros]]/1000</f>
        <v>0</v>
      </c>
    </row>
    <row r="157" spans="1:28" x14ac:dyDescent="0.25">
      <c r="A157" s="1">
        <v>45446</v>
      </c>
      <c r="B157">
        <v>5038</v>
      </c>
      <c r="C157">
        <v>4891</v>
      </c>
      <c r="D157">
        <v>43.33</v>
      </c>
      <c r="E157">
        <v>35.26</v>
      </c>
      <c r="F157">
        <v>5019</v>
      </c>
      <c r="G157">
        <v>40.74</v>
      </c>
      <c r="H157">
        <v>34.479999999999997</v>
      </c>
      <c r="I157">
        <v>4767</v>
      </c>
      <c r="J157">
        <v>599.02</v>
      </c>
      <c r="K157">
        <v>53.53</v>
      </c>
      <c r="L157">
        <v>26.27</v>
      </c>
      <c r="M157">
        <v>4459</v>
      </c>
      <c r="N157">
        <v>10.33</v>
      </c>
      <c r="O157">
        <v>6.61</v>
      </c>
      <c r="P157">
        <v>67.02</v>
      </c>
      <c r="Q157">
        <f>Tabla1[[#This Row],[entrada_litros]]*Tabla1[[#This Row],[entrada_grasa_g_l]]/1000</f>
        <v>211.92703</v>
      </c>
      <c r="R157">
        <f>Tabla1[[#This Row],[entrada_prot_g_l]]*Tabla1[[#This Row],[entrada_litros]]/1000</f>
        <v>172.45666</v>
      </c>
      <c r="S157">
        <f>Tabla1[[#This Row],[cuba_fab_litros]]*Tabla1[[#This Row],[cuba_fab_grasa_g_l]]/1000</f>
        <v>204.47406000000001</v>
      </c>
      <c r="T157">
        <f>Tabla1[[#This Row],[cuba_fab_litros]]*Tabla1[[#This Row],[cuba_fab_prot_g_l]]/1000</f>
        <v>173.05511999999999</v>
      </c>
      <c r="U157">
        <f>Tabla1[[#This Row],[queso_kg]]*Tabla1[[#This Row],[queso_est_pct]]/100</f>
        <v>320.65540600000003</v>
      </c>
      <c r="V157">
        <f>Tabla1[[#This Row],[queso_kg]]*Tabla1[[#This Row],[queso_mg_pct]]/100</f>
        <v>157.36255399999999</v>
      </c>
      <c r="W157">
        <f>Tabla1[[#This Row],[queso_est_kg]]-Tabla1[[#This Row],[queso_mg_kg]]</f>
        <v>163.29285200000004</v>
      </c>
      <c r="X157">
        <f>_xlfn.ISOWEEKNUM(Tabla1[[#This Row],[fecha]])</f>
        <v>23</v>
      </c>
      <c r="Y157">
        <v>23</v>
      </c>
      <c r="Z157" s="7">
        <f>Tabla1[[#This Row],[suero_litros]]*Tabla1[[#This Row],[suero_grasa_g_l]]/1000</f>
        <v>46.06147</v>
      </c>
      <c r="AA157" s="7">
        <f>Tabla1[[#This Row],[suero_litros]]*Tabla1[[#This Row],[suero_prot_g_l]]/1000</f>
        <v>29.473990000000001</v>
      </c>
      <c r="AB157" s="7">
        <f>Tabla1[[#This Row],[suero_est_g_l]]*Tabla1[[#This Row],[suero_litros]]/1000</f>
        <v>298.84217999999998</v>
      </c>
    </row>
    <row r="158" spans="1:28" x14ac:dyDescent="0.25">
      <c r="A158" s="1">
        <v>45447</v>
      </c>
      <c r="B158">
        <v>5263</v>
      </c>
      <c r="C158">
        <v>5110</v>
      </c>
      <c r="D158">
        <v>44</v>
      </c>
      <c r="E158">
        <v>35.56</v>
      </c>
      <c r="F158">
        <v>5033</v>
      </c>
      <c r="G158">
        <v>40.880000000000003</v>
      </c>
      <c r="H158">
        <v>34</v>
      </c>
      <c r="I158">
        <v>4877</v>
      </c>
      <c r="J158">
        <v>640.99</v>
      </c>
      <c r="K158">
        <v>50.9</v>
      </c>
      <c r="L158">
        <v>26.4</v>
      </c>
      <c r="M158">
        <v>4432</v>
      </c>
      <c r="N158">
        <v>8.08</v>
      </c>
      <c r="O158">
        <v>4.63</v>
      </c>
      <c r="P158">
        <v>63.33</v>
      </c>
      <c r="Q158">
        <f>Tabla1[[#This Row],[entrada_litros]]*Tabla1[[#This Row],[entrada_grasa_g_l]]/1000</f>
        <v>224.84</v>
      </c>
      <c r="R158">
        <f>Tabla1[[#This Row],[entrada_prot_g_l]]*Tabla1[[#This Row],[entrada_litros]]/1000</f>
        <v>181.7116</v>
      </c>
      <c r="S158">
        <f>Tabla1[[#This Row],[cuba_fab_litros]]*Tabla1[[#This Row],[cuba_fab_grasa_g_l]]/1000</f>
        <v>205.74904000000001</v>
      </c>
      <c r="T158">
        <f>Tabla1[[#This Row],[cuba_fab_litros]]*Tabla1[[#This Row],[cuba_fab_prot_g_l]]/1000</f>
        <v>171.12200000000001</v>
      </c>
      <c r="U158">
        <f>Tabla1[[#This Row],[queso_kg]]*Tabla1[[#This Row],[queso_est_pct]]/100</f>
        <v>326.26391000000001</v>
      </c>
      <c r="V158">
        <f>Tabla1[[#This Row],[queso_kg]]*Tabla1[[#This Row],[queso_mg_pct]]/100</f>
        <v>169.22135999999998</v>
      </c>
      <c r="W158">
        <f>Tabla1[[#This Row],[queso_est_kg]]-Tabla1[[#This Row],[queso_mg_kg]]</f>
        <v>157.04255000000003</v>
      </c>
      <c r="X158">
        <f>_xlfn.ISOWEEKNUM(Tabla1[[#This Row],[fecha]])</f>
        <v>23</v>
      </c>
      <c r="Y158">
        <v>23</v>
      </c>
      <c r="Z158" s="7">
        <f>Tabla1[[#This Row],[suero_litros]]*Tabla1[[#This Row],[suero_grasa_g_l]]/1000</f>
        <v>35.810559999999995</v>
      </c>
      <c r="AA158" s="7">
        <f>Tabla1[[#This Row],[suero_litros]]*Tabla1[[#This Row],[suero_prot_g_l]]/1000</f>
        <v>20.520160000000001</v>
      </c>
      <c r="AB158" s="7">
        <f>Tabla1[[#This Row],[suero_est_g_l]]*Tabla1[[#This Row],[suero_litros]]/1000</f>
        <v>280.67856</v>
      </c>
    </row>
    <row r="159" spans="1:28" x14ac:dyDescent="0.25">
      <c r="A159" s="1">
        <v>45448</v>
      </c>
      <c r="B159">
        <v>5155</v>
      </c>
      <c r="C159">
        <v>5005</v>
      </c>
      <c r="D159">
        <v>41.98</v>
      </c>
      <c r="E159">
        <v>34.4</v>
      </c>
      <c r="F159">
        <v>5023</v>
      </c>
      <c r="G159">
        <v>40.590000000000003</v>
      </c>
      <c r="H159">
        <v>33.479999999999997</v>
      </c>
      <c r="I159">
        <v>4882</v>
      </c>
      <c r="J159">
        <v>598.89</v>
      </c>
      <c r="K159">
        <v>53.46</v>
      </c>
      <c r="L159">
        <v>28.03</v>
      </c>
      <c r="M159">
        <v>4463</v>
      </c>
      <c r="N159">
        <v>7.89</v>
      </c>
      <c r="O159">
        <v>7.24</v>
      </c>
      <c r="P159">
        <v>66.06</v>
      </c>
      <c r="Q159">
        <f>Tabla1[[#This Row],[entrada_litros]]*Tabla1[[#This Row],[entrada_grasa_g_l]]/1000</f>
        <v>210.10989999999998</v>
      </c>
      <c r="R159">
        <f>Tabla1[[#This Row],[entrada_prot_g_l]]*Tabla1[[#This Row],[entrada_litros]]/1000</f>
        <v>172.172</v>
      </c>
      <c r="S159">
        <f>Tabla1[[#This Row],[cuba_fab_litros]]*Tabla1[[#This Row],[cuba_fab_grasa_g_l]]/1000</f>
        <v>203.88357000000002</v>
      </c>
      <c r="T159">
        <f>Tabla1[[#This Row],[cuba_fab_litros]]*Tabla1[[#This Row],[cuba_fab_prot_g_l]]/1000</f>
        <v>168.17003999999997</v>
      </c>
      <c r="U159">
        <f>Tabla1[[#This Row],[queso_kg]]*Tabla1[[#This Row],[queso_est_pct]]/100</f>
        <v>320.16659400000003</v>
      </c>
      <c r="V159">
        <f>Tabla1[[#This Row],[queso_kg]]*Tabla1[[#This Row],[queso_mg_pct]]/100</f>
        <v>167.86886699999999</v>
      </c>
      <c r="W159">
        <f>Tabla1[[#This Row],[queso_est_kg]]-Tabla1[[#This Row],[queso_mg_kg]]</f>
        <v>152.29772700000004</v>
      </c>
      <c r="X159">
        <f>_xlfn.ISOWEEKNUM(Tabla1[[#This Row],[fecha]])</f>
        <v>23</v>
      </c>
      <c r="Y159">
        <v>23</v>
      </c>
      <c r="Z159" s="7">
        <f>Tabla1[[#This Row],[suero_litros]]*Tabla1[[#This Row],[suero_grasa_g_l]]/1000</f>
        <v>35.213070000000002</v>
      </c>
      <c r="AA159" s="7">
        <f>Tabla1[[#This Row],[suero_litros]]*Tabla1[[#This Row],[suero_prot_g_l]]/1000</f>
        <v>32.31212</v>
      </c>
      <c r="AB159" s="7">
        <f>Tabla1[[#This Row],[suero_est_g_l]]*Tabla1[[#This Row],[suero_litros]]/1000</f>
        <v>294.82578000000001</v>
      </c>
    </row>
    <row r="160" spans="1:28" x14ac:dyDescent="0.25">
      <c r="A160" s="1">
        <v>45449</v>
      </c>
      <c r="B160">
        <v>5311</v>
      </c>
      <c r="C160">
        <v>5156</v>
      </c>
      <c r="D160">
        <v>42.47</v>
      </c>
      <c r="E160">
        <v>35.79</v>
      </c>
      <c r="F160">
        <v>5032</v>
      </c>
      <c r="G160">
        <v>40.71</v>
      </c>
      <c r="H160">
        <v>33.93</v>
      </c>
      <c r="I160">
        <v>5038</v>
      </c>
      <c r="J160">
        <v>607.97</v>
      </c>
      <c r="K160">
        <v>52.18</v>
      </c>
      <c r="L160">
        <v>27.27</v>
      </c>
      <c r="M160">
        <v>4463</v>
      </c>
      <c r="N160">
        <v>8.6</v>
      </c>
      <c r="O160">
        <v>6.54</v>
      </c>
      <c r="P160">
        <v>65.3</v>
      </c>
      <c r="Q160">
        <f>Tabla1[[#This Row],[entrada_litros]]*Tabla1[[#This Row],[entrada_grasa_g_l]]/1000</f>
        <v>218.97532000000001</v>
      </c>
      <c r="R160">
        <f>Tabla1[[#This Row],[entrada_prot_g_l]]*Tabla1[[#This Row],[entrada_litros]]/1000</f>
        <v>184.53323999999998</v>
      </c>
      <c r="S160">
        <f>Tabla1[[#This Row],[cuba_fab_litros]]*Tabla1[[#This Row],[cuba_fab_grasa_g_l]]/1000</f>
        <v>204.85272000000001</v>
      </c>
      <c r="T160">
        <f>Tabla1[[#This Row],[cuba_fab_litros]]*Tabla1[[#This Row],[cuba_fab_prot_g_l]]/1000</f>
        <v>170.73576</v>
      </c>
      <c r="U160">
        <f>Tabla1[[#This Row],[queso_kg]]*Tabla1[[#This Row],[queso_est_pct]]/100</f>
        <v>317.23874600000005</v>
      </c>
      <c r="V160">
        <f>Tabla1[[#This Row],[queso_kg]]*Tabla1[[#This Row],[queso_mg_pct]]/100</f>
        <v>165.793419</v>
      </c>
      <c r="W160">
        <f>Tabla1[[#This Row],[queso_est_kg]]-Tabla1[[#This Row],[queso_mg_kg]]</f>
        <v>151.44532700000005</v>
      </c>
      <c r="X160">
        <f>_xlfn.ISOWEEKNUM(Tabla1[[#This Row],[fecha]])</f>
        <v>23</v>
      </c>
      <c r="Y160">
        <v>23</v>
      </c>
      <c r="Z160" s="7">
        <f>Tabla1[[#This Row],[suero_litros]]*Tabla1[[#This Row],[suero_grasa_g_l]]/1000</f>
        <v>38.381799999999998</v>
      </c>
      <c r="AA160" s="7">
        <f>Tabla1[[#This Row],[suero_litros]]*Tabla1[[#This Row],[suero_prot_g_l]]/1000</f>
        <v>29.188020000000002</v>
      </c>
      <c r="AB160" s="7">
        <f>Tabla1[[#This Row],[suero_est_g_l]]*Tabla1[[#This Row],[suero_litros]]/1000</f>
        <v>291.43389999999994</v>
      </c>
    </row>
    <row r="161" spans="1:28" x14ac:dyDescent="0.25">
      <c r="A161" s="1">
        <v>45450</v>
      </c>
      <c r="B161">
        <v>0</v>
      </c>
      <c r="C161">
        <v>0</v>
      </c>
      <c r="D161">
        <v>0</v>
      </c>
      <c r="E161">
        <v>0</v>
      </c>
      <c r="F161">
        <v>5064</v>
      </c>
      <c r="G161">
        <v>40.65</v>
      </c>
      <c r="H161">
        <v>33.83</v>
      </c>
      <c r="I161">
        <v>0</v>
      </c>
      <c r="J161">
        <v>640.16999999999996</v>
      </c>
      <c r="K161">
        <v>53.53</v>
      </c>
      <c r="L161">
        <v>27.42</v>
      </c>
      <c r="M161">
        <v>4464</v>
      </c>
      <c r="N161">
        <v>6.65</v>
      </c>
      <c r="O161">
        <v>4.6900000000000004</v>
      </c>
      <c r="P161">
        <v>63.09</v>
      </c>
      <c r="Q161">
        <f>Tabla1[[#This Row],[entrada_litros]]*Tabla1[[#This Row],[entrada_grasa_g_l]]/1000</f>
        <v>0</v>
      </c>
      <c r="R161">
        <f>Tabla1[[#This Row],[entrada_prot_g_l]]*Tabla1[[#This Row],[entrada_litros]]/1000</f>
        <v>0</v>
      </c>
      <c r="S161">
        <f>Tabla1[[#This Row],[cuba_fab_litros]]*Tabla1[[#This Row],[cuba_fab_grasa_g_l]]/1000</f>
        <v>205.85160000000002</v>
      </c>
      <c r="T161">
        <f>Tabla1[[#This Row],[cuba_fab_litros]]*Tabla1[[#This Row],[cuba_fab_prot_g_l]]/1000</f>
        <v>171.31512000000001</v>
      </c>
      <c r="U161">
        <f>Tabla1[[#This Row],[queso_kg]]*Tabla1[[#This Row],[queso_est_pct]]/100</f>
        <v>342.68300099999999</v>
      </c>
      <c r="V161">
        <f>Tabla1[[#This Row],[queso_kg]]*Tabla1[[#This Row],[queso_mg_pct]]/100</f>
        <v>175.534614</v>
      </c>
      <c r="W161">
        <f>Tabla1[[#This Row],[queso_est_kg]]-Tabla1[[#This Row],[queso_mg_kg]]</f>
        <v>167.14838699999999</v>
      </c>
      <c r="X161">
        <f>_xlfn.ISOWEEKNUM(Tabla1[[#This Row],[fecha]])</f>
        <v>23</v>
      </c>
      <c r="Y161">
        <v>23</v>
      </c>
      <c r="Z161" s="7">
        <f>Tabla1[[#This Row],[suero_litros]]*Tabla1[[#This Row],[suero_grasa_g_l]]/1000</f>
        <v>29.685600000000001</v>
      </c>
      <c r="AA161" s="7">
        <f>Tabla1[[#This Row],[suero_litros]]*Tabla1[[#This Row],[suero_prot_g_l]]/1000</f>
        <v>20.936160000000005</v>
      </c>
      <c r="AB161" s="7">
        <f>Tabla1[[#This Row],[suero_est_g_l]]*Tabla1[[#This Row],[suero_litros]]/1000</f>
        <v>281.63376</v>
      </c>
    </row>
    <row r="162" spans="1:28" x14ac:dyDescent="0.25">
      <c r="A162" s="1">
        <v>45451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f>Tabla1[[#This Row],[entrada_litros]]*Tabla1[[#This Row],[entrada_grasa_g_l]]/1000</f>
        <v>0</v>
      </c>
      <c r="R162">
        <f>Tabla1[[#This Row],[entrada_prot_g_l]]*Tabla1[[#This Row],[entrada_litros]]/1000</f>
        <v>0</v>
      </c>
      <c r="S162">
        <f>Tabla1[[#This Row],[cuba_fab_litros]]*Tabla1[[#This Row],[cuba_fab_grasa_g_l]]/1000</f>
        <v>0</v>
      </c>
      <c r="T162">
        <f>Tabla1[[#This Row],[cuba_fab_litros]]*Tabla1[[#This Row],[cuba_fab_prot_g_l]]/1000</f>
        <v>0</v>
      </c>
      <c r="U162">
        <f>Tabla1[[#This Row],[queso_kg]]*Tabla1[[#This Row],[queso_est_pct]]/100</f>
        <v>0</v>
      </c>
      <c r="V162">
        <f>Tabla1[[#This Row],[queso_kg]]*Tabla1[[#This Row],[queso_mg_pct]]/100</f>
        <v>0</v>
      </c>
      <c r="W162">
        <f>Tabla1[[#This Row],[queso_est_kg]]-Tabla1[[#This Row],[queso_mg_kg]]</f>
        <v>0</v>
      </c>
      <c r="X162">
        <f>_xlfn.ISOWEEKNUM(Tabla1[[#This Row],[fecha]])</f>
        <v>23</v>
      </c>
      <c r="Y162">
        <v>23</v>
      </c>
      <c r="Z162" s="7">
        <f>Tabla1[[#This Row],[suero_litros]]*Tabla1[[#This Row],[suero_grasa_g_l]]/1000</f>
        <v>0</v>
      </c>
      <c r="AA162" s="7">
        <f>Tabla1[[#This Row],[suero_litros]]*Tabla1[[#This Row],[suero_prot_g_l]]/1000</f>
        <v>0</v>
      </c>
      <c r="AB162" s="7">
        <f>Tabla1[[#This Row],[suero_est_g_l]]*Tabla1[[#This Row],[suero_litros]]/1000</f>
        <v>0</v>
      </c>
    </row>
    <row r="163" spans="1:28" x14ac:dyDescent="0.25">
      <c r="A163" s="1">
        <v>45452</v>
      </c>
      <c r="B163">
        <v>4766</v>
      </c>
      <c r="C163">
        <v>4627</v>
      </c>
      <c r="D163">
        <v>42.5</v>
      </c>
      <c r="E163">
        <v>35.299999999999997</v>
      </c>
      <c r="F163">
        <v>0</v>
      </c>
      <c r="G163">
        <v>0</v>
      </c>
      <c r="H163">
        <v>0</v>
      </c>
      <c r="I163">
        <v>4627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f>Tabla1[[#This Row],[entrada_litros]]*Tabla1[[#This Row],[entrada_grasa_g_l]]/1000</f>
        <v>196.64750000000001</v>
      </c>
      <c r="R163">
        <f>Tabla1[[#This Row],[entrada_prot_g_l]]*Tabla1[[#This Row],[entrada_litros]]/1000</f>
        <v>163.33309999999997</v>
      </c>
      <c r="S163">
        <f>Tabla1[[#This Row],[cuba_fab_litros]]*Tabla1[[#This Row],[cuba_fab_grasa_g_l]]/1000</f>
        <v>0</v>
      </c>
      <c r="T163">
        <f>Tabla1[[#This Row],[cuba_fab_litros]]*Tabla1[[#This Row],[cuba_fab_prot_g_l]]/1000</f>
        <v>0</v>
      </c>
      <c r="U163">
        <f>Tabla1[[#This Row],[queso_kg]]*Tabla1[[#This Row],[queso_est_pct]]/100</f>
        <v>0</v>
      </c>
      <c r="V163">
        <f>Tabla1[[#This Row],[queso_kg]]*Tabla1[[#This Row],[queso_mg_pct]]/100</f>
        <v>0</v>
      </c>
      <c r="W163">
        <f>Tabla1[[#This Row],[queso_est_kg]]-Tabla1[[#This Row],[queso_mg_kg]]</f>
        <v>0</v>
      </c>
      <c r="X163">
        <f>_xlfn.ISOWEEKNUM(Tabla1[[#This Row],[fecha]])</f>
        <v>23</v>
      </c>
      <c r="Y163">
        <v>24</v>
      </c>
      <c r="Z163" s="7">
        <f>Tabla1[[#This Row],[suero_litros]]*Tabla1[[#This Row],[suero_grasa_g_l]]/1000</f>
        <v>0</v>
      </c>
      <c r="AA163" s="7">
        <f>Tabla1[[#This Row],[suero_litros]]*Tabla1[[#This Row],[suero_prot_g_l]]/1000</f>
        <v>0</v>
      </c>
      <c r="AB163" s="7">
        <f>Tabla1[[#This Row],[suero_est_g_l]]*Tabla1[[#This Row],[suero_litros]]/1000</f>
        <v>0</v>
      </c>
    </row>
    <row r="164" spans="1:28" x14ac:dyDescent="0.25">
      <c r="A164" s="1">
        <v>45453</v>
      </c>
      <c r="B164">
        <v>5336</v>
      </c>
      <c r="C164">
        <v>5181</v>
      </c>
      <c r="D164">
        <v>43.43</v>
      </c>
      <c r="E164">
        <v>34.700000000000003</v>
      </c>
      <c r="F164">
        <v>5020</v>
      </c>
      <c r="G164">
        <v>41.28</v>
      </c>
      <c r="H164">
        <v>33.33</v>
      </c>
      <c r="I164">
        <v>4808</v>
      </c>
      <c r="J164">
        <v>637.64</v>
      </c>
      <c r="K164">
        <v>51.55</v>
      </c>
      <c r="L164">
        <v>27.3</v>
      </c>
      <c r="M164">
        <v>4422</v>
      </c>
      <c r="N164">
        <v>7.38</v>
      </c>
      <c r="O164">
        <v>5.23</v>
      </c>
      <c r="P164">
        <v>64.06</v>
      </c>
      <c r="Q164">
        <f>Tabla1[[#This Row],[entrada_litros]]*Tabla1[[#This Row],[entrada_grasa_g_l]]/1000</f>
        <v>225.01083</v>
      </c>
      <c r="R164">
        <f>Tabla1[[#This Row],[entrada_prot_g_l]]*Tabla1[[#This Row],[entrada_litros]]/1000</f>
        <v>179.78070000000002</v>
      </c>
      <c r="S164">
        <f>Tabla1[[#This Row],[cuba_fab_litros]]*Tabla1[[#This Row],[cuba_fab_grasa_g_l]]/1000</f>
        <v>207.22560000000001</v>
      </c>
      <c r="T164">
        <f>Tabla1[[#This Row],[cuba_fab_litros]]*Tabla1[[#This Row],[cuba_fab_prot_g_l]]/1000</f>
        <v>167.31659999999999</v>
      </c>
      <c r="U164">
        <f>Tabla1[[#This Row],[queso_kg]]*Tabla1[[#This Row],[queso_est_pct]]/100</f>
        <v>328.70341999999999</v>
      </c>
      <c r="V164">
        <f>Tabla1[[#This Row],[queso_kg]]*Tabla1[[#This Row],[queso_mg_pct]]/100</f>
        <v>174.07571999999999</v>
      </c>
      <c r="W164">
        <f>Tabla1[[#This Row],[queso_est_kg]]-Tabla1[[#This Row],[queso_mg_kg]]</f>
        <v>154.6277</v>
      </c>
      <c r="X164">
        <f>_xlfn.ISOWEEKNUM(Tabla1[[#This Row],[fecha]])</f>
        <v>24</v>
      </c>
      <c r="Y164">
        <v>24</v>
      </c>
      <c r="Z164" s="7">
        <f>Tabla1[[#This Row],[suero_litros]]*Tabla1[[#This Row],[suero_grasa_g_l]]/1000</f>
        <v>32.634360000000001</v>
      </c>
      <c r="AA164" s="7">
        <f>Tabla1[[#This Row],[suero_litros]]*Tabla1[[#This Row],[suero_prot_g_l]]/1000</f>
        <v>23.12706</v>
      </c>
      <c r="AB164" s="7">
        <f>Tabla1[[#This Row],[suero_est_g_l]]*Tabla1[[#This Row],[suero_litros]]/1000</f>
        <v>283.27332000000001</v>
      </c>
    </row>
    <row r="165" spans="1:28" x14ac:dyDescent="0.25">
      <c r="A165" s="1">
        <v>45454</v>
      </c>
      <c r="B165">
        <v>5001</v>
      </c>
      <c r="C165">
        <v>4855</v>
      </c>
      <c r="D165">
        <v>41.98</v>
      </c>
      <c r="E165">
        <v>35.04</v>
      </c>
      <c r="F165">
        <v>5013</v>
      </c>
      <c r="G165">
        <v>40.46</v>
      </c>
      <c r="H165">
        <v>33.81</v>
      </c>
      <c r="I165">
        <v>4663</v>
      </c>
      <c r="J165">
        <v>638.11</v>
      </c>
      <c r="K165">
        <v>50.72</v>
      </c>
      <c r="L165">
        <v>27.17</v>
      </c>
      <c r="M165">
        <v>4415</v>
      </c>
      <c r="N165">
        <v>6.53</v>
      </c>
      <c r="O165">
        <v>4.91</v>
      </c>
      <c r="P165">
        <v>62.95</v>
      </c>
      <c r="Q165">
        <f>Tabla1[[#This Row],[entrada_litros]]*Tabla1[[#This Row],[entrada_grasa_g_l]]/1000</f>
        <v>203.81289999999998</v>
      </c>
      <c r="R165">
        <f>Tabla1[[#This Row],[entrada_prot_g_l]]*Tabla1[[#This Row],[entrada_litros]]/1000</f>
        <v>170.11919999999998</v>
      </c>
      <c r="S165">
        <f>Tabla1[[#This Row],[cuba_fab_litros]]*Tabla1[[#This Row],[cuba_fab_grasa_g_l]]/1000</f>
        <v>202.82598000000002</v>
      </c>
      <c r="T165">
        <f>Tabla1[[#This Row],[cuba_fab_litros]]*Tabla1[[#This Row],[cuba_fab_prot_g_l]]/1000</f>
        <v>169.48953</v>
      </c>
      <c r="U165">
        <f>Tabla1[[#This Row],[queso_kg]]*Tabla1[[#This Row],[queso_est_pct]]/100</f>
        <v>323.64939200000003</v>
      </c>
      <c r="V165">
        <f>Tabla1[[#This Row],[queso_kg]]*Tabla1[[#This Row],[queso_mg_pct]]/100</f>
        <v>173.37448700000002</v>
      </c>
      <c r="W165">
        <f>Tabla1[[#This Row],[queso_est_kg]]-Tabla1[[#This Row],[queso_mg_kg]]</f>
        <v>150.27490500000002</v>
      </c>
      <c r="X165">
        <f>_xlfn.ISOWEEKNUM(Tabla1[[#This Row],[fecha]])</f>
        <v>24</v>
      </c>
      <c r="Y165">
        <v>24</v>
      </c>
      <c r="Z165" s="7">
        <f>Tabla1[[#This Row],[suero_litros]]*Tabla1[[#This Row],[suero_grasa_g_l]]/1000</f>
        <v>28.82995</v>
      </c>
      <c r="AA165" s="7">
        <f>Tabla1[[#This Row],[suero_litros]]*Tabla1[[#This Row],[suero_prot_g_l]]/1000</f>
        <v>21.67765</v>
      </c>
      <c r="AB165" s="7">
        <f>Tabla1[[#This Row],[suero_est_g_l]]*Tabla1[[#This Row],[suero_litros]]/1000</f>
        <v>277.92424999999997</v>
      </c>
    </row>
    <row r="166" spans="1:28" x14ac:dyDescent="0.25">
      <c r="A166" s="1">
        <v>45455</v>
      </c>
      <c r="B166">
        <v>4706</v>
      </c>
      <c r="C166">
        <v>4569</v>
      </c>
      <c r="D166">
        <v>42.23</v>
      </c>
      <c r="E166">
        <v>35.28</v>
      </c>
      <c r="F166">
        <v>5029</v>
      </c>
      <c r="G166">
        <v>40.369999999999997</v>
      </c>
      <c r="H166">
        <v>33.619999999999997</v>
      </c>
      <c r="I166">
        <v>4232</v>
      </c>
      <c r="J166">
        <v>615.64</v>
      </c>
      <c r="K166">
        <v>50.92</v>
      </c>
      <c r="L166">
        <v>25.81</v>
      </c>
      <c r="M166">
        <v>4453</v>
      </c>
      <c r="N166">
        <v>9.7200000000000006</v>
      </c>
      <c r="O166">
        <v>6.03</v>
      </c>
      <c r="P166">
        <v>66.48</v>
      </c>
      <c r="Q166">
        <f>Tabla1[[#This Row],[entrada_litros]]*Tabla1[[#This Row],[entrada_grasa_g_l]]/1000</f>
        <v>192.94887</v>
      </c>
      <c r="R166">
        <f>Tabla1[[#This Row],[entrada_prot_g_l]]*Tabla1[[#This Row],[entrada_litros]]/1000</f>
        <v>161.19432</v>
      </c>
      <c r="S166">
        <f>Tabla1[[#This Row],[cuba_fab_litros]]*Tabla1[[#This Row],[cuba_fab_grasa_g_l]]/1000</f>
        <v>203.02072999999999</v>
      </c>
      <c r="T166">
        <f>Tabla1[[#This Row],[cuba_fab_litros]]*Tabla1[[#This Row],[cuba_fab_prot_g_l]]/1000</f>
        <v>169.07497999999998</v>
      </c>
      <c r="U166">
        <f>Tabla1[[#This Row],[queso_kg]]*Tabla1[[#This Row],[queso_est_pct]]/100</f>
        <v>313.48388799999998</v>
      </c>
      <c r="V166">
        <f>Tabla1[[#This Row],[queso_kg]]*Tabla1[[#This Row],[queso_mg_pct]]/100</f>
        <v>158.89668399999999</v>
      </c>
      <c r="W166">
        <f>Tabla1[[#This Row],[queso_est_kg]]-Tabla1[[#This Row],[queso_mg_kg]]</f>
        <v>154.58720399999999</v>
      </c>
      <c r="X166">
        <f>_xlfn.ISOWEEKNUM(Tabla1[[#This Row],[fecha]])</f>
        <v>24</v>
      </c>
      <c r="Y166">
        <v>24</v>
      </c>
      <c r="Z166" s="7">
        <f>Tabla1[[#This Row],[suero_litros]]*Tabla1[[#This Row],[suero_grasa_g_l]]/1000</f>
        <v>43.283160000000002</v>
      </c>
      <c r="AA166" s="7">
        <f>Tabla1[[#This Row],[suero_litros]]*Tabla1[[#This Row],[suero_prot_g_l]]/1000</f>
        <v>26.851590000000002</v>
      </c>
      <c r="AB166" s="7">
        <f>Tabla1[[#This Row],[suero_est_g_l]]*Tabla1[[#This Row],[suero_litros]]/1000</f>
        <v>296.03543999999999</v>
      </c>
    </row>
    <row r="167" spans="1:28" x14ac:dyDescent="0.25">
      <c r="A167" s="1">
        <v>45456</v>
      </c>
      <c r="B167">
        <v>5278</v>
      </c>
      <c r="C167">
        <v>5124</v>
      </c>
      <c r="D167">
        <v>40.11</v>
      </c>
      <c r="E167">
        <v>35.47</v>
      </c>
      <c r="F167">
        <v>5029</v>
      </c>
      <c r="G167">
        <v>39.36</v>
      </c>
      <c r="H167">
        <v>33.520000000000003</v>
      </c>
      <c r="I167">
        <v>4356</v>
      </c>
      <c r="J167">
        <v>663.57</v>
      </c>
      <c r="K167">
        <v>50.23</v>
      </c>
      <c r="L167">
        <v>26.05</v>
      </c>
      <c r="M167">
        <v>4406</v>
      </c>
      <c r="N167">
        <v>5.59</v>
      </c>
      <c r="O167">
        <v>4.58</v>
      </c>
      <c r="P167">
        <v>59.86</v>
      </c>
      <c r="Q167">
        <f>Tabla1[[#This Row],[entrada_litros]]*Tabla1[[#This Row],[entrada_grasa_g_l]]/1000</f>
        <v>205.52363999999997</v>
      </c>
      <c r="R167">
        <f>Tabla1[[#This Row],[entrada_prot_g_l]]*Tabla1[[#This Row],[entrada_litros]]/1000</f>
        <v>181.74827999999999</v>
      </c>
      <c r="S167">
        <f>Tabla1[[#This Row],[cuba_fab_litros]]*Tabla1[[#This Row],[cuba_fab_grasa_g_l]]/1000</f>
        <v>197.94144</v>
      </c>
      <c r="T167">
        <f>Tabla1[[#This Row],[cuba_fab_litros]]*Tabla1[[#This Row],[cuba_fab_prot_g_l]]/1000</f>
        <v>168.57208000000003</v>
      </c>
      <c r="U167">
        <f>Tabla1[[#This Row],[queso_kg]]*Tabla1[[#This Row],[queso_est_pct]]/100</f>
        <v>333.31121100000001</v>
      </c>
      <c r="V167">
        <f>Tabla1[[#This Row],[queso_kg]]*Tabla1[[#This Row],[queso_mg_pct]]/100</f>
        <v>172.85998500000002</v>
      </c>
      <c r="W167">
        <f>Tabla1[[#This Row],[queso_est_kg]]-Tabla1[[#This Row],[queso_mg_kg]]</f>
        <v>160.45122599999999</v>
      </c>
      <c r="X167">
        <f>_xlfn.ISOWEEKNUM(Tabla1[[#This Row],[fecha]])</f>
        <v>24</v>
      </c>
      <c r="Y167">
        <v>24</v>
      </c>
      <c r="Z167" s="7">
        <f>Tabla1[[#This Row],[suero_litros]]*Tabla1[[#This Row],[suero_grasa_g_l]]/1000</f>
        <v>24.629540000000002</v>
      </c>
      <c r="AA167" s="7">
        <f>Tabla1[[#This Row],[suero_litros]]*Tabla1[[#This Row],[suero_prot_g_l]]/1000</f>
        <v>20.179479999999998</v>
      </c>
      <c r="AB167" s="7">
        <f>Tabla1[[#This Row],[suero_est_g_l]]*Tabla1[[#This Row],[suero_litros]]/1000</f>
        <v>263.74315999999999</v>
      </c>
    </row>
    <row r="168" spans="1:28" x14ac:dyDescent="0.25">
      <c r="A168" s="1">
        <v>45457</v>
      </c>
      <c r="B168">
        <v>0</v>
      </c>
      <c r="C168">
        <v>0</v>
      </c>
      <c r="D168">
        <v>0</v>
      </c>
      <c r="E168">
        <v>0</v>
      </c>
      <c r="F168">
        <v>4375</v>
      </c>
      <c r="G168">
        <v>39.31</v>
      </c>
      <c r="H168">
        <v>33.89</v>
      </c>
      <c r="I168">
        <v>0</v>
      </c>
      <c r="J168">
        <v>530.26</v>
      </c>
      <c r="K168">
        <v>51.7</v>
      </c>
      <c r="L168">
        <v>25.97</v>
      </c>
      <c r="M168">
        <v>3879</v>
      </c>
      <c r="N168">
        <v>8.58</v>
      </c>
      <c r="O168">
        <v>5.88</v>
      </c>
      <c r="P168">
        <v>65.349999999999994</v>
      </c>
      <c r="Q168">
        <f>Tabla1[[#This Row],[entrada_litros]]*Tabla1[[#This Row],[entrada_grasa_g_l]]/1000</f>
        <v>0</v>
      </c>
      <c r="R168">
        <f>Tabla1[[#This Row],[entrada_prot_g_l]]*Tabla1[[#This Row],[entrada_litros]]/1000</f>
        <v>0</v>
      </c>
      <c r="S168">
        <f>Tabla1[[#This Row],[cuba_fab_litros]]*Tabla1[[#This Row],[cuba_fab_grasa_g_l]]/1000</f>
        <v>171.98124999999999</v>
      </c>
      <c r="T168">
        <f>Tabla1[[#This Row],[cuba_fab_litros]]*Tabla1[[#This Row],[cuba_fab_prot_g_l]]/1000</f>
        <v>148.26875000000001</v>
      </c>
      <c r="U168">
        <f>Tabla1[[#This Row],[queso_kg]]*Tabla1[[#This Row],[queso_est_pct]]/100</f>
        <v>274.14442000000003</v>
      </c>
      <c r="V168">
        <f>Tabla1[[#This Row],[queso_kg]]*Tabla1[[#This Row],[queso_mg_pct]]/100</f>
        <v>137.70852199999999</v>
      </c>
      <c r="W168">
        <f>Tabla1[[#This Row],[queso_est_kg]]-Tabla1[[#This Row],[queso_mg_kg]]</f>
        <v>136.43589800000004</v>
      </c>
      <c r="X168">
        <f>_xlfn.ISOWEEKNUM(Tabla1[[#This Row],[fecha]])</f>
        <v>24</v>
      </c>
      <c r="Y168">
        <v>24</v>
      </c>
      <c r="Z168" s="7">
        <f>Tabla1[[#This Row],[suero_litros]]*Tabla1[[#This Row],[suero_grasa_g_l]]/1000</f>
        <v>33.281819999999996</v>
      </c>
      <c r="AA168" s="7">
        <f>Tabla1[[#This Row],[suero_litros]]*Tabla1[[#This Row],[suero_prot_g_l]]/1000</f>
        <v>22.808520000000001</v>
      </c>
      <c r="AB168" s="7">
        <f>Tabla1[[#This Row],[suero_est_g_l]]*Tabla1[[#This Row],[suero_litros]]/1000</f>
        <v>253.49264999999997</v>
      </c>
    </row>
    <row r="169" spans="1:28" x14ac:dyDescent="0.25">
      <c r="A169" s="1">
        <v>45458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f>Tabla1[[#This Row],[entrada_litros]]*Tabla1[[#This Row],[entrada_grasa_g_l]]/1000</f>
        <v>0</v>
      </c>
      <c r="R169">
        <f>Tabla1[[#This Row],[entrada_prot_g_l]]*Tabla1[[#This Row],[entrada_litros]]/1000</f>
        <v>0</v>
      </c>
      <c r="S169">
        <f>Tabla1[[#This Row],[cuba_fab_litros]]*Tabla1[[#This Row],[cuba_fab_grasa_g_l]]/1000</f>
        <v>0</v>
      </c>
      <c r="T169">
        <f>Tabla1[[#This Row],[cuba_fab_litros]]*Tabla1[[#This Row],[cuba_fab_prot_g_l]]/1000</f>
        <v>0</v>
      </c>
      <c r="U169">
        <f>Tabla1[[#This Row],[queso_kg]]*Tabla1[[#This Row],[queso_est_pct]]/100</f>
        <v>0</v>
      </c>
      <c r="V169">
        <f>Tabla1[[#This Row],[queso_kg]]*Tabla1[[#This Row],[queso_mg_pct]]/100</f>
        <v>0</v>
      </c>
      <c r="W169">
        <f>Tabla1[[#This Row],[queso_est_kg]]-Tabla1[[#This Row],[queso_mg_kg]]</f>
        <v>0</v>
      </c>
      <c r="X169">
        <f>_xlfn.ISOWEEKNUM(Tabla1[[#This Row],[fecha]])</f>
        <v>24</v>
      </c>
      <c r="Y169">
        <v>24</v>
      </c>
      <c r="Z169" s="7">
        <f>Tabla1[[#This Row],[suero_litros]]*Tabla1[[#This Row],[suero_grasa_g_l]]/1000</f>
        <v>0</v>
      </c>
      <c r="AA169" s="7">
        <f>Tabla1[[#This Row],[suero_litros]]*Tabla1[[#This Row],[suero_prot_g_l]]/1000</f>
        <v>0</v>
      </c>
      <c r="AB169" s="7">
        <f>Tabla1[[#This Row],[suero_est_g_l]]*Tabla1[[#This Row],[suero_litros]]/1000</f>
        <v>0</v>
      </c>
    </row>
    <row r="170" spans="1:28" x14ac:dyDescent="0.25">
      <c r="A170" s="1">
        <v>45459</v>
      </c>
      <c r="B170">
        <v>5224</v>
      </c>
      <c r="C170">
        <v>5072</v>
      </c>
      <c r="D170">
        <v>42.71</v>
      </c>
      <c r="E170">
        <v>34.72</v>
      </c>
      <c r="F170">
        <v>0</v>
      </c>
      <c r="G170">
        <v>0</v>
      </c>
      <c r="H170">
        <v>0</v>
      </c>
      <c r="I170">
        <v>5072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f>Tabla1[[#This Row],[entrada_litros]]*Tabla1[[#This Row],[entrada_grasa_g_l]]/1000</f>
        <v>216.62511999999998</v>
      </c>
      <c r="R170">
        <f>Tabla1[[#This Row],[entrada_prot_g_l]]*Tabla1[[#This Row],[entrada_litros]]/1000</f>
        <v>176.09984</v>
      </c>
      <c r="S170">
        <f>Tabla1[[#This Row],[cuba_fab_litros]]*Tabla1[[#This Row],[cuba_fab_grasa_g_l]]/1000</f>
        <v>0</v>
      </c>
      <c r="T170">
        <f>Tabla1[[#This Row],[cuba_fab_litros]]*Tabla1[[#This Row],[cuba_fab_prot_g_l]]/1000</f>
        <v>0</v>
      </c>
      <c r="U170">
        <f>Tabla1[[#This Row],[queso_kg]]*Tabla1[[#This Row],[queso_est_pct]]/100</f>
        <v>0</v>
      </c>
      <c r="V170">
        <f>Tabla1[[#This Row],[queso_kg]]*Tabla1[[#This Row],[queso_mg_pct]]/100</f>
        <v>0</v>
      </c>
      <c r="W170">
        <f>Tabla1[[#This Row],[queso_est_kg]]-Tabla1[[#This Row],[queso_mg_kg]]</f>
        <v>0</v>
      </c>
      <c r="X170">
        <f>_xlfn.ISOWEEKNUM(Tabla1[[#This Row],[fecha]])</f>
        <v>24</v>
      </c>
      <c r="Y170">
        <v>25</v>
      </c>
      <c r="Z170" s="7">
        <f>Tabla1[[#This Row],[suero_litros]]*Tabla1[[#This Row],[suero_grasa_g_l]]/1000</f>
        <v>0</v>
      </c>
      <c r="AA170" s="7">
        <f>Tabla1[[#This Row],[suero_litros]]*Tabla1[[#This Row],[suero_prot_g_l]]/1000</f>
        <v>0</v>
      </c>
      <c r="AB170" s="7">
        <f>Tabla1[[#This Row],[suero_est_g_l]]*Tabla1[[#This Row],[suero_litros]]/1000</f>
        <v>0</v>
      </c>
    </row>
    <row r="171" spans="1:28" x14ac:dyDescent="0.25">
      <c r="A171" s="1">
        <v>45460</v>
      </c>
      <c r="B171">
        <v>5430</v>
      </c>
      <c r="C171">
        <v>5272</v>
      </c>
      <c r="D171">
        <v>40.79</v>
      </c>
      <c r="E171">
        <v>34.74</v>
      </c>
      <c r="F171">
        <v>5022</v>
      </c>
      <c r="G171">
        <v>39.549999999999997</v>
      </c>
      <c r="H171">
        <v>33.04</v>
      </c>
      <c r="I171">
        <v>5344</v>
      </c>
      <c r="J171">
        <v>639.29999999999995</v>
      </c>
      <c r="K171">
        <v>50.85</v>
      </c>
      <c r="L171">
        <v>26.54</v>
      </c>
      <c r="M171">
        <v>4423</v>
      </c>
      <c r="N171">
        <v>6.36</v>
      </c>
      <c r="O171">
        <v>3.97</v>
      </c>
      <c r="P171">
        <v>61.54</v>
      </c>
      <c r="Q171">
        <f>Tabla1[[#This Row],[entrada_litros]]*Tabla1[[#This Row],[entrada_grasa_g_l]]/1000</f>
        <v>215.04488000000001</v>
      </c>
      <c r="R171">
        <f>Tabla1[[#This Row],[entrada_prot_g_l]]*Tabla1[[#This Row],[entrada_litros]]/1000</f>
        <v>183.14928</v>
      </c>
      <c r="S171">
        <f>Tabla1[[#This Row],[cuba_fab_litros]]*Tabla1[[#This Row],[cuba_fab_grasa_g_l]]/1000</f>
        <v>198.62009999999998</v>
      </c>
      <c r="T171">
        <f>Tabla1[[#This Row],[cuba_fab_litros]]*Tabla1[[#This Row],[cuba_fab_prot_g_l]]/1000</f>
        <v>165.92688000000001</v>
      </c>
      <c r="U171">
        <f>Tabla1[[#This Row],[queso_kg]]*Tabla1[[#This Row],[queso_est_pct]]/100</f>
        <v>325.08404999999999</v>
      </c>
      <c r="V171">
        <f>Tabla1[[#This Row],[queso_kg]]*Tabla1[[#This Row],[queso_mg_pct]]/100</f>
        <v>169.67021999999997</v>
      </c>
      <c r="W171">
        <f>Tabla1[[#This Row],[queso_est_kg]]-Tabla1[[#This Row],[queso_mg_kg]]</f>
        <v>155.41383000000002</v>
      </c>
      <c r="X171">
        <f>_xlfn.ISOWEEKNUM(Tabla1[[#This Row],[fecha]])</f>
        <v>25</v>
      </c>
      <c r="Y171">
        <v>25</v>
      </c>
      <c r="Z171" s="7">
        <f>Tabla1[[#This Row],[suero_litros]]*Tabla1[[#This Row],[suero_grasa_g_l]]/1000</f>
        <v>28.130280000000003</v>
      </c>
      <c r="AA171" s="7">
        <f>Tabla1[[#This Row],[suero_litros]]*Tabla1[[#This Row],[suero_prot_g_l]]/1000</f>
        <v>17.55931</v>
      </c>
      <c r="AB171" s="7">
        <f>Tabla1[[#This Row],[suero_est_g_l]]*Tabla1[[#This Row],[suero_litros]]/1000</f>
        <v>272.19141999999999</v>
      </c>
    </row>
    <row r="172" spans="1:28" x14ac:dyDescent="0.25">
      <c r="A172" s="1">
        <v>45461</v>
      </c>
      <c r="B172">
        <v>5083</v>
      </c>
      <c r="C172">
        <v>4935</v>
      </c>
      <c r="D172">
        <v>44.22</v>
      </c>
      <c r="E172">
        <v>33.65</v>
      </c>
      <c r="F172">
        <v>5017</v>
      </c>
      <c r="G172">
        <v>41.41</v>
      </c>
      <c r="H172">
        <v>32.869999999999997</v>
      </c>
      <c r="I172">
        <v>5279</v>
      </c>
      <c r="J172">
        <v>637.69000000000005</v>
      </c>
      <c r="K172">
        <v>51.83</v>
      </c>
      <c r="L172">
        <v>26.69</v>
      </c>
      <c r="M172">
        <v>4419</v>
      </c>
      <c r="N172">
        <v>8.35</v>
      </c>
      <c r="O172">
        <v>3.71</v>
      </c>
      <c r="P172">
        <v>62.62</v>
      </c>
      <c r="Q172">
        <f>Tabla1[[#This Row],[entrada_litros]]*Tabla1[[#This Row],[entrada_grasa_g_l]]/1000</f>
        <v>218.22569999999999</v>
      </c>
      <c r="R172">
        <f>Tabla1[[#This Row],[entrada_prot_g_l]]*Tabla1[[#This Row],[entrada_litros]]/1000</f>
        <v>166.06274999999999</v>
      </c>
      <c r="S172">
        <f>Tabla1[[#This Row],[cuba_fab_litros]]*Tabla1[[#This Row],[cuba_fab_grasa_g_l]]/1000</f>
        <v>207.75396999999998</v>
      </c>
      <c r="T172">
        <f>Tabla1[[#This Row],[cuba_fab_litros]]*Tabla1[[#This Row],[cuba_fab_prot_g_l]]/1000</f>
        <v>164.90878999999998</v>
      </c>
      <c r="U172">
        <f>Tabla1[[#This Row],[queso_kg]]*Tabla1[[#This Row],[queso_est_pct]]/100</f>
        <v>330.51472699999999</v>
      </c>
      <c r="V172">
        <f>Tabla1[[#This Row],[queso_kg]]*Tabla1[[#This Row],[queso_mg_pct]]/100</f>
        <v>170.19946100000001</v>
      </c>
      <c r="W172">
        <f>Tabla1[[#This Row],[queso_est_kg]]-Tabla1[[#This Row],[queso_mg_kg]]</f>
        <v>160.31526599999998</v>
      </c>
      <c r="X172">
        <f>_xlfn.ISOWEEKNUM(Tabla1[[#This Row],[fecha]])</f>
        <v>25</v>
      </c>
      <c r="Y172">
        <v>25</v>
      </c>
      <c r="Z172" s="7">
        <f>Tabla1[[#This Row],[suero_litros]]*Tabla1[[#This Row],[suero_grasa_g_l]]/1000</f>
        <v>36.898650000000004</v>
      </c>
      <c r="AA172" s="7">
        <f>Tabla1[[#This Row],[suero_litros]]*Tabla1[[#This Row],[suero_prot_g_l]]/1000</f>
        <v>16.394490000000001</v>
      </c>
      <c r="AB172" s="7">
        <f>Tabla1[[#This Row],[suero_est_g_l]]*Tabla1[[#This Row],[suero_litros]]/1000</f>
        <v>276.71777999999995</v>
      </c>
    </row>
    <row r="173" spans="1:28" x14ac:dyDescent="0.25">
      <c r="A173" s="1">
        <v>45462</v>
      </c>
      <c r="B173">
        <v>5148</v>
      </c>
      <c r="C173">
        <v>4998</v>
      </c>
      <c r="D173">
        <v>43.84</v>
      </c>
      <c r="E173">
        <v>35.69</v>
      </c>
      <c r="F173">
        <v>5023</v>
      </c>
      <c r="G173">
        <v>41.66</v>
      </c>
      <c r="H173">
        <v>33.22</v>
      </c>
      <c r="I173">
        <v>5277</v>
      </c>
      <c r="J173">
        <v>596.61</v>
      </c>
      <c r="K173">
        <v>52.02</v>
      </c>
      <c r="L173">
        <v>26.77</v>
      </c>
      <c r="M173">
        <v>4465</v>
      </c>
      <c r="N173">
        <v>10.81</v>
      </c>
      <c r="O173">
        <v>6.6</v>
      </c>
      <c r="P173">
        <v>68.13</v>
      </c>
      <c r="Q173">
        <f>Tabla1[[#This Row],[entrada_litros]]*Tabla1[[#This Row],[entrada_grasa_g_l]]/1000</f>
        <v>219.11232000000001</v>
      </c>
      <c r="R173">
        <f>Tabla1[[#This Row],[entrada_prot_g_l]]*Tabla1[[#This Row],[entrada_litros]]/1000</f>
        <v>178.37861999999998</v>
      </c>
      <c r="S173">
        <f>Tabla1[[#This Row],[cuba_fab_litros]]*Tabla1[[#This Row],[cuba_fab_grasa_g_l]]/1000</f>
        <v>209.25817999999998</v>
      </c>
      <c r="T173">
        <f>Tabla1[[#This Row],[cuba_fab_litros]]*Tabla1[[#This Row],[cuba_fab_prot_g_l]]/1000</f>
        <v>166.86405999999999</v>
      </c>
      <c r="U173">
        <f>Tabla1[[#This Row],[queso_kg]]*Tabla1[[#This Row],[queso_est_pct]]/100</f>
        <v>310.35652200000004</v>
      </c>
      <c r="V173">
        <f>Tabla1[[#This Row],[queso_kg]]*Tabla1[[#This Row],[queso_mg_pct]]/100</f>
        <v>159.71249700000001</v>
      </c>
      <c r="W173">
        <f>Tabla1[[#This Row],[queso_est_kg]]-Tabla1[[#This Row],[queso_mg_kg]]</f>
        <v>150.64402500000003</v>
      </c>
      <c r="X173">
        <f>_xlfn.ISOWEEKNUM(Tabla1[[#This Row],[fecha]])</f>
        <v>25</v>
      </c>
      <c r="Y173">
        <v>25</v>
      </c>
      <c r="Z173" s="7">
        <f>Tabla1[[#This Row],[suero_litros]]*Tabla1[[#This Row],[suero_grasa_g_l]]/1000</f>
        <v>48.266649999999998</v>
      </c>
      <c r="AA173" s="7">
        <f>Tabla1[[#This Row],[suero_litros]]*Tabla1[[#This Row],[suero_prot_g_l]]/1000</f>
        <v>29.469000000000001</v>
      </c>
      <c r="AB173" s="7">
        <f>Tabla1[[#This Row],[suero_est_g_l]]*Tabla1[[#This Row],[suero_litros]]/1000</f>
        <v>304.20044999999993</v>
      </c>
    </row>
    <row r="174" spans="1:28" x14ac:dyDescent="0.25">
      <c r="A174" s="1">
        <v>45463</v>
      </c>
      <c r="B174">
        <v>5271</v>
      </c>
      <c r="C174">
        <v>5117</v>
      </c>
      <c r="D174">
        <v>42.98</v>
      </c>
      <c r="E174">
        <v>35.68</v>
      </c>
      <c r="F174">
        <v>5023</v>
      </c>
      <c r="G174">
        <v>41.43</v>
      </c>
      <c r="H174">
        <v>33.82</v>
      </c>
      <c r="I174">
        <v>5394</v>
      </c>
      <c r="J174">
        <v>647.13</v>
      </c>
      <c r="K174">
        <v>50.65</v>
      </c>
      <c r="L174">
        <v>25.45</v>
      </c>
      <c r="M174">
        <v>4416</v>
      </c>
      <c r="N174">
        <v>9.6</v>
      </c>
      <c r="O174">
        <v>3.61</v>
      </c>
      <c r="P174">
        <v>64.39</v>
      </c>
      <c r="Q174">
        <f>Tabla1[[#This Row],[entrada_litros]]*Tabla1[[#This Row],[entrada_grasa_g_l]]/1000</f>
        <v>219.92865999999998</v>
      </c>
      <c r="R174">
        <f>Tabla1[[#This Row],[entrada_prot_g_l]]*Tabla1[[#This Row],[entrada_litros]]/1000</f>
        <v>182.57455999999999</v>
      </c>
      <c r="S174">
        <f>Tabla1[[#This Row],[cuba_fab_litros]]*Tabla1[[#This Row],[cuba_fab_grasa_g_l]]/1000</f>
        <v>208.10288999999997</v>
      </c>
      <c r="T174">
        <f>Tabla1[[#This Row],[cuba_fab_litros]]*Tabla1[[#This Row],[cuba_fab_prot_g_l]]/1000</f>
        <v>169.87786000000003</v>
      </c>
      <c r="U174">
        <f>Tabla1[[#This Row],[queso_kg]]*Tabla1[[#This Row],[queso_est_pct]]/100</f>
        <v>327.771345</v>
      </c>
      <c r="V174">
        <f>Tabla1[[#This Row],[queso_kg]]*Tabla1[[#This Row],[queso_mg_pct]]/100</f>
        <v>164.69458500000002</v>
      </c>
      <c r="W174">
        <f>Tabla1[[#This Row],[queso_est_kg]]-Tabla1[[#This Row],[queso_mg_kg]]</f>
        <v>163.07675999999998</v>
      </c>
      <c r="X174">
        <f>_xlfn.ISOWEEKNUM(Tabla1[[#This Row],[fecha]])</f>
        <v>25</v>
      </c>
      <c r="Y174">
        <v>25</v>
      </c>
      <c r="Z174" s="7">
        <f>Tabla1[[#This Row],[suero_litros]]*Tabla1[[#This Row],[suero_grasa_g_l]]/1000</f>
        <v>42.393599999999999</v>
      </c>
      <c r="AA174" s="7">
        <f>Tabla1[[#This Row],[suero_litros]]*Tabla1[[#This Row],[suero_prot_g_l]]/1000</f>
        <v>15.94176</v>
      </c>
      <c r="AB174" s="7">
        <f>Tabla1[[#This Row],[suero_est_g_l]]*Tabla1[[#This Row],[suero_litros]]/1000</f>
        <v>284.34623999999997</v>
      </c>
    </row>
    <row r="175" spans="1:28" x14ac:dyDescent="0.25">
      <c r="A175" s="1">
        <v>45464</v>
      </c>
      <c r="B175">
        <v>0</v>
      </c>
      <c r="C175">
        <v>0</v>
      </c>
      <c r="D175">
        <v>0</v>
      </c>
      <c r="E175">
        <v>0</v>
      </c>
      <c r="F175">
        <v>5429</v>
      </c>
      <c r="G175">
        <v>41.24</v>
      </c>
      <c r="H175">
        <v>33.64</v>
      </c>
      <c r="I175">
        <v>0</v>
      </c>
      <c r="J175">
        <v>742.63</v>
      </c>
      <c r="K175">
        <v>50.78</v>
      </c>
      <c r="L175">
        <v>27</v>
      </c>
      <c r="M175">
        <v>4731</v>
      </c>
      <c r="N175">
        <v>4.8499999999999996</v>
      </c>
      <c r="O175">
        <v>3.18</v>
      </c>
      <c r="P175">
        <v>58.88</v>
      </c>
      <c r="Q175">
        <f>Tabla1[[#This Row],[entrada_litros]]*Tabla1[[#This Row],[entrada_grasa_g_l]]/1000</f>
        <v>0</v>
      </c>
      <c r="R175">
        <f>Tabla1[[#This Row],[entrada_prot_g_l]]*Tabla1[[#This Row],[entrada_litros]]/1000</f>
        <v>0</v>
      </c>
      <c r="S175">
        <f>Tabla1[[#This Row],[cuba_fab_litros]]*Tabla1[[#This Row],[cuba_fab_grasa_g_l]]/1000</f>
        <v>223.89196000000001</v>
      </c>
      <c r="T175">
        <f>Tabla1[[#This Row],[cuba_fab_litros]]*Tabla1[[#This Row],[cuba_fab_prot_g_l]]/1000</f>
        <v>182.63156000000001</v>
      </c>
      <c r="U175">
        <f>Tabla1[[#This Row],[queso_kg]]*Tabla1[[#This Row],[queso_est_pct]]/100</f>
        <v>377.10751400000004</v>
      </c>
      <c r="V175">
        <f>Tabla1[[#This Row],[queso_kg]]*Tabla1[[#This Row],[queso_mg_pct]]/100</f>
        <v>200.51009999999999</v>
      </c>
      <c r="W175">
        <f>Tabla1[[#This Row],[queso_est_kg]]-Tabla1[[#This Row],[queso_mg_kg]]</f>
        <v>176.59741400000004</v>
      </c>
      <c r="X175">
        <f>_xlfn.ISOWEEKNUM(Tabla1[[#This Row],[fecha]])</f>
        <v>25</v>
      </c>
      <c r="Y175">
        <v>25</v>
      </c>
      <c r="Z175" s="7">
        <f>Tabla1[[#This Row],[suero_litros]]*Tabla1[[#This Row],[suero_grasa_g_l]]/1000</f>
        <v>22.945349999999998</v>
      </c>
      <c r="AA175" s="7">
        <f>Tabla1[[#This Row],[suero_litros]]*Tabla1[[#This Row],[suero_prot_g_l]]/1000</f>
        <v>15.04458</v>
      </c>
      <c r="AB175" s="7">
        <f>Tabla1[[#This Row],[suero_est_g_l]]*Tabla1[[#This Row],[suero_litros]]/1000</f>
        <v>278.56128000000001</v>
      </c>
    </row>
    <row r="176" spans="1:28" x14ac:dyDescent="0.25">
      <c r="A176" s="1">
        <v>45465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f>Tabla1[[#This Row],[entrada_litros]]*Tabla1[[#This Row],[entrada_grasa_g_l]]/1000</f>
        <v>0</v>
      </c>
      <c r="R176">
        <f>Tabla1[[#This Row],[entrada_prot_g_l]]*Tabla1[[#This Row],[entrada_litros]]/1000</f>
        <v>0</v>
      </c>
      <c r="S176">
        <f>Tabla1[[#This Row],[cuba_fab_litros]]*Tabla1[[#This Row],[cuba_fab_grasa_g_l]]/1000</f>
        <v>0</v>
      </c>
      <c r="T176">
        <f>Tabla1[[#This Row],[cuba_fab_litros]]*Tabla1[[#This Row],[cuba_fab_prot_g_l]]/1000</f>
        <v>0</v>
      </c>
      <c r="U176">
        <f>Tabla1[[#This Row],[queso_kg]]*Tabla1[[#This Row],[queso_est_pct]]/100</f>
        <v>0</v>
      </c>
      <c r="V176">
        <f>Tabla1[[#This Row],[queso_kg]]*Tabla1[[#This Row],[queso_mg_pct]]/100</f>
        <v>0</v>
      </c>
      <c r="W176">
        <f>Tabla1[[#This Row],[queso_est_kg]]-Tabla1[[#This Row],[queso_mg_kg]]</f>
        <v>0</v>
      </c>
      <c r="X176">
        <f>_xlfn.ISOWEEKNUM(Tabla1[[#This Row],[fecha]])</f>
        <v>25</v>
      </c>
      <c r="Y176">
        <v>25</v>
      </c>
      <c r="Z176" s="7">
        <f>Tabla1[[#This Row],[suero_litros]]*Tabla1[[#This Row],[suero_grasa_g_l]]/1000</f>
        <v>0</v>
      </c>
      <c r="AA176" s="7">
        <f>Tabla1[[#This Row],[suero_litros]]*Tabla1[[#This Row],[suero_prot_g_l]]/1000</f>
        <v>0</v>
      </c>
      <c r="AB176" s="7">
        <f>Tabla1[[#This Row],[suero_est_g_l]]*Tabla1[[#This Row],[suero_litros]]/1000</f>
        <v>0</v>
      </c>
    </row>
    <row r="177" spans="1:28" x14ac:dyDescent="0.25">
      <c r="A177" s="1">
        <v>45466</v>
      </c>
      <c r="B177">
        <v>5088</v>
      </c>
      <c r="C177">
        <v>4940</v>
      </c>
      <c r="D177">
        <v>40.31</v>
      </c>
      <c r="E177">
        <v>35.56</v>
      </c>
      <c r="F177">
        <v>0</v>
      </c>
      <c r="G177">
        <v>0</v>
      </c>
      <c r="H177">
        <v>0</v>
      </c>
      <c r="I177">
        <v>4940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f>Tabla1[[#This Row],[entrada_litros]]*Tabla1[[#This Row],[entrada_grasa_g_l]]/1000</f>
        <v>199.13140000000001</v>
      </c>
      <c r="R177">
        <f>Tabla1[[#This Row],[entrada_prot_g_l]]*Tabla1[[#This Row],[entrada_litros]]/1000</f>
        <v>175.66640000000001</v>
      </c>
      <c r="S177">
        <f>Tabla1[[#This Row],[cuba_fab_litros]]*Tabla1[[#This Row],[cuba_fab_grasa_g_l]]/1000</f>
        <v>0</v>
      </c>
      <c r="T177">
        <f>Tabla1[[#This Row],[cuba_fab_litros]]*Tabla1[[#This Row],[cuba_fab_prot_g_l]]/1000</f>
        <v>0</v>
      </c>
      <c r="U177">
        <f>Tabla1[[#This Row],[queso_kg]]*Tabla1[[#This Row],[queso_est_pct]]/100</f>
        <v>0</v>
      </c>
      <c r="V177">
        <f>Tabla1[[#This Row],[queso_kg]]*Tabla1[[#This Row],[queso_mg_pct]]/100</f>
        <v>0</v>
      </c>
      <c r="W177">
        <f>Tabla1[[#This Row],[queso_est_kg]]-Tabla1[[#This Row],[queso_mg_kg]]</f>
        <v>0</v>
      </c>
      <c r="X177">
        <f>_xlfn.ISOWEEKNUM(Tabla1[[#This Row],[fecha]])</f>
        <v>25</v>
      </c>
      <c r="Y177">
        <v>26</v>
      </c>
      <c r="Z177" s="7">
        <f>Tabla1[[#This Row],[suero_litros]]*Tabla1[[#This Row],[suero_grasa_g_l]]/1000</f>
        <v>0</v>
      </c>
      <c r="AA177" s="7">
        <f>Tabla1[[#This Row],[suero_litros]]*Tabla1[[#This Row],[suero_prot_g_l]]/1000</f>
        <v>0</v>
      </c>
      <c r="AB177" s="7">
        <f>Tabla1[[#This Row],[suero_est_g_l]]*Tabla1[[#This Row],[suero_litros]]/1000</f>
        <v>0</v>
      </c>
    </row>
    <row r="178" spans="1:28" x14ac:dyDescent="0.25">
      <c r="A178" s="1">
        <v>45467</v>
      </c>
      <c r="B178">
        <v>5152</v>
      </c>
      <c r="C178">
        <v>5002</v>
      </c>
      <c r="D178">
        <v>40.49</v>
      </c>
      <c r="E178">
        <v>35.61</v>
      </c>
      <c r="F178">
        <v>5022</v>
      </c>
      <c r="G178">
        <v>38.47</v>
      </c>
      <c r="H178">
        <v>34.04</v>
      </c>
      <c r="I178">
        <v>4942</v>
      </c>
      <c r="J178">
        <v>627.55999999999995</v>
      </c>
      <c r="K178">
        <v>51.81</v>
      </c>
      <c r="L178">
        <v>26.79</v>
      </c>
      <c r="M178">
        <v>4434</v>
      </c>
      <c r="N178">
        <v>5.55</v>
      </c>
      <c r="O178">
        <v>6.61</v>
      </c>
      <c r="P178">
        <v>63.78</v>
      </c>
      <c r="Q178">
        <f>Tabla1[[#This Row],[entrada_litros]]*Tabla1[[#This Row],[entrada_grasa_g_l]]/1000</f>
        <v>202.53098</v>
      </c>
      <c r="R178">
        <f>Tabla1[[#This Row],[entrada_prot_g_l]]*Tabla1[[#This Row],[entrada_litros]]/1000</f>
        <v>178.12121999999999</v>
      </c>
      <c r="S178">
        <f>Tabla1[[#This Row],[cuba_fab_litros]]*Tabla1[[#This Row],[cuba_fab_grasa_g_l]]/1000</f>
        <v>193.19633999999999</v>
      </c>
      <c r="T178">
        <f>Tabla1[[#This Row],[cuba_fab_litros]]*Tabla1[[#This Row],[cuba_fab_prot_g_l]]/1000</f>
        <v>170.94888</v>
      </c>
      <c r="U178">
        <f>Tabla1[[#This Row],[queso_kg]]*Tabla1[[#This Row],[queso_est_pct]]/100</f>
        <v>325.13883599999997</v>
      </c>
      <c r="V178">
        <f>Tabla1[[#This Row],[queso_kg]]*Tabla1[[#This Row],[queso_mg_pct]]/100</f>
        <v>168.123324</v>
      </c>
      <c r="W178">
        <f>Tabla1[[#This Row],[queso_est_kg]]-Tabla1[[#This Row],[queso_mg_kg]]</f>
        <v>157.01551199999997</v>
      </c>
      <c r="X178">
        <f>_xlfn.ISOWEEKNUM(Tabla1[[#This Row],[fecha]])</f>
        <v>26</v>
      </c>
      <c r="Y178">
        <v>26</v>
      </c>
      <c r="Z178" s="7">
        <f>Tabla1[[#This Row],[suero_litros]]*Tabla1[[#This Row],[suero_grasa_g_l]]/1000</f>
        <v>24.608700000000002</v>
      </c>
      <c r="AA178" s="7">
        <f>Tabla1[[#This Row],[suero_litros]]*Tabla1[[#This Row],[suero_prot_g_l]]/1000</f>
        <v>29.30874</v>
      </c>
      <c r="AB178" s="7">
        <f>Tabla1[[#This Row],[suero_est_g_l]]*Tabla1[[#This Row],[suero_litros]]/1000</f>
        <v>282.80052000000001</v>
      </c>
    </row>
    <row r="179" spans="1:28" x14ac:dyDescent="0.25">
      <c r="A179" s="1">
        <v>45468</v>
      </c>
      <c r="B179">
        <v>5020</v>
      </c>
      <c r="C179">
        <v>4874</v>
      </c>
      <c r="D179">
        <v>41.56</v>
      </c>
      <c r="E179">
        <v>34.64</v>
      </c>
      <c r="F179">
        <v>5033</v>
      </c>
      <c r="G179">
        <v>38.86</v>
      </c>
      <c r="H179">
        <v>33.31</v>
      </c>
      <c r="I179">
        <v>4816</v>
      </c>
      <c r="J179">
        <v>677.35</v>
      </c>
      <c r="K179">
        <v>51.45</v>
      </c>
      <c r="L179">
        <v>26.96</v>
      </c>
      <c r="M179">
        <v>4397</v>
      </c>
      <c r="N179">
        <v>2.9</v>
      </c>
      <c r="O179">
        <v>0.77</v>
      </c>
      <c r="P179">
        <v>54.36</v>
      </c>
      <c r="Q179">
        <f>Tabla1[[#This Row],[entrada_litros]]*Tabla1[[#This Row],[entrada_grasa_g_l]]/1000</f>
        <v>202.56344000000001</v>
      </c>
      <c r="R179">
        <f>Tabla1[[#This Row],[entrada_prot_g_l]]*Tabla1[[#This Row],[entrada_litros]]/1000</f>
        <v>168.83536000000001</v>
      </c>
      <c r="S179">
        <f>Tabla1[[#This Row],[cuba_fab_litros]]*Tabla1[[#This Row],[cuba_fab_grasa_g_l]]/1000</f>
        <v>195.58238</v>
      </c>
      <c r="T179">
        <f>Tabla1[[#This Row],[cuba_fab_litros]]*Tabla1[[#This Row],[cuba_fab_prot_g_l]]/1000</f>
        <v>167.64923000000002</v>
      </c>
      <c r="U179">
        <f>Tabla1[[#This Row],[queso_kg]]*Tabla1[[#This Row],[queso_est_pct]]/100</f>
        <v>348.49657500000001</v>
      </c>
      <c r="V179">
        <f>Tabla1[[#This Row],[queso_kg]]*Tabla1[[#This Row],[queso_mg_pct]]/100</f>
        <v>182.61356000000001</v>
      </c>
      <c r="W179">
        <f>Tabla1[[#This Row],[queso_est_kg]]-Tabla1[[#This Row],[queso_mg_kg]]</f>
        <v>165.883015</v>
      </c>
      <c r="X179">
        <f>_xlfn.ISOWEEKNUM(Tabla1[[#This Row],[fecha]])</f>
        <v>26</v>
      </c>
      <c r="Y179">
        <v>26</v>
      </c>
      <c r="Z179" s="7">
        <f>Tabla1[[#This Row],[suero_litros]]*Tabla1[[#This Row],[suero_grasa_g_l]]/1000</f>
        <v>12.751299999999999</v>
      </c>
      <c r="AA179" s="7">
        <f>Tabla1[[#This Row],[suero_litros]]*Tabla1[[#This Row],[suero_prot_g_l]]/1000</f>
        <v>3.3856899999999999</v>
      </c>
      <c r="AB179" s="7">
        <f>Tabla1[[#This Row],[suero_est_g_l]]*Tabla1[[#This Row],[suero_litros]]/1000</f>
        <v>239.02091999999999</v>
      </c>
    </row>
    <row r="180" spans="1:28" x14ac:dyDescent="0.25">
      <c r="A180" s="1">
        <v>45469</v>
      </c>
      <c r="B180">
        <v>5055</v>
      </c>
      <c r="C180">
        <v>4908</v>
      </c>
      <c r="D180">
        <v>44.54</v>
      </c>
      <c r="E180">
        <v>34.299999999999997</v>
      </c>
      <c r="F180">
        <v>5018</v>
      </c>
      <c r="G180">
        <v>40.5</v>
      </c>
      <c r="H180">
        <v>33.51</v>
      </c>
      <c r="I180">
        <v>4724</v>
      </c>
      <c r="J180">
        <v>645.61</v>
      </c>
      <c r="K180">
        <v>53.67</v>
      </c>
      <c r="L180">
        <v>27.82</v>
      </c>
      <c r="M180">
        <v>4413</v>
      </c>
      <c r="N180">
        <v>5.25</v>
      </c>
      <c r="O180">
        <v>3.45</v>
      </c>
      <c r="P180">
        <v>60.7</v>
      </c>
      <c r="Q180">
        <f>Tabla1[[#This Row],[entrada_litros]]*Tabla1[[#This Row],[entrada_grasa_g_l]]/1000</f>
        <v>218.60232000000002</v>
      </c>
      <c r="R180">
        <f>Tabla1[[#This Row],[entrada_prot_g_l]]*Tabla1[[#This Row],[entrada_litros]]/1000</f>
        <v>168.34440000000001</v>
      </c>
      <c r="S180">
        <f>Tabla1[[#This Row],[cuba_fab_litros]]*Tabla1[[#This Row],[cuba_fab_grasa_g_l]]/1000</f>
        <v>203.22900000000001</v>
      </c>
      <c r="T180">
        <f>Tabla1[[#This Row],[cuba_fab_litros]]*Tabla1[[#This Row],[cuba_fab_prot_g_l]]/1000</f>
        <v>168.15317999999999</v>
      </c>
      <c r="U180">
        <f>Tabla1[[#This Row],[queso_kg]]*Tabla1[[#This Row],[queso_est_pct]]/100</f>
        <v>346.49888700000002</v>
      </c>
      <c r="V180">
        <f>Tabla1[[#This Row],[queso_kg]]*Tabla1[[#This Row],[queso_mg_pct]]/100</f>
        <v>179.60870200000002</v>
      </c>
      <c r="W180">
        <f>Tabla1[[#This Row],[queso_est_kg]]-Tabla1[[#This Row],[queso_mg_kg]]</f>
        <v>166.890185</v>
      </c>
      <c r="X180">
        <f>_xlfn.ISOWEEKNUM(Tabla1[[#This Row],[fecha]])</f>
        <v>26</v>
      </c>
      <c r="Y180">
        <v>26</v>
      </c>
      <c r="Z180" s="7">
        <f>Tabla1[[#This Row],[suero_litros]]*Tabla1[[#This Row],[suero_grasa_g_l]]/1000</f>
        <v>23.16825</v>
      </c>
      <c r="AA180" s="7">
        <f>Tabla1[[#This Row],[suero_litros]]*Tabla1[[#This Row],[suero_prot_g_l]]/1000</f>
        <v>15.22485</v>
      </c>
      <c r="AB180" s="7">
        <f>Tabla1[[#This Row],[suero_est_g_l]]*Tabla1[[#This Row],[suero_litros]]/1000</f>
        <v>267.86910000000006</v>
      </c>
    </row>
    <row r="181" spans="1:28" x14ac:dyDescent="0.25">
      <c r="A181" s="1">
        <v>45470</v>
      </c>
      <c r="B181">
        <v>5283</v>
      </c>
      <c r="C181">
        <v>5129</v>
      </c>
      <c r="D181">
        <v>44.12</v>
      </c>
      <c r="E181">
        <v>36.549999999999997</v>
      </c>
      <c r="F181">
        <v>5017</v>
      </c>
      <c r="G181">
        <v>41.45</v>
      </c>
      <c r="H181">
        <v>34.520000000000003</v>
      </c>
      <c r="I181">
        <v>4853</v>
      </c>
      <c r="J181">
        <v>641.17999999999995</v>
      </c>
      <c r="K181">
        <v>49.14</v>
      </c>
      <c r="L181">
        <v>26</v>
      </c>
      <c r="M181">
        <v>4416</v>
      </c>
      <c r="N181">
        <v>9.23</v>
      </c>
      <c r="O181">
        <v>5.33</v>
      </c>
      <c r="P181">
        <v>66.31</v>
      </c>
      <c r="Q181">
        <f>Tabla1[[#This Row],[entrada_litros]]*Tabla1[[#This Row],[entrada_grasa_g_l]]/1000</f>
        <v>226.29147999999998</v>
      </c>
      <c r="R181">
        <f>Tabla1[[#This Row],[entrada_prot_g_l]]*Tabla1[[#This Row],[entrada_litros]]/1000</f>
        <v>187.46494999999999</v>
      </c>
      <c r="S181">
        <f>Tabla1[[#This Row],[cuba_fab_litros]]*Tabla1[[#This Row],[cuba_fab_grasa_g_l]]/1000</f>
        <v>207.95465000000002</v>
      </c>
      <c r="T181">
        <f>Tabla1[[#This Row],[cuba_fab_litros]]*Tabla1[[#This Row],[cuba_fab_prot_g_l]]/1000</f>
        <v>173.18684000000002</v>
      </c>
      <c r="U181">
        <f>Tabla1[[#This Row],[queso_kg]]*Tabla1[[#This Row],[queso_est_pct]]/100</f>
        <v>315.075852</v>
      </c>
      <c r="V181">
        <f>Tabla1[[#This Row],[queso_kg]]*Tabla1[[#This Row],[queso_mg_pct]]/100</f>
        <v>166.70680000000002</v>
      </c>
      <c r="W181">
        <f>Tabla1[[#This Row],[queso_est_kg]]-Tabla1[[#This Row],[queso_mg_kg]]</f>
        <v>148.36905199999998</v>
      </c>
      <c r="X181">
        <f>_xlfn.ISOWEEKNUM(Tabla1[[#This Row],[fecha]])</f>
        <v>26</v>
      </c>
      <c r="Y181">
        <v>26</v>
      </c>
      <c r="Z181" s="7">
        <f>Tabla1[[#This Row],[suero_litros]]*Tabla1[[#This Row],[suero_grasa_g_l]]/1000</f>
        <v>40.759680000000003</v>
      </c>
      <c r="AA181" s="7">
        <f>Tabla1[[#This Row],[suero_litros]]*Tabla1[[#This Row],[suero_prot_g_l]]/1000</f>
        <v>23.537279999999999</v>
      </c>
      <c r="AB181" s="7">
        <f>Tabla1[[#This Row],[suero_est_g_l]]*Tabla1[[#This Row],[suero_litros]]/1000</f>
        <v>292.82496000000003</v>
      </c>
    </row>
    <row r="182" spans="1:28" x14ac:dyDescent="0.25">
      <c r="A182" s="1">
        <v>45471</v>
      </c>
      <c r="B182">
        <v>0</v>
      </c>
      <c r="C182">
        <v>0</v>
      </c>
      <c r="D182">
        <v>0</v>
      </c>
      <c r="E182">
        <v>0</v>
      </c>
      <c r="F182">
        <v>4872</v>
      </c>
      <c r="G182">
        <v>41.5</v>
      </c>
      <c r="H182">
        <v>34.130000000000003</v>
      </c>
      <c r="I182">
        <v>0</v>
      </c>
      <c r="J182">
        <v>561.42999999999995</v>
      </c>
      <c r="K182">
        <v>53.45</v>
      </c>
      <c r="L182">
        <v>27.44</v>
      </c>
      <c r="M182">
        <v>4348</v>
      </c>
      <c r="N182">
        <v>10.79</v>
      </c>
      <c r="O182">
        <v>9.18</v>
      </c>
      <c r="P182">
        <v>70.39</v>
      </c>
      <c r="Q182">
        <f>Tabla1[[#This Row],[entrada_litros]]*Tabla1[[#This Row],[entrada_grasa_g_l]]/1000</f>
        <v>0</v>
      </c>
      <c r="R182">
        <f>Tabla1[[#This Row],[entrada_prot_g_l]]*Tabla1[[#This Row],[entrada_litros]]/1000</f>
        <v>0</v>
      </c>
      <c r="S182">
        <f>Tabla1[[#This Row],[cuba_fab_litros]]*Tabla1[[#This Row],[cuba_fab_grasa_g_l]]/1000</f>
        <v>202.18799999999999</v>
      </c>
      <c r="T182">
        <f>Tabla1[[#This Row],[cuba_fab_litros]]*Tabla1[[#This Row],[cuba_fab_prot_g_l]]/1000</f>
        <v>166.28136000000001</v>
      </c>
      <c r="U182">
        <f>Tabla1[[#This Row],[queso_kg]]*Tabla1[[#This Row],[queso_est_pct]]/100</f>
        <v>300.08433500000001</v>
      </c>
      <c r="V182">
        <f>Tabla1[[#This Row],[queso_kg]]*Tabla1[[#This Row],[queso_mg_pct]]/100</f>
        <v>154.05639199999999</v>
      </c>
      <c r="W182">
        <f>Tabla1[[#This Row],[queso_est_kg]]-Tabla1[[#This Row],[queso_mg_kg]]</f>
        <v>146.02794300000002</v>
      </c>
      <c r="X182">
        <f>_xlfn.ISOWEEKNUM(Tabla1[[#This Row],[fecha]])</f>
        <v>26</v>
      </c>
      <c r="Y182">
        <v>26</v>
      </c>
      <c r="Z182" s="7">
        <f>Tabla1[[#This Row],[suero_litros]]*Tabla1[[#This Row],[suero_grasa_g_l]]/1000</f>
        <v>46.914919999999995</v>
      </c>
      <c r="AA182" s="7">
        <f>Tabla1[[#This Row],[suero_litros]]*Tabla1[[#This Row],[suero_prot_g_l]]/1000</f>
        <v>39.914639999999999</v>
      </c>
      <c r="AB182" s="7">
        <f>Tabla1[[#This Row],[suero_est_g_l]]*Tabla1[[#This Row],[suero_litros]]/1000</f>
        <v>306.05572000000001</v>
      </c>
    </row>
    <row r="183" spans="1:28" x14ac:dyDescent="0.25">
      <c r="A183" s="1">
        <v>45472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f>Tabla1[[#This Row],[entrada_litros]]*Tabla1[[#This Row],[entrada_grasa_g_l]]/1000</f>
        <v>0</v>
      </c>
      <c r="R183">
        <f>Tabla1[[#This Row],[entrada_prot_g_l]]*Tabla1[[#This Row],[entrada_litros]]/1000</f>
        <v>0</v>
      </c>
      <c r="S183">
        <f>Tabla1[[#This Row],[cuba_fab_litros]]*Tabla1[[#This Row],[cuba_fab_grasa_g_l]]/1000</f>
        <v>0</v>
      </c>
      <c r="T183">
        <f>Tabla1[[#This Row],[cuba_fab_litros]]*Tabla1[[#This Row],[cuba_fab_prot_g_l]]/1000</f>
        <v>0</v>
      </c>
      <c r="U183">
        <f>Tabla1[[#This Row],[queso_kg]]*Tabla1[[#This Row],[queso_est_pct]]/100</f>
        <v>0</v>
      </c>
      <c r="V183">
        <f>Tabla1[[#This Row],[queso_kg]]*Tabla1[[#This Row],[queso_mg_pct]]/100</f>
        <v>0</v>
      </c>
      <c r="W183">
        <f>Tabla1[[#This Row],[queso_est_kg]]-Tabla1[[#This Row],[queso_mg_kg]]</f>
        <v>0</v>
      </c>
      <c r="X183">
        <f>_xlfn.ISOWEEKNUM(Tabla1[[#This Row],[fecha]])</f>
        <v>26</v>
      </c>
      <c r="Y183">
        <v>26</v>
      </c>
      <c r="Z183" s="7">
        <f>Tabla1[[#This Row],[suero_litros]]*Tabla1[[#This Row],[suero_grasa_g_l]]/1000</f>
        <v>0</v>
      </c>
      <c r="AA183" s="7">
        <f>Tabla1[[#This Row],[suero_litros]]*Tabla1[[#This Row],[suero_prot_g_l]]/1000</f>
        <v>0</v>
      </c>
      <c r="AB183" s="7">
        <f>Tabla1[[#This Row],[suero_est_g_l]]*Tabla1[[#This Row],[suero_litros]]/1000</f>
        <v>0</v>
      </c>
    </row>
    <row r="184" spans="1:28" x14ac:dyDescent="0.25">
      <c r="A184" s="1">
        <v>45473</v>
      </c>
      <c r="B184">
        <v>4959</v>
      </c>
      <c r="C184">
        <v>4815</v>
      </c>
      <c r="D184">
        <v>39.92</v>
      </c>
      <c r="E184">
        <v>36.11</v>
      </c>
      <c r="F184">
        <v>0</v>
      </c>
      <c r="G184">
        <v>0</v>
      </c>
      <c r="H184">
        <v>0</v>
      </c>
      <c r="I184">
        <v>4815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f>Tabla1[[#This Row],[entrada_litros]]*Tabla1[[#This Row],[entrada_grasa_g_l]]/1000</f>
        <v>192.21480000000003</v>
      </c>
      <c r="R184">
        <f>Tabla1[[#This Row],[entrada_prot_g_l]]*Tabla1[[#This Row],[entrada_litros]]/1000</f>
        <v>173.86965000000001</v>
      </c>
      <c r="S184">
        <f>Tabla1[[#This Row],[cuba_fab_litros]]*Tabla1[[#This Row],[cuba_fab_grasa_g_l]]/1000</f>
        <v>0</v>
      </c>
      <c r="T184">
        <f>Tabla1[[#This Row],[cuba_fab_litros]]*Tabla1[[#This Row],[cuba_fab_prot_g_l]]/1000</f>
        <v>0</v>
      </c>
      <c r="U184">
        <f>Tabla1[[#This Row],[queso_kg]]*Tabla1[[#This Row],[queso_est_pct]]/100</f>
        <v>0</v>
      </c>
      <c r="V184">
        <f>Tabla1[[#This Row],[queso_kg]]*Tabla1[[#This Row],[queso_mg_pct]]/100</f>
        <v>0</v>
      </c>
      <c r="W184">
        <f>Tabla1[[#This Row],[queso_est_kg]]-Tabla1[[#This Row],[queso_mg_kg]]</f>
        <v>0</v>
      </c>
      <c r="X184">
        <f>_xlfn.ISOWEEKNUM(Tabla1[[#This Row],[fecha]])</f>
        <v>26</v>
      </c>
      <c r="Y184">
        <v>27</v>
      </c>
      <c r="Z184" s="7">
        <f>Tabla1[[#This Row],[suero_litros]]*Tabla1[[#This Row],[suero_grasa_g_l]]/1000</f>
        <v>0</v>
      </c>
      <c r="AA184" s="7">
        <f>Tabla1[[#This Row],[suero_litros]]*Tabla1[[#This Row],[suero_prot_g_l]]/1000</f>
        <v>0</v>
      </c>
      <c r="AB184" s="7">
        <f>Tabla1[[#This Row],[suero_est_g_l]]*Tabla1[[#This Row],[suero_litros]]/1000</f>
        <v>0</v>
      </c>
    </row>
    <row r="185" spans="1:28" x14ac:dyDescent="0.25">
      <c r="A185" s="1">
        <v>45474</v>
      </c>
      <c r="B185">
        <v>5165</v>
      </c>
      <c r="C185">
        <v>5015</v>
      </c>
      <c r="D185">
        <v>42.24</v>
      </c>
      <c r="E185">
        <v>33.43</v>
      </c>
      <c r="F185">
        <v>5019</v>
      </c>
      <c r="G185">
        <v>39.119999999999997</v>
      </c>
      <c r="H185">
        <v>32.99</v>
      </c>
      <c r="I185">
        <v>4830</v>
      </c>
      <c r="J185">
        <v>601.98</v>
      </c>
      <c r="K185">
        <v>50.48</v>
      </c>
      <c r="L185">
        <v>26.39</v>
      </c>
      <c r="M185">
        <v>4456</v>
      </c>
      <c r="N185">
        <v>8.19</v>
      </c>
      <c r="O185">
        <v>5.85</v>
      </c>
      <c r="P185">
        <v>66.150000000000006</v>
      </c>
      <c r="Q185">
        <f>Tabla1[[#This Row],[entrada_litros]]*Tabla1[[#This Row],[entrada_grasa_g_l]]/1000</f>
        <v>211.83360000000002</v>
      </c>
      <c r="R185">
        <f>Tabla1[[#This Row],[entrada_prot_g_l]]*Tabla1[[#This Row],[entrada_litros]]/1000</f>
        <v>167.65145000000001</v>
      </c>
      <c r="S185">
        <f>Tabla1[[#This Row],[cuba_fab_litros]]*Tabla1[[#This Row],[cuba_fab_grasa_g_l]]/1000</f>
        <v>196.34327999999999</v>
      </c>
      <c r="T185">
        <f>Tabla1[[#This Row],[cuba_fab_litros]]*Tabla1[[#This Row],[cuba_fab_prot_g_l]]/1000</f>
        <v>165.57680999999999</v>
      </c>
      <c r="U185">
        <f>Tabla1[[#This Row],[queso_kg]]*Tabla1[[#This Row],[queso_est_pct]]/100</f>
        <v>303.879504</v>
      </c>
      <c r="V185">
        <f>Tabla1[[#This Row],[queso_kg]]*Tabla1[[#This Row],[queso_mg_pct]]/100</f>
        <v>158.86252200000001</v>
      </c>
      <c r="W185">
        <f>Tabla1[[#This Row],[queso_est_kg]]-Tabla1[[#This Row],[queso_mg_kg]]</f>
        <v>145.01698199999998</v>
      </c>
      <c r="X185">
        <f>_xlfn.ISOWEEKNUM(Tabla1[[#This Row],[fecha]])</f>
        <v>27</v>
      </c>
      <c r="Y185">
        <v>27</v>
      </c>
      <c r="Z185" s="7">
        <f>Tabla1[[#This Row],[suero_litros]]*Tabla1[[#This Row],[suero_grasa_g_l]]/1000</f>
        <v>36.494639999999997</v>
      </c>
      <c r="AA185" s="7">
        <f>Tabla1[[#This Row],[suero_litros]]*Tabla1[[#This Row],[suero_prot_g_l]]/1000</f>
        <v>26.067599999999999</v>
      </c>
      <c r="AB185" s="7">
        <f>Tabla1[[#This Row],[suero_est_g_l]]*Tabla1[[#This Row],[suero_litros]]/1000</f>
        <v>294.76440000000002</v>
      </c>
    </row>
    <row r="186" spans="1:28" x14ac:dyDescent="0.25">
      <c r="A186" s="1">
        <v>45475</v>
      </c>
      <c r="B186">
        <v>5189</v>
      </c>
      <c r="C186">
        <v>5038</v>
      </c>
      <c r="D186">
        <v>42.12</v>
      </c>
      <c r="E186">
        <v>35.049999999999997</v>
      </c>
      <c r="F186">
        <v>5031</v>
      </c>
      <c r="G186">
        <v>39.6</v>
      </c>
      <c r="H186">
        <v>33.229999999999997</v>
      </c>
      <c r="I186">
        <v>4868</v>
      </c>
      <c r="J186">
        <v>592.08000000000004</v>
      </c>
      <c r="K186">
        <v>52.08</v>
      </c>
      <c r="L186">
        <v>26.86</v>
      </c>
      <c r="M186">
        <v>4478</v>
      </c>
      <c r="N186">
        <v>8.7899999999999991</v>
      </c>
      <c r="O186">
        <v>5.85</v>
      </c>
      <c r="P186">
        <v>65.22</v>
      </c>
      <c r="Q186">
        <f>Tabla1[[#This Row],[entrada_litros]]*Tabla1[[#This Row],[entrada_grasa_g_l]]/1000</f>
        <v>212.20056</v>
      </c>
      <c r="R186">
        <f>Tabla1[[#This Row],[entrada_prot_g_l]]*Tabla1[[#This Row],[entrada_litros]]/1000</f>
        <v>176.58189999999999</v>
      </c>
      <c r="S186">
        <f>Tabla1[[#This Row],[cuba_fab_litros]]*Tabla1[[#This Row],[cuba_fab_grasa_g_l]]/1000</f>
        <v>199.2276</v>
      </c>
      <c r="T186">
        <f>Tabla1[[#This Row],[cuba_fab_litros]]*Tabla1[[#This Row],[cuba_fab_prot_g_l]]/1000</f>
        <v>167.18012999999996</v>
      </c>
      <c r="U186">
        <f>Tabla1[[#This Row],[queso_kg]]*Tabla1[[#This Row],[queso_est_pct]]/100</f>
        <v>308.35526400000003</v>
      </c>
      <c r="V186">
        <f>Tabla1[[#This Row],[queso_kg]]*Tabla1[[#This Row],[queso_mg_pct]]/100</f>
        <v>159.03268800000001</v>
      </c>
      <c r="W186">
        <f>Tabla1[[#This Row],[queso_est_kg]]-Tabla1[[#This Row],[queso_mg_kg]]</f>
        <v>149.32257600000003</v>
      </c>
      <c r="X186">
        <f>_xlfn.ISOWEEKNUM(Tabla1[[#This Row],[fecha]])</f>
        <v>27</v>
      </c>
      <c r="Y186">
        <v>27</v>
      </c>
      <c r="Z186" s="7">
        <f>Tabla1[[#This Row],[suero_litros]]*Tabla1[[#This Row],[suero_grasa_g_l]]/1000</f>
        <v>39.361619999999995</v>
      </c>
      <c r="AA186" s="7">
        <f>Tabla1[[#This Row],[suero_litros]]*Tabla1[[#This Row],[suero_prot_g_l]]/1000</f>
        <v>26.196300000000001</v>
      </c>
      <c r="AB186" s="7">
        <f>Tabla1[[#This Row],[suero_est_g_l]]*Tabla1[[#This Row],[suero_litros]]/1000</f>
        <v>292.05516</v>
      </c>
    </row>
    <row r="187" spans="1:28" x14ac:dyDescent="0.25">
      <c r="A187" s="1">
        <v>45476</v>
      </c>
      <c r="B187">
        <v>5046</v>
      </c>
      <c r="C187">
        <v>4899</v>
      </c>
      <c r="D187">
        <v>43.62</v>
      </c>
      <c r="E187">
        <v>33.75</v>
      </c>
      <c r="F187">
        <v>5026</v>
      </c>
      <c r="G187">
        <v>40.520000000000003</v>
      </c>
      <c r="H187">
        <v>32.75</v>
      </c>
      <c r="I187">
        <v>4767</v>
      </c>
      <c r="J187">
        <v>638.78</v>
      </c>
      <c r="K187">
        <v>51.99</v>
      </c>
      <c r="L187">
        <v>27.6</v>
      </c>
      <c r="M187">
        <v>4427</v>
      </c>
      <c r="N187">
        <v>6.04</v>
      </c>
      <c r="O187">
        <v>4.6500000000000004</v>
      </c>
      <c r="P187">
        <v>61.17</v>
      </c>
      <c r="Q187">
        <f>Tabla1[[#This Row],[entrada_litros]]*Tabla1[[#This Row],[entrada_grasa_g_l]]/1000</f>
        <v>213.69437999999997</v>
      </c>
      <c r="R187">
        <f>Tabla1[[#This Row],[entrada_prot_g_l]]*Tabla1[[#This Row],[entrada_litros]]/1000</f>
        <v>165.34125</v>
      </c>
      <c r="S187">
        <f>Tabla1[[#This Row],[cuba_fab_litros]]*Tabla1[[#This Row],[cuba_fab_grasa_g_l]]/1000</f>
        <v>203.65352000000001</v>
      </c>
      <c r="T187">
        <f>Tabla1[[#This Row],[cuba_fab_litros]]*Tabla1[[#This Row],[cuba_fab_prot_g_l]]/1000</f>
        <v>164.60149999999999</v>
      </c>
      <c r="U187">
        <f>Tabla1[[#This Row],[queso_kg]]*Tabla1[[#This Row],[queso_est_pct]]/100</f>
        <v>332.101722</v>
      </c>
      <c r="V187">
        <f>Tabla1[[#This Row],[queso_kg]]*Tabla1[[#This Row],[queso_mg_pct]]/100</f>
        <v>176.30328</v>
      </c>
      <c r="W187">
        <f>Tabla1[[#This Row],[queso_est_kg]]-Tabla1[[#This Row],[queso_mg_kg]]</f>
        <v>155.79844199999999</v>
      </c>
      <c r="X187">
        <f>_xlfn.ISOWEEKNUM(Tabla1[[#This Row],[fecha]])</f>
        <v>27</v>
      </c>
      <c r="Y187">
        <v>27</v>
      </c>
      <c r="Z187" s="7">
        <f>Tabla1[[#This Row],[suero_litros]]*Tabla1[[#This Row],[suero_grasa_g_l]]/1000</f>
        <v>26.739080000000001</v>
      </c>
      <c r="AA187" s="7">
        <f>Tabla1[[#This Row],[suero_litros]]*Tabla1[[#This Row],[suero_prot_g_l]]/1000</f>
        <v>20.585550000000001</v>
      </c>
      <c r="AB187" s="7">
        <f>Tabla1[[#This Row],[suero_est_g_l]]*Tabla1[[#This Row],[suero_litros]]/1000</f>
        <v>270.79959000000002</v>
      </c>
    </row>
    <row r="188" spans="1:28" x14ac:dyDescent="0.25">
      <c r="A188" s="1">
        <v>45477</v>
      </c>
      <c r="B188">
        <v>5255</v>
      </c>
      <c r="C188">
        <v>5102</v>
      </c>
      <c r="D188">
        <v>42.4</v>
      </c>
      <c r="E188">
        <v>36.630000000000003</v>
      </c>
      <c r="F188">
        <v>5028</v>
      </c>
      <c r="G188">
        <v>40.47</v>
      </c>
      <c r="H188">
        <v>33.69</v>
      </c>
      <c r="I188">
        <v>4869</v>
      </c>
      <c r="J188">
        <v>605.79</v>
      </c>
      <c r="K188">
        <v>51.47</v>
      </c>
      <c r="L188">
        <v>26.81</v>
      </c>
      <c r="M188">
        <v>4462</v>
      </c>
      <c r="N188">
        <v>8.99</v>
      </c>
      <c r="O188">
        <v>6.5</v>
      </c>
      <c r="P188">
        <v>66.59</v>
      </c>
      <c r="Q188">
        <f>Tabla1[[#This Row],[entrada_litros]]*Tabla1[[#This Row],[entrada_grasa_g_l]]/1000</f>
        <v>216.32479999999998</v>
      </c>
      <c r="R188">
        <f>Tabla1[[#This Row],[entrada_prot_g_l]]*Tabla1[[#This Row],[entrada_litros]]/1000</f>
        <v>186.88626000000002</v>
      </c>
      <c r="S188">
        <f>Tabla1[[#This Row],[cuba_fab_litros]]*Tabla1[[#This Row],[cuba_fab_grasa_g_l]]/1000</f>
        <v>203.48316</v>
      </c>
      <c r="T188">
        <f>Tabla1[[#This Row],[cuba_fab_litros]]*Tabla1[[#This Row],[cuba_fab_prot_g_l]]/1000</f>
        <v>169.39331999999999</v>
      </c>
      <c r="U188">
        <f>Tabla1[[#This Row],[queso_kg]]*Tabla1[[#This Row],[queso_est_pct]]/100</f>
        <v>311.80011300000001</v>
      </c>
      <c r="V188">
        <f>Tabla1[[#This Row],[queso_kg]]*Tabla1[[#This Row],[queso_mg_pct]]/100</f>
        <v>162.41229899999999</v>
      </c>
      <c r="W188">
        <f>Tabla1[[#This Row],[queso_est_kg]]-Tabla1[[#This Row],[queso_mg_kg]]</f>
        <v>149.38781400000002</v>
      </c>
      <c r="X188">
        <f>_xlfn.ISOWEEKNUM(Tabla1[[#This Row],[fecha]])</f>
        <v>27</v>
      </c>
      <c r="Y188">
        <v>27</v>
      </c>
      <c r="Z188" s="7">
        <f>Tabla1[[#This Row],[suero_litros]]*Tabla1[[#This Row],[suero_grasa_g_l]]/1000</f>
        <v>40.113379999999999</v>
      </c>
      <c r="AA188" s="7">
        <f>Tabla1[[#This Row],[suero_litros]]*Tabla1[[#This Row],[suero_prot_g_l]]/1000</f>
        <v>29.003</v>
      </c>
      <c r="AB188" s="7">
        <f>Tabla1[[#This Row],[suero_est_g_l]]*Tabla1[[#This Row],[suero_litros]]/1000</f>
        <v>297.12458000000004</v>
      </c>
    </row>
    <row r="189" spans="1:28" x14ac:dyDescent="0.25">
      <c r="A189" s="1">
        <v>45478</v>
      </c>
      <c r="B189">
        <v>0</v>
      </c>
      <c r="C189">
        <v>0</v>
      </c>
      <c r="D189">
        <v>0</v>
      </c>
      <c r="E189">
        <v>0</v>
      </c>
      <c r="F189">
        <v>4886</v>
      </c>
      <c r="G189">
        <v>40.619999999999997</v>
      </c>
      <c r="H189">
        <v>34.14</v>
      </c>
      <c r="I189">
        <v>0</v>
      </c>
      <c r="J189">
        <v>636.59</v>
      </c>
      <c r="K189">
        <v>52.31</v>
      </c>
      <c r="L189">
        <v>27.1</v>
      </c>
      <c r="M189">
        <v>4289</v>
      </c>
      <c r="N189">
        <v>5.94</v>
      </c>
      <c r="O189">
        <v>4.5</v>
      </c>
      <c r="P189">
        <v>61.21</v>
      </c>
      <c r="Q189">
        <f>Tabla1[[#This Row],[entrada_litros]]*Tabla1[[#This Row],[entrada_grasa_g_l]]/1000</f>
        <v>0</v>
      </c>
      <c r="R189">
        <f>Tabla1[[#This Row],[entrada_prot_g_l]]*Tabla1[[#This Row],[entrada_litros]]/1000</f>
        <v>0</v>
      </c>
      <c r="S189">
        <f>Tabla1[[#This Row],[cuba_fab_litros]]*Tabla1[[#This Row],[cuba_fab_grasa_g_l]]/1000</f>
        <v>198.46931999999998</v>
      </c>
      <c r="T189">
        <f>Tabla1[[#This Row],[cuba_fab_litros]]*Tabla1[[#This Row],[cuba_fab_prot_g_l]]/1000</f>
        <v>166.80804000000001</v>
      </c>
      <c r="U189">
        <f>Tabla1[[#This Row],[queso_kg]]*Tabla1[[#This Row],[queso_est_pct]]/100</f>
        <v>333.00022900000005</v>
      </c>
      <c r="V189">
        <f>Tabla1[[#This Row],[queso_kg]]*Tabla1[[#This Row],[queso_mg_pct]]/100</f>
        <v>172.51589000000004</v>
      </c>
      <c r="W189">
        <f>Tabla1[[#This Row],[queso_est_kg]]-Tabla1[[#This Row],[queso_mg_kg]]</f>
        <v>160.48433900000001</v>
      </c>
      <c r="X189">
        <f>_xlfn.ISOWEEKNUM(Tabla1[[#This Row],[fecha]])</f>
        <v>27</v>
      </c>
      <c r="Y189">
        <v>27</v>
      </c>
      <c r="Z189" s="7">
        <f>Tabla1[[#This Row],[suero_litros]]*Tabla1[[#This Row],[suero_grasa_g_l]]/1000</f>
        <v>25.476660000000003</v>
      </c>
      <c r="AA189" s="7">
        <f>Tabla1[[#This Row],[suero_litros]]*Tabla1[[#This Row],[suero_prot_g_l]]/1000</f>
        <v>19.3005</v>
      </c>
      <c r="AB189" s="7">
        <f>Tabla1[[#This Row],[suero_est_g_l]]*Tabla1[[#This Row],[suero_litros]]/1000</f>
        <v>262.52969000000002</v>
      </c>
    </row>
    <row r="190" spans="1:28" x14ac:dyDescent="0.25">
      <c r="A190" s="1">
        <v>45479</v>
      </c>
      <c r="B190">
        <v>0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f>Tabla1[[#This Row],[entrada_litros]]*Tabla1[[#This Row],[entrada_grasa_g_l]]/1000</f>
        <v>0</v>
      </c>
      <c r="R190">
        <f>Tabla1[[#This Row],[entrada_prot_g_l]]*Tabla1[[#This Row],[entrada_litros]]/1000</f>
        <v>0</v>
      </c>
      <c r="S190">
        <f>Tabla1[[#This Row],[cuba_fab_litros]]*Tabla1[[#This Row],[cuba_fab_grasa_g_l]]/1000</f>
        <v>0</v>
      </c>
      <c r="T190">
        <f>Tabla1[[#This Row],[cuba_fab_litros]]*Tabla1[[#This Row],[cuba_fab_prot_g_l]]/1000</f>
        <v>0</v>
      </c>
      <c r="U190">
        <f>Tabla1[[#This Row],[queso_kg]]*Tabla1[[#This Row],[queso_est_pct]]/100</f>
        <v>0</v>
      </c>
      <c r="V190">
        <f>Tabla1[[#This Row],[queso_kg]]*Tabla1[[#This Row],[queso_mg_pct]]/100</f>
        <v>0</v>
      </c>
      <c r="W190">
        <f>Tabla1[[#This Row],[queso_est_kg]]-Tabla1[[#This Row],[queso_mg_kg]]</f>
        <v>0</v>
      </c>
      <c r="X190">
        <f>_xlfn.ISOWEEKNUM(Tabla1[[#This Row],[fecha]])</f>
        <v>27</v>
      </c>
      <c r="Y190">
        <v>27</v>
      </c>
      <c r="Z190" s="7">
        <f>Tabla1[[#This Row],[suero_litros]]*Tabla1[[#This Row],[suero_grasa_g_l]]/1000</f>
        <v>0</v>
      </c>
      <c r="AA190" s="7">
        <f>Tabla1[[#This Row],[suero_litros]]*Tabla1[[#This Row],[suero_prot_g_l]]/1000</f>
        <v>0</v>
      </c>
      <c r="AB190" s="7">
        <f>Tabla1[[#This Row],[suero_est_g_l]]*Tabla1[[#This Row],[suero_litros]]/1000</f>
        <v>0</v>
      </c>
    </row>
    <row r="191" spans="1:28" x14ac:dyDescent="0.25">
      <c r="A191" s="1">
        <v>45480</v>
      </c>
      <c r="B191">
        <v>5320</v>
      </c>
      <c r="C191">
        <v>5165</v>
      </c>
      <c r="D191">
        <v>42.87</v>
      </c>
      <c r="E191">
        <v>35.99</v>
      </c>
      <c r="F191">
        <v>0</v>
      </c>
      <c r="G191">
        <v>0</v>
      </c>
      <c r="H191">
        <v>0</v>
      </c>
      <c r="I191">
        <v>5165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f>Tabla1[[#This Row],[entrada_litros]]*Tabla1[[#This Row],[entrada_grasa_g_l]]/1000</f>
        <v>221.42354999999998</v>
      </c>
      <c r="R191">
        <f>Tabla1[[#This Row],[entrada_prot_g_l]]*Tabla1[[#This Row],[entrada_litros]]/1000</f>
        <v>185.88835</v>
      </c>
      <c r="S191">
        <f>Tabla1[[#This Row],[cuba_fab_litros]]*Tabla1[[#This Row],[cuba_fab_grasa_g_l]]/1000</f>
        <v>0</v>
      </c>
      <c r="T191">
        <f>Tabla1[[#This Row],[cuba_fab_litros]]*Tabla1[[#This Row],[cuba_fab_prot_g_l]]/1000</f>
        <v>0</v>
      </c>
      <c r="U191">
        <f>Tabla1[[#This Row],[queso_kg]]*Tabla1[[#This Row],[queso_est_pct]]/100</f>
        <v>0</v>
      </c>
      <c r="V191">
        <f>Tabla1[[#This Row],[queso_kg]]*Tabla1[[#This Row],[queso_mg_pct]]/100</f>
        <v>0</v>
      </c>
      <c r="W191">
        <f>Tabla1[[#This Row],[queso_est_kg]]-Tabla1[[#This Row],[queso_mg_kg]]</f>
        <v>0</v>
      </c>
      <c r="X191">
        <f>_xlfn.ISOWEEKNUM(Tabla1[[#This Row],[fecha]])</f>
        <v>27</v>
      </c>
      <c r="Y191">
        <v>28</v>
      </c>
      <c r="Z191" s="7">
        <f>Tabla1[[#This Row],[suero_litros]]*Tabla1[[#This Row],[suero_grasa_g_l]]/1000</f>
        <v>0</v>
      </c>
      <c r="AA191" s="7">
        <f>Tabla1[[#This Row],[suero_litros]]*Tabla1[[#This Row],[suero_prot_g_l]]/1000</f>
        <v>0</v>
      </c>
      <c r="AB191" s="7">
        <f>Tabla1[[#This Row],[suero_est_g_l]]*Tabla1[[#This Row],[suero_litros]]/1000</f>
        <v>0</v>
      </c>
    </row>
    <row r="192" spans="1:28" x14ac:dyDescent="0.25">
      <c r="A192" s="1">
        <v>45481</v>
      </c>
      <c r="B192">
        <v>5306</v>
      </c>
      <c r="C192">
        <v>5151</v>
      </c>
      <c r="D192">
        <v>41.83</v>
      </c>
      <c r="E192">
        <v>36.57</v>
      </c>
      <c r="F192">
        <v>5020</v>
      </c>
      <c r="G192">
        <v>40.49</v>
      </c>
      <c r="H192">
        <v>34.81</v>
      </c>
      <c r="I192">
        <v>5316</v>
      </c>
      <c r="J192">
        <v>606.52</v>
      </c>
      <c r="K192">
        <v>53.4</v>
      </c>
      <c r="L192">
        <v>27.69</v>
      </c>
      <c r="M192">
        <v>4453</v>
      </c>
      <c r="N192">
        <v>7.79</v>
      </c>
      <c r="O192">
        <v>6.97</v>
      </c>
      <c r="P192">
        <v>66.489999999999995</v>
      </c>
      <c r="Q192">
        <f>Tabla1[[#This Row],[entrada_litros]]*Tabla1[[#This Row],[entrada_grasa_g_l]]/1000</f>
        <v>215.46633</v>
      </c>
      <c r="R192">
        <f>Tabla1[[#This Row],[entrada_prot_g_l]]*Tabla1[[#This Row],[entrada_litros]]/1000</f>
        <v>188.37207000000001</v>
      </c>
      <c r="S192">
        <f>Tabla1[[#This Row],[cuba_fab_litros]]*Tabla1[[#This Row],[cuba_fab_grasa_g_l]]/1000</f>
        <v>203.25980000000001</v>
      </c>
      <c r="T192">
        <f>Tabla1[[#This Row],[cuba_fab_litros]]*Tabla1[[#This Row],[cuba_fab_prot_g_l]]/1000</f>
        <v>174.74620000000002</v>
      </c>
      <c r="U192">
        <f>Tabla1[[#This Row],[queso_kg]]*Tabla1[[#This Row],[queso_est_pct]]/100</f>
        <v>323.88167999999996</v>
      </c>
      <c r="V192">
        <f>Tabla1[[#This Row],[queso_kg]]*Tabla1[[#This Row],[queso_mg_pct]]/100</f>
        <v>167.94538800000001</v>
      </c>
      <c r="W192">
        <f>Tabla1[[#This Row],[queso_est_kg]]-Tabla1[[#This Row],[queso_mg_kg]]</f>
        <v>155.93629199999995</v>
      </c>
      <c r="X192">
        <f>_xlfn.ISOWEEKNUM(Tabla1[[#This Row],[fecha]])</f>
        <v>28</v>
      </c>
      <c r="Y192">
        <v>28</v>
      </c>
      <c r="Z192" s="7">
        <f>Tabla1[[#This Row],[suero_litros]]*Tabla1[[#This Row],[suero_grasa_g_l]]/1000</f>
        <v>34.688870000000001</v>
      </c>
      <c r="AA192" s="7">
        <f>Tabla1[[#This Row],[suero_litros]]*Tabla1[[#This Row],[suero_prot_g_l]]/1000</f>
        <v>31.037410000000001</v>
      </c>
      <c r="AB192" s="7">
        <f>Tabla1[[#This Row],[suero_est_g_l]]*Tabla1[[#This Row],[suero_litros]]/1000</f>
        <v>296.07996999999995</v>
      </c>
    </row>
    <row r="193" spans="1:28" x14ac:dyDescent="0.25">
      <c r="A193" s="1">
        <v>45482</v>
      </c>
      <c r="B193">
        <v>5474</v>
      </c>
      <c r="C193">
        <v>5315</v>
      </c>
      <c r="D193">
        <v>42.32</v>
      </c>
      <c r="E193">
        <v>34.43</v>
      </c>
      <c r="F193">
        <v>5015</v>
      </c>
      <c r="G193">
        <v>40.340000000000003</v>
      </c>
      <c r="H193">
        <v>34.06</v>
      </c>
      <c r="I193">
        <v>5631</v>
      </c>
      <c r="J193">
        <v>622.86</v>
      </c>
      <c r="K193">
        <v>51.49</v>
      </c>
      <c r="L193">
        <v>27.2</v>
      </c>
      <c r="M193">
        <v>4432</v>
      </c>
      <c r="N193">
        <v>7.25</v>
      </c>
      <c r="O193">
        <v>7.25</v>
      </c>
      <c r="P193">
        <v>63.89</v>
      </c>
      <c r="Q193">
        <f>Tabla1[[#This Row],[entrada_litros]]*Tabla1[[#This Row],[entrada_grasa_g_l]]/1000</f>
        <v>224.93079999999998</v>
      </c>
      <c r="R193">
        <f>Tabla1[[#This Row],[entrada_prot_g_l]]*Tabla1[[#This Row],[entrada_litros]]/1000</f>
        <v>182.99545000000001</v>
      </c>
      <c r="S193">
        <f>Tabla1[[#This Row],[cuba_fab_litros]]*Tabla1[[#This Row],[cuba_fab_grasa_g_l]]/1000</f>
        <v>202.30510000000001</v>
      </c>
      <c r="T193">
        <f>Tabla1[[#This Row],[cuba_fab_litros]]*Tabla1[[#This Row],[cuba_fab_prot_g_l]]/1000</f>
        <v>170.81090000000003</v>
      </c>
      <c r="U193">
        <f>Tabla1[[#This Row],[queso_kg]]*Tabla1[[#This Row],[queso_est_pct]]/100</f>
        <v>320.71061400000002</v>
      </c>
      <c r="V193">
        <f>Tabla1[[#This Row],[queso_kg]]*Tabla1[[#This Row],[queso_mg_pct]]/100</f>
        <v>169.41792000000001</v>
      </c>
      <c r="W193">
        <f>Tabla1[[#This Row],[queso_est_kg]]-Tabla1[[#This Row],[queso_mg_kg]]</f>
        <v>151.29269400000001</v>
      </c>
      <c r="X193">
        <f>_xlfn.ISOWEEKNUM(Tabla1[[#This Row],[fecha]])</f>
        <v>28</v>
      </c>
      <c r="Y193">
        <v>28</v>
      </c>
      <c r="Z193" s="7">
        <f>Tabla1[[#This Row],[suero_litros]]*Tabla1[[#This Row],[suero_grasa_g_l]]/1000</f>
        <v>32.131999999999998</v>
      </c>
      <c r="AA193" s="7">
        <f>Tabla1[[#This Row],[suero_litros]]*Tabla1[[#This Row],[suero_prot_g_l]]/1000</f>
        <v>32.131999999999998</v>
      </c>
      <c r="AB193" s="7">
        <f>Tabla1[[#This Row],[suero_est_g_l]]*Tabla1[[#This Row],[suero_litros]]/1000</f>
        <v>283.16048000000001</v>
      </c>
    </row>
    <row r="194" spans="1:28" x14ac:dyDescent="0.25">
      <c r="A194" s="1">
        <v>45483</v>
      </c>
      <c r="B194">
        <v>4738</v>
      </c>
      <c r="C194">
        <v>4600</v>
      </c>
      <c r="D194">
        <v>41.8</v>
      </c>
      <c r="E194">
        <v>36.56</v>
      </c>
      <c r="F194">
        <v>5028</v>
      </c>
      <c r="G194">
        <v>40.06</v>
      </c>
      <c r="H194">
        <v>34.17</v>
      </c>
      <c r="I194">
        <v>5231</v>
      </c>
      <c r="J194">
        <v>593.41999999999996</v>
      </c>
      <c r="K194">
        <v>53.17</v>
      </c>
      <c r="L194">
        <v>27.22</v>
      </c>
      <c r="M194">
        <v>4474</v>
      </c>
      <c r="N194">
        <v>8.6999999999999993</v>
      </c>
      <c r="O194">
        <v>6.5</v>
      </c>
      <c r="P194">
        <v>66.45</v>
      </c>
      <c r="Q194">
        <f>Tabla1[[#This Row],[entrada_litros]]*Tabla1[[#This Row],[entrada_grasa_g_l]]/1000</f>
        <v>192.28</v>
      </c>
      <c r="R194">
        <f>Tabla1[[#This Row],[entrada_prot_g_l]]*Tabla1[[#This Row],[entrada_litros]]/1000</f>
        <v>168.17599999999999</v>
      </c>
      <c r="S194">
        <f>Tabla1[[#This Row],[cuba_fab_litros]]*Tabla1[[#This Row],[cuba_fab_grasa_g_l]]/1000</f>
        <v>201.42168000000001</v>
      </c>
      <c r="T194">
        <f>Tabla1[[#This Row],[cuba_fab_litros]]*Tabla1[[#This Row],[cuba_fab_prot_g_l]]/1000</f>
        <v>171.80676</v>
      </c>
      <c r="U194">
        <f>Tabla1[[#This Row],[queso_kg]]*Tabla1[[#This Row],[queso_est_pct]]/100</f>
        <v>315.52141399999999</v>
      </c>
      <c r="V194">
        <f>Tabla1[[#This Row],[queso_kg]]*Tabla1[[#This Row],[queso_mg_pct]]/100</f>
        <v>161.52892399999999</v>
      </c>
      <c r="W194">
        <f>Tabla1[[#This Row],[queso_est_kg]]-Tabla1[[#This Row],[queso_mg_kg]]</f>
        <v>153.99249</v>
      </c>
      <c r="X194">
        <f>_xlfn.ISOWEEKNUM(Tabla1[[#This Row],[fecha]])</f>
        <v>28</v>
      </c>
      <c r="Y194">
        <v>28</v>
      </c>
      <c r="Z194" s="7">
        <f>Tabla1[[#This Row],[suero_litros]]*Tabla1[[#This Row],[suero_grasa_g_l]]/1000</f>
        <v>38.923799999999993</v>
      </c>
      <c r="AA194" s="7">
        <f>Tabla1[[#This Row],[suero_litros]]*Tabla1[[#This Row],[suero_prot_g_l]]/1000</f>
        <v>29.081</v>
      </c>
      <c r="AB194" s="7">
        <f>Tabla1[[#This Row],[suero_est_g_l]]*Tabla1[[#This Row],[suero_litros]]/1000</f>
        <v>297.29730000000001</v>
      </c>
    </row>
    <row r="195" spans="1:28" x14ac:dyDescent="0.25">
      <c r="A195" s="1">
        <v>45484</v>
      </c>
      <c r="B195">
        <v>5541</v>
      </c>
      <c r="C195">
        <v>5380</v>
      </c>
      <c r="D195">
        <v>42.01</v>
      </c>
      <c r="E195">
        <v>35.1</v>
      </c>
      <c r="F195">
        <v>5024</v>
      </c>
      <c r="G195">
        <v>40.590000000000003</v>
      </c>
      <c r="H195">
        <v>33.909999999999997</v>
      </c>
      <c r="I195">
        <v>5611</v>
      </c>
      <c r="J195">
        <v>579.36</v>
      </c>
      <c r="K195">
        <v>51.89</v>
      </c>
      <c r="L195">
        <v>26.94</v>
      </c>
      <c r="M195">
        <v>4483</v>
      </c>
      <c r="N195">
        <v>10.46</v>
      </c>
      <c r="O195">
        <v>8.77</v>
      </c>
      <c r="P195">
        <v>71.48</v>
      </c>
      <c r="Q195">
        <f>Tabla1[[#This Row],[entrada_litros]]*Tabla1[[#This Row],[entrada_grasa_g_l]]/1000</f>
        <v>226.01379999999997</v>
      </c>
      <c r="R195">
        <f>Tabla1[[#This Row],[entrada_prot_g_l]]*Tabla1[[#This Row],[entrada_litros]]/1000</f>
        <v>188.83799999999999</v>
      </c>
      <c r="S195">
        <f>Tabla1[[#This Row],[cuba_fab_litros]]*Tabla1[[#This Row],[cuba_fab_grasa_g_l]]/1000</f>
        <v>203.92416</v>
      </c>
      <c r="T195">
        <f>Tabla1[[#This Row],[cuba_fab_litros]]*Tabla1[[#This Row],[cuba_fab_prot_g_l]]/1000</f>
        <v>170.36384000000001</v>
      </c>
      <c r="U195">
        <f>Tabla1[[#This Row],[queso_kg]]*Tabla1[[#This Row],[queso_est_pct]]/100</f>
        <v>300.62990400000001</v>
      </c>
      <c r="V195">
        <f>Tabla1[[#This Row],[queso_kg]]*Tabla1[[#This Row],[queso_mg_pct]]/100</f>
        <v>156.07958400000001</v>
      </c>
      <c r="W195">
        <f>Tabla1[[#This Row],[queso_est_kg]]-Tabla1[[#This Row],[queso_mg_kg]]</f>
        <v>144.55032</v>
      </c>
      <c r="X195">
        <f>_xlfn.ISOWEEKNUM(Tabla1[[#This Row],[fecha]])</f>
        <v>28</v>
      </c>
      <c r="Y195">
        <v>28</v>
      </c>
      <c r="Z195" s="7">
        <f>Tabla1[[#This Row],[suero_litros]]*Tabla1[[#This Row],[suero_grasa_g_l]]/1000</f>
        <v>46.892180000000003</v>
      </c>
      <c r="AA195" s="7">
        <f>Tabla1[[#This Row],[suero_litros]]*Tabla1[[#This Row],[suero_prot_g_l]]/1000</f>
        <v>39.315909999999995</v>
      </c>
      <c r="AB195" s="7">
        <f>Tabla1[[#This Row],[suero_est_g_l]]*Tabla1[[#This Row],[suero_litros]]/1000</f>
        <v>320.44484</v>
      </c>
    </row>
    <row r="196" spans="1:28" x14ac:dyDescent="0.25">
      <c r="A196" s="1">
        <v>45485</v>
      </c>
      <c r="B196">
        <v>0</v>
      </c>
      <c r="C196">
        <v>0</v>
      </c>
      <c r="D196">
        <v>0</v>
      </c>
      <c r="E196">
        <v>0</v>
      </c>
      <c r="F196">
        <v>5640</v>
      </c>
      <c r="G196">
        <v>40.119999999999997</v>
      </c>
      <c r="H196">
        <v>33.96</v>
      </c>
      <c r="I196">
        <v>0</v>
      </c>
      <c r="J196">
        <v>714.16</v>
      </c>
      <c r="K196">
        <v>51.86</v>
      </c>
      <c r="L196">
        <v>26.19</v>
      </c>
      <c r="M196">
        <v>4971</v>
      </c>
      <c r="N196">
        <v>7.64</v>
      </c>
      <c r="O196">
        <v>5.21</v>
      </c>
      <c r="P196">
        <v>64.349999999999994</v>
      </c>
      <c r="Q196">
        <f>Tabla1[[#This Row],[entrada_litros]]*Tabla1[[#This Row],[entrada_grasa_g_l]]/1000</f>
        <v>0</v>
      </c>
      <c r="R196">
        <f>Tabla1[[#This Row],[entrada_prot_g_l]]*Tabla1[[#This Row],[entrada_litros]]/1000</f>
        <v>0</v>
      </c>
      <c r="S196">
        <f>Tabla1[[#This Row],[cuba_fab_litros]]*Tabla1[[#This Row],[cuba_fab_grasa_g_l]]/1000</f>
        <v>226.27679999999998</v>
      </c>
      <c r="T196">
        <f>Tabla1[[#This Row],[cuba_fab_litros]]*Tabla1[[#This Row],[cuba_fab_prot_g_l]]/1000</f>
        <v>191.53440000000001</v>
      </c>
      <c r="U196">
        <f>Tabla1[[#This Row],[queso_kg]]*Tabla1[[#This Row],[queso_est_pct]]/100</f>
        <v>370.36337600000002</v>
      </c>
      <c r="V196">
        <f>Tabla1[[#This Row],[queso_kg]]*Tabla1[[#This Row],[queso_mg_pct]]/100</f>
        <v>187.03850399999999</v>
      </c>
      <c r="W196">
        <f>Tabla1[[#This Row],[queso_est_kg]]-Tabla1[[#This Row],[queso_mg_kg]]</f>
        <v>183.32487200000003</v>
      </c>
      <c r="X196">
        <f>_xlfn.ISOWEEKNUM(Tabla1[[#This Row],[fecha]])</f>
        <v>28</v>
      </c>
      <c r="Y196">
        <v>28</v>
      </c>
      <c r="Z196" s="7">
        <f>Tabla1[[#This Row],[suero_litros]]*Tabla1[[#This Row],[suero_grasa_g_l]]/1000</f>
        <v>37.978439999999992</v>
      </c>
      <c r="AA196" s="7">
        <f>Tabla1[[#This Row],[suero_litros]]*Tabla1[[#This Row],[suero_prot_g_l]]/1000</f>
        <v>25.898910000000001</v>
      </c>
      <c r="AB196" s="7">
        <f>Tabla1[[#This Row],[suero_est_g_l]]*Tabla1[[#This Row],[suero_litros]]/1000</f>
        <v>319.88385</v>
      </c>
    </row>
    <row r="197" spans="1:28" x14ac:dyDescent="0.25">
      <c r="A197" s="1">
        <v>45486</v>
      </c>
      <c r="B197">
        <v>0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f>Tabla1[[#This Row],[entrada_litros]]*Tabla1[[#This Row],[entrada_grasa_g_l]]/1000</f>
        <v>0</v>
      </c>
      <c r="R197">
        <f>Tabla1[[#This Row],[entrada_prot_g_l]]*Tabla1[[#This Row],[entrada_litros]]/1000</f>
        <v>0</v>
      </c>
      <c r="S197">
        <f>Tabla1[[#This Row],[cuba_fab_litros]]*Tabla1[[#This Row],[cuba_fab_grasa_g_l]]/1000</f>
        <v>0</v>
      </c>
      <c r="T197">
        <f>Tabla1[[#This Row],[cuba_fab_litros]]*Tabla1[[#This Row],[cuba_fab_prot_g_l]]/1000</f>
        <v>0</v>
      </c>
      <c r="U197">
        <f>Tabla1[[#This Row],[queso_kg]]*Tabla1[[#This Row],[queso_est_pct]]/100</f>
        <v>0</v>
      </c>
      <c r="V197">
        <f>Tabla1[[#This Row],[queso_kg]]*Tabla1[[#This Row],[queso_mg_pct]]/100</f>
        <v>0</v>
      </c>
      <c r="W197">
        <f>Tabla1[[#This Row],[queso_est_kg]]-Tabla1[[#This Row],[queso_mg_kg]]</f>
        <v>0</v>
      </c>
      <c r="X197">
        <f>_xlfn.ISOWEEKNUM(Tabla1[[#This Row],[fecha]])</f>
        <v>28</v>
      </c>
      <c r="Y197">
        <v>28</v>
      </c>
      <c r="Z197" s="7">
        <f>Tabla1[[#This Row],[suero_litros]]*Tabla1[[#This Row],[suero_grasa_g_l]]/1000</f>
        <v>0</v>
      </c>
      <c r="AA197" s="7">
        <f>Tabla1[[#This Row],[suero_litros]]*Tabla1[[#This Row],[suero_prot_g_l]]/1000</f>
        <v>0</v>
      </c>
      <c r="AB197" s="7">
        <f>Tabla1[[#This Row],[suero_est_g_l]]*Tabla1[[#This Row],[suero_litros]]/1000</f>
        <v>0</v>
      </c>
    </row>
    <row r="198" spans="1:28" x14ac:dyDescent="0.25">
      <c r="A198" s="1">
        <v>45487</v>
      </c>
      <c r="B198">
        <v>4871</v>
      </c>
      <c r="C198">
        <v>4729</v>
      </c>
      <c r="D198">
        <v>43.8</v>
      </c>
      <c r="E198">
        <v>35.06</v>
      </c>
      <c r="F198">
        <v>0</v>
      </c>
      <c r="G198">
        <v>0</v>
      </c>
      <c r="H198">
        <v>0</v>
      </c>
      <c r="I198">
        <v>4729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f>Tabla1[[#This Row],[entrada_litros]]*Tabla1[[#This Row],[entrada_grasa_g_l]]/1000</f>
        <v>207.13019999999997</v>
      </c>
      <c r="R198">
        <f>Tabla1[[#This Row],[entrada_prot_g_l]]*Tabla1[[#This Row],[entrada_litros]]/1000</f>
        <v>165.79874000000001</v>
      </c>
      <c r="S198">
        <f>Tabla1[[#This Row],[cuba_fab_litros]]*Tabla1[[#This Row],[cuba_fab_grasa_g_l]]/1000</f>
        <v>0</v>
      </c>
      <c r="T198">
        <f>Tabla1[[#This Row],[cuba_fab_litros]]*Tabla1[[#This Row],[cuba_fab_prot_g_l]]/1000</f>
        <v>0</v>
      </c>
      <c r="U198">
        <f>Tabla1[[#This Row],[queso_kg]]*Tabla1[[#This Row],[queso_est_pct]]/100</f>
        <v>0</v>
      </c>
      <c r="V198">
        <f>Tabla1[[#This Row],[queso_kg]]*Tabla1[[#This Row],[queso_mg_pct]]/100</f>
        <v>0</v>
      </c>
      <c r="W198">
        <f>Tabla1[[#This Row],[queso_est_kg]]-Tabla1[[#This Row],[queso_mg_kg]]</f>
        <v>0</v>
      </c>
      <c r="X198">
        <f>_xlfn.ISOWEEKNUM(Tabla1[[#This Row],[fecha]])</f>
        <v>28</v>
      </c>
      <c r="Y198">
        <v>29</v>
      </c>
      <c r="Z198" s="7">
        <f>Tabla1[[#This Row],[suero_litros]]*Tabla1[[#This Row],[suero_grasa_g_l]]/1000</f>
        <v>0</v>
      </c>
      <c r="AA198" s="7">
        <f>Tabla1[[#This Row],[suero_litros]]*Tabla1[[#This Row],[suero_prot_g_l]]/1000</f>
        <v>0</v>
      </c>
      <c r="AB198" s="7">
        <f>Tabla1[[#This Row],[suero_est_g_l]]*Tabla1[[#This Row],[suero_litros]]/1000</f>
        <v>0</v>
      </c>
    </row>
    <row r="199" spans="1:28" x14ac:dyDescent="0.25">
      <c r="A199" s="1">
        <v>45488</v>
      </c>
      <c r="B199">
        <v>5196</v>
      </c>
      <c r="C199">
        <v>5045</v>
      </c>
      <c r="D199">
        <v>44.28</v>
      </c>
      <c r="E199">
        <v>36.33</v>
      </c>
      <c r="F199">
        <v>5032</v>
      </c>
      <c r="G199">
        <v>41.49</v>
      </c>
      <c r="H199">
        <v>33.979999999999997</v>
      </c>
      <c r="I199">
        <v>4774</v>
      </c>
      <c r="J199">
        <v>683.59</v>
      </c>
      <c r="K199">
        <v>52.23</v>
      </c>
      <c r="L199">
        <v>27.19</v>
      </c>
      <c r="M199">
        <v>4390</v>
      </c>
      <c r="N199">
        <v>5.12</v>
      </c>
      <c r="O199">
        <v>3.83</v>
      </c>
      <c r="P199">
        <v>60.03</v>
      </c>
      <c r="Q199">
        <f>Tabla1[[#This Row],[entrada_litros]]*Tabla1[[#This Row],[entrada_grasa_g_l]]/1000</f>
        <v>223.39260000000002</v>
      </c>
      <c r="R199">
        <f>Tabla1[[#This Row],[entrada_prot_g_l]]*Tabla1[[#This Row],[entrada_litros]]/1000</f>
        <v>183.28485000000001</v>
      </c>
      <c r="S199">
        <f>Tabla1[[#This Row],[cuba_fab_litros]]*Tabla1[[#This Row],[cuba_fab_grasa_g_l]]/1000</f>
        <v>208.77768000000003</v>
      </c>
      <c r="T199">
        <f>Tabla1[[#This Row],[cuba_fab_litros]]*Tabla1[[#This Row],[cuba_fab_prot_g_l]]/1000</f>
        <v>170.98736</v>
      </c>
      <c r="U199">
        <f>Tabla1[[#This Row],[queso_kg]]*Tabla1[[#This Row],[queso_est_pct]]/100</f>
        <v>357.03905700000001</v>
      </c>
      <c r="V199">
        <f>Tabla1[[#This Row],[queso_kg]]*Tabla1[[#This Row],[queso_mg_pct]]/100</f>
        <v>185.86812100000003</v>
      </c>
      <c r="W199">
        <f>Tabla1[[#This Row],[queso_est_kg]]-Tabla1[[#This Row],[queso_mg_kg]]</f>
        <v>171.17093599999998</v>
      </c>
      <c r="X199">
        <f>_xlfn.ISOWEEKNUM(Tabla1[[#This Row],[fecha]])</f>
        <v>29</v>
      </c>
      <c r="Y199">
        <v>29</v>
      </c>
      <c r="Z199" s="7">
        <f>Tabla1[[#This Row],[suero_litros]]*Tabla1[[#This Row],[suero_grasa_g_l]]/1000</f>
        <v>22.476800000000001</v>
      </c>
      <c r="AA199" s="7">
        <f>Tabla1[[#This Row],[suero_litros]]*Tabla1[[#This Row],[suero_prot_g_l]]/1000</f>
        <v>16.813700000000001</v>
      </c>
      <c r="AB199" s="7">
        <f>Tabla1[[#This Row],[suero_est_g_l]]*Tabla1[[#This Row],[suero_litros]]/1000</f>
        <v>263.5317</v>
      </c>
    </row>
    <row r="200" spans="1:28" x14ac:dyDescent="0.25">
      <c r="A200" s="1">
        <v>45489</v>
      </c>
      <c r="B200">
        <v>5115</v>
      </c>
      <c r="C200">
        <v>4966</v>
      </c>
      <c r="D200">
        <v>40.43</v>
      </c>
      <c r="E200">
        <v>35.090000000000003</v>
      </c>
      <c r="F200">
        <v>5027</v>
      </c>
      <c r="G200">
        <v>40.69</v>
      </c>
      <c r="H200">
        <v>33.450000000000003</v>
      </c>
      <c r="I200">
        <v>4740</v>
      </c>
      <c r="J200">
        <v>605.42999999999995</v>
      </c>
      <c r="K200">
        <v>51.64</v>
      </c>
      <c r="L200">
        <v>26.28</v>
      </c>
      <c r="M200">
        <v>4461</v>
      </c>
      <c r="N200">
        <v>9.9600000000000009</v>
      </c>
      <c r="O200">
        <v>5.19</v>
      </c>
      <c r="P200">
        <v>65.930000000000007</v>
      </c>
      <c r="Q200">
        <f>Tabla1[[#This Row],[entrada_litros]]*Tabla1[[#This Row],[entrada_grasa_g_l]]/1000</f>
        <v>200.77538000000001</v>
      </c>
      <c r="R200">
        <f>Tabla1[[#This Row],[entrada_prot_g_l]]*Tabla1[[#This Row],[entrada_litros]]/1000</f>
        <v>174.25694000000004</v>
      </c>
      <c r="S200">
        <f>Tabla1[[#This Row],[cuba_fab_litros]]*Tabla1[[#This Row],[cuba_fab_grasa_g_l]]/1000</f>
        <v>204.54862999999997</v>
      </c>
      <c r="T200">
        <f>Tabla1[[#This Row],[cuba_fab_litros]]*Tabla1[[#This Row],[cuba_fab_prot_g_l]]/1000</f>
        <v>168.15315000000001</v>
      </c>
      <c r="U200">
        <f>Tabla1[[#This Row],[queso_kg]]*Tabla1[[#This Row],[queso_est_pct]]/100</f>
        <v>312.64405199999999</v>
      </c>
      <c r="V200">
        <f>Tabla1[[#This Row],[queso_kg]]*Tabla1[[#This Row],[queso_mg_pct]]/100</f>
        <v>159.10700399999999</v>
      </c>
      <c r="W200">
        <f>Tabla1[[#This Row],[queso_est_kg]]-Tabla1[[#This Row],[queso_mg_kg]]</f>
        <v>153.537048</v>
      </c>
      <c r="X200">
        <f>_xlfn.ISOWEEKNUM(Tabla1[[#This Row],[fecha]])</f>
        <v>29</v>
      </c>
      <c r="Y200">
        <v>29</v>
      </c>
      <c r="Z200" s="7">
        <f>Tabla1[[#This Row],[suero_litros]]*Tabla1[[#This Row],[suero_grasa_g_l]]/1000</f>
        <v>44.431560000000005</v>
      </c>
      <c r="AA200" s="7">
        <f>Tabla1[[#This Row],[suero_litros]]*Tabla1[[#This Row],[suero_prot_g_l]]/1000</f>
        <v>23.15259</v>
      </c>
      <c r="AB200" s="7">
        <f>Tabla1[[#This Row],[suero_est_g_l]]*Tabla1[[#This Row],[suero_litros]]/1000</f>
        <v>294.11373000000003</v>
      </c>
    </row>
    <row r="201" spans="1:28" x14ac:dyDescent="0.25">
      <c r="A201" s="1">
        <v>45490</v>
      </c>
      <c r="B201">
        <v>4949</v>
      </c>
      <c r="C201">
        <v>4805</v>
      </c>
      <c r="D201">
        <v>43.64</v>
      </c>
      <c r="E201">
        <v>35.92</v>
      </c>
      <c r="F201">
        <v>5019</v>
      </c>
      <c r="G201">
        <v>40.81</v>
      </c>
      <c r="H201">
        <v>34.130000000000003</v>
      </c>
      <c r="I201">
        <v>4545</v>
      </c>
      <c r="J201">
        <v>660.52</v>
      </c>
      <c r="K201">
        <v>50.64</v>
      </c>
      <c r="L201">
        <v>26.51</v>
      </c>
      <c r="M201">
        <v>4399</v>
      </c>
      <c r="N201">
        <v>6.62</v>
      </c>
      <c r="O201">
        <v>4.9800000000000004</v>
      </c>
      <c r="P201">
        <v>63.07</v>
      </c>
      <c r="Q201">
        <f>Tabla1[[#This Row],[entrada_litros]]*Tabla1[[#This Row],[entrada_grasa_g_l]]/1000</f>
        <v>209.6902</v>
      </c>
      <c r="R201">
        <f>Tabla1[[#This Row],[entrada_prot_g_l]]*Tabla1[[#This Row],[entrada_litros]]/1000</f>
        <v>172.59560000000002</v>
      </c>
      <c r="S201">
        <f>Tabla1[[#This Row],[cuba_fab_litros]]*Tabla1[[#This Row],[cuba_fab_grasa_g_l]]/1000</f>
        <v>204.82539000000003</v>
      </c>
      <c r="T201">
        <f>Tabla1[[#This Row],[cuba_fab_litros]]*Tabla1[[#This Row],[cuba_fab_prot_g_l]]/1000</f>
        <v>171.29847000000001</v>
      </c>
      <c r="U201">
        <f>Tabla1[[#This Row],[queso_kg]]*Tabla1[[#This Row],[queso_est_pct]]/100</f>
        <v>334.48732799999999</v>
      </c>
      <c r="V201">
        <f>Tabla1[[#This Row],[queso_kg]]*Tabla1[[#This Row],[queso_mg_pct]]/100</f>
        <v>175.10385200000002</v>
      </c>
      <c r="W201">
        <f>Tabla1[[#This Row],[queso_est_kg]]-Tabla1[[#This Row],[queso_mg_kg]]</f>
        <v>159.38347599999997</v>
      </c>
      <c r="X201">
        <f>_xlfn.ISOWEEKNUM(Tabla1[[#This Row],[fecha]])</f>
        <v>29</v>
      </c>
      <c r="Y201">
        <v>29</v>
      </c>
      <c r="Z201" s="7">
        <f>Tabla1[[#This Row],[suero_litros]]*Tabla1[[#This Row],[suero_grasa_g_l]]/1000</f>
        <v>29.121380000000002</v>
      </c>
      <c r="AA201" s="7">
        <f>Tabla1[[#This Row],[suero_litros]]*Tabla1[[#This Row],[suero_prot_g_l]]/1000</f>
        <v>21.907019999999999</v>
      </c>
      <c r="AB201" s="7">
        <f>Tabla1[[#This Row],[suero_est_g_l]]*Tabla1[[#This Row],[suero_litros]]/1000</f>
        <v>277.44493</v>
      </c>
    </row>
    <row r="202" spans="1:28" x14ac:dyDescent="0.25">
      <c r="A202" s="1">
        <v>45491</v>
      </c>
      <c r="B202">
        <v>4948</v>
      </c>
      <c r="C202">
        <v>4804</v>
      </c>
      <c r="D202">
        <v>41.14</v>
      </c>
      <c r="E202">
        <v>37.01</v>
      </c>
      <c r="F202">
        <v>5030</v>
      </c>
      <c r="G202">
        <v>40.28</v>
      </c>
      <c r="H202">
        <v>34.700000000000003</v>
      </c>
      <c r="I202">
        <v>4349</v>
      </c>
      <c r="J202">
        <v>630.98</v>
      </c>
      <c r="K202">
        <v>53.22</v>
      </c>
      <c r="L202">
        <v>27.56</v>
      </c>
      <c r="M202">
        <v>4439</v>
      </c>
      <c r="N202">
        <v>6.38</v>
      </c>
      <c r="O202">
        <v>6.86</v>
      </c>
      <c r="P202">
        <v>65.099999999999994</v>
      </c>
      <c r="Q202">
        <f>Tabla1[[#This Row],[entrada_litros]]*Tabla1[[#This Row],[entrada_grasa_g_l]]/1000</f>
        <v>197.63656</v>
      </c>
      <c r="R202">
        <f>Tabla1[[#This Row],[entrada_prot_g_l]]*Tabla1[[#This Row],[entrada_litros]]/1000</f>
        <v>177.79603999999998</v>
      </c>
      <c r="S202">
        <f>Tabla1[[#This Row],[cuba_fab_litros]]*Tabla1[[#This Row],[cuba_fab_grasa_g_l]]/1000</f>
        <v>202.60839999999999</v>
      </c>
      <c r="T202">
        <f>Tabla1[[#This Row],[cuba_fab_litros]]*Tabla1[[#This Row],[cuba_fab_prot_g_l]]/1000</f>
        <v>174.541</v>
      </c>
      <c r="U202">
        <f>Tabla1[[#This Row],[queso_kg]]*Tabla1[[#This Row],[queso_est_pct]]/100</f>
        <v>335.80755599999998</v>
      </c>
      <c r="V202">
        <f>Tabla1[[#This Row],[queso_kg]]*Tabla1[[#This Row],[queso_mg_pct]]/100</f>
        <v>173.898088</v>
      </c>
      <c r="W202">
        <f>Tabla1[[#This Row],[queso_est_kg]]-Tabla1[[#This Row],[queso_mg_kg]]</f>
        <v>161.90946799999998</v>
      </c>
      <c r="X202">
        <f>_xlfn.ISOWEEKNUM(Tabla1[[#This Row],[fecha]])</f>
        <v>29</v>
      </c>
      <c r="Y202">
        <v>29</v>
      </c>
      <c r="Z202" s="7">
        <f>Tabla1[[#This Row],[suero_litros]]*Tabla1[[#This Row],[suero_grasa_g_l]]/1000</f>
        <v>28.320820000000001</v>
      </c>
      <c r="AA202" s="7">
        <f>Tabla1[[#This Row],[suero_litros]]*Tabla1[[#This Row],[suero_prot_g_l]]/1000</f>
        <v>30.451540000000001</v>
      </c>
      <c r="AB202" s="7">
        <f>Tabla1[[#This Row],[suero_est_g_l]]*Tabla1[[#This Row],[suero_litros]]/1000</f>
        <v>288.97889999999995</v>
      </c>
    </row>
    <row r="203" spans="1:28" x14ac:dyDescent="0.25">
      <c r="A203" s="1">
        <v>45492</v>
      </c>
      <c r="B203">
        <v>0</v>
      </c>
      <c r="C203">
        <v>0</v>
      </c>
      <c r="D203">
        <v>0</v>
      </c>
      <c r="E203">
        <v>0</v>
      </c>
      <c r="F203">
        <v>4365</v>
      </c>
      <c r="G203">
        <v>40.26</v>
      </c>
      <c r="H203">
        <v>34.590000000000003</v>
      </c>
      <c r="I203">
        <v>0</v>
      </c>
      <c r="J203">
        <v>565.64</v>
      </c>
      <c r="K203">
        <v>52.44</v>
      </c>
      <c r="L203">
        <v>26.36</v>
      </c>
      <c r="M203">
        <v>3834</v>
      </c>
      <c r="N203">
        <v>6.78</v>
      </c>
      <c r="O203">
        <v>6.88</v>
      </c>
      <c r="P203">
        <v>64.510000000000005</v>
      </c>
      <c r="Q203">
        <f>Tabla1[[#This Row],[entrada_litros]]*Tabla1[[#This Row],[entrada_grasa_g_l]]/1000</f>
        <v>0</v>
      </c>
      <c r="R203">
        <f>Tabla1[[#This Row],[entrada_prot_g_l]]*Tabla1[[#This Row],[entrada_litros]]/1000</f>
        <v>0</v>
      </c>
      <c r="S203">
        <f>Tabla1[[#This Row],[cuba_fab_litros]]*Tabla1[[#This Row],[cuba_fab_grasa_g_l]]/1000</f>
        <v>175.73489999999998</v>
      </c>
      <c r="T203">
        <f>Tabla1[[#This Row],[cuba_fab_litros]]*Tabla1[[#This Row],[cuba_fab_prot_g_l]]/1000</f>
        <v>150.98535000000001</v>
      </c>
      <c r="U203">
        <f>Tabla1[[#This Row],[queso_kg]]*Tabla1[[#This Row],[queso_est_pct]]/100</f>
        <v>296.62161600000002</v>
      </c>
      <c r="V203">
        <f>Tabla1[[#This Row],[queso_kg]]*Tabla1[[#This Row],[queso_mg_pct]]/100</f>
        <v>149.10270399999999</v>
      </c>
      <c r="W203">
        <f>Tabla1[[#This Row],[queso_est_kg]]-Tabla1[[#This Row],[queso_mg_kg]]</f>
        <v>147.51891200000003</v>
      </c>
      <c r="X203">
        <f>_xlfn.ISOWEEKNUM(Tabla1[[#This Row],[fecha]])</f>
        <v>29</v>
      </c>
      <c r="Y203">
        <v>29</v>
      </c>
      <c r="Z203" s="7">
        <f>Tabla1[[#This Row],[suero_litros]]*Tabla1[[#This Row],[suero_grasa_g_l]]/1000</f>
        <v>25.994520000000001</v>
      </c>
      <c r="AA203" s="7">
        <f>Tabla1[[#This Row],[suero_litros]]*Tabla1[[#This Row],[suero_prot_g_l]]/1000</f>
        <v>26.37792</v>
      </c>
      <c r="AB203" s="7">
        <f>Tabla1[[#This Row],[suero_est_g_l]]*Tabla1[[#This Row],[suero_litros]]/1000</f>
        <v>247.33134000000001</v>
      </c>
    </row>
    <row r="204" spans="1:28" x14ac:dyDescent="0.25">
      <c r="A204" s="1">
        <v>45493</v>
      </c>
      <c r="B204">
        <v>0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f>Tabla1[[#This Row],[entrada_litros]]*Tabla1[[#This Row],[entrada_grasa_g_l]]/1000</f>
        <v>0</v>
      </c>
      <c r="R204">
        <f>Tabla1[[#This Row],[entrada_prot_g_l]]*Tabla1[[#This Row],[entrada_litros]]/1000</f>
        <v>0</v>
      </c>
      <c r="S204">
        <f>Tabla1[[#This Row],[cuba_fab_litros]]*Tabla1[[#This Row],[cuba_fab_grasa_g_l]]/1000</f>
        <v>0</v>
      </c>
      <c r="T204">
        <f>Tabla1[[#This Row],[cuba_fab_litros]]*Tabla1[[#This Row],[cuba_fab_prot_g_l]]/1000</f>
        <v>0</v>
      </c>
      <c r="U204">
        <f>Tabla1[[#This Row],[queso_kg]]*Tabla1[[#This Row],[queso_est_pct]]/100</f>
        <v>0</v>
      </c>
      <c r="V204">
        <f>Tabla1[[#This Row],[queso_kg]]*Tabla1[[#This Row],[queso_mg_pct]]/100</f>
        <v>0</v>
      </c>
      <c r="W204">
        <f>Tabla1[[#This Row],[queso_est_kg]]-Tabla1[[#This Row],[queso_mg_kg]]</f>
        <v>0</v>
      </c>
      <c r="X204">
        <f>_xlfn.ISOWEEKNUM(Tabla1[[#This Row],[fecha]])</f>
        <v>29</v>
      </c>
      <c r="Y204">
        <v>29</v>
      </c>
      <c r="Z204" s="7">
        <f>Tabla1[[#This Row],[suero_litros]]*Tabla1[[#This Row],[suero_grasa_g_l]]/1000</f>
        <v>0</v>
      </c>
      <c r="AA204" s="7">
        <f>Tabla1[[#This Row],[suero_litros]]*Tabla1[[#This Row],[suero_prot_g_l]]/1000</f>
        <v>0</v>
      </c>
      <c r="AB204" s="7">
        <f>Tabla1[[#This Row],[suero_est_g_l]]*Tabla1[[#This Row],[suero_litros]]/1000</f>
        <v>0</v>
      </c>
    </row>
    <row r="205" spans="1:28" x14ac:dyDescent="0.25">
      <c r="A205" s="1">
        <v>45494</v>
      </c>
      <c r="B205">
        <v>5083</v>
      </c>
      <c r="C205">
        <v>4935</v>
      </c>
      <c r="D205">
        <v>43.54</v>
      </c>
      <c r="E205">
        <v>35.380000000000003</v>
      </c>
      <c r="F205">
        <v>0</v>
      </c>
      <c r="G205">
        <v>0</v>
      </c>
      <c r="H205">
        <v>0</v>
      </c>
      <c r="I205">
        <v>4935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f>Tabla1[[#This Row],[entrada_litros]]*Tabla1[[#This Row],[entrada_grasa_g_l]]/1000</f>
        <v>214.8699</v>
      </c>
      <c r="R205">
        <f>Tabla1[[#This Row],[entrada_prot_g_l]]*Tabla1[[#This Row],[entrada_litros]]/1000</f>
        <v>174.6003</v>
      </c>
      <c r="S205">
        <f>Tabla1[[#This Row],[cuba_fab_litros]]*Tabla1[[#This Row],[cuba_fab_grasa_g_l]]/1000</f>
        <v>0</v>
      </c>
      <c r="T205">
        <f>Tabla1[[#This Row],[cuba_fab_litros]]*Tabla1[[#This Row],[cuba_fab_prot_g_l]]/1000</f>
        <v>0</v>
      </c>
      <c r="U205">
        <f>Tabla1[[#This Row],[queso_kg]]*Tabla1[[#This Row],[queso_est_pct]]/100</f>
        <v>0</v>
      </c>
      <c r="V205">
        <f>Tabla1[[#This Row],[queso_kg]]*Tabla1[[#This Row],[queso_mg_pct]]/100</f>
        <v>0</v>
      </c>
      <c r="W205">
        <f>Tabla1[[#This Row],[queso_est_kg]]-Tabla1[[#This Row],[queso_mg_kg]]</f>
        <v>0</v>
      </c>
      <c r="X205">
        <f>_xlfn.ISOWEEKNUM(Tabla1[[#This Row],[fecha]])</f>
        <v>29</v>
      </c>
      <c r="Y205">
        <v>30</v>
      </c>
      <c r="Z205" s="7">
        <f>Tabla1[[#This Row],[suero_litros]]*Tabla1[[#This Row],[suero_grasa_g_l]]/1000</f>
        <v>0</v>
      </c>
      <c r="AA205" s="7">
        <f>Tabla1[[#This Row],[suero_litros]]*Tabla1[[#This Row],[suero_prot_g_l]]/1000</f>
        <v>0</v>
      </c>
      <c r="AB205" s="7">
        <f>Tabla1[[#This Row],[suero_est_g_l]]*Tabla1[[#This Row],[suero_litros]]/1000</f>
        <v>0</v>
      </c>
    </row>
    <row r="206" spans="1:28" x14ac:dyDescent="0.25">
      <c r="A206" s="1">
        <v>45495</v>
      </c>
      <c r="B206">
        <v>4806</v>
      </c>
      <c r="C206">
        <v>4666</v>
      </c>
      <c r="D206">
        <v>41.54</v>
      </c>
      <c r="E206">
        <v>35.619999999999997</v>
      </c>
      <c r="F206">
        <v>5032</v>
      </c>
      <c r="G206">
        <v>40.57</v>
      </c>
      <c r="H206">
        <v>33.770000000000003</v>
      </c>
      <c r="I206">
        <v>4601</v>
      </c>
      <c r="J206">
        <v>640.79999999999995</v>
      </c>
      <c r="K206">
        <v>51.6</v>
      </c>
      <c r="L206">
        <v>26.98</v>
      </c>
      <c r="M206">
        <v>4431</v>
      </c>
      <c r="N206">
        <v>6.92</v>
      </c>
      <c r="O206">
        <v>7.19</v>
      </c>
      <c r="P206">
        <v>66.040000000000006</v>
      </c>
      <c r="Q206">
        <f>Tabla1[[#This Row],[entrada_litros]]*Tabla1[[#This Row],[entrada_grasa_g_l]]/1000</f>
        <v>193.82563999999999</v>
      </c>
      <c r="R206">
        <f>Tabla1[[#This Row],[entrada_prot_g_l]]*Tabla1[[#This Row],[entrada_litros]]/1000</f>
        <v>166.20291999999998</v>
      </c>
      <c r="S206">
        <f>Tabla1[[#This Row],[cuba_fab_litros]]*Tabla1[[#This Row],[cuba_fab_grasa_g_l]]/1000</f>
        <v>204.14823999999999</v>
      </c>
      <c r="T206">
        <f>Tabla1[[#This Row],[cuba_fab_litros]]*Tabla1[[#This Row],[cuba_fab_prot_g_l]]/1000</f>
        <v>169.93064000000001</v>
      </c>
      <c r="U206">
        <f>Tabla1[[#This Row],[queso_kg]]*Tabla1[[#This Row],[queso_est_pct]]/100</f>
        <v>330.65280000000001</v>
      </c>
      <c r="V206">
        <f>Tabla1[[#This Row],[queso_kg]]*Tabla1[[#This Row],[queso_mg_pct]]/100</f>
        <v>172.88783999999998</v>
      </c>
      <c r="W206">
        <f>Tabla1[[#This Row],[queso_est_kg]]-Tabla1[[#This Row],[queso_mg_kg]]</f>
        <v>157.76496000000003</v>
      </c>
      <c r="X206">
        <f>_xlfn.ISOWEEKNUM(Tabla1[[#This Row],[fecha]])</f>
        <v>30</v>
      </c>
      <c r="Y206">
        <v>30</v>
      </c>
      <c r="Z206" s="7">
        <f>Tabla1[[#This Row],[suero_litros]]*Tabla1[[#This Row],[suero_grasa_g_l]]/1000</f>
        <v>30.662520000000001</v>
      </c>
      <c r="AA206" s="7">
        <f>Tabla1[[#This Row],[suero_litros]]*Tabla1[[#This Row],[suero_prot_g_l]]/1000</f>
        <v>31.858890000000002</v>
      </c>
      <c r="AB206" s="7">
        <f>Tabla1[[#This Row],[suero_est_g_l]]*Tabla1[[#This Row],[suero_litros]]/1000</f>
        <v>292.62324000000007</v>
      </c>
    </row>
    <row r="207" spans="1:28" x14ac:dyDescent="0.25">
      <c r="A207" s="1">
        <v>45496</v>
      </c>
      <c r="B207">
        <v>4329</v>
      </c>
      <c r="C207">
        <v>4203</v>
      </c>
      <c r="D207">
        <v>41.89</v>
      </c>
      <c r="E207">
        <v>34.869999999999997</v>
      </c>
      <c r="F207">
        <v>5023</v>
      </c>
      <c r="G207">
        <v>40.369999999999997</v>
      </c>
      <c r="H207">
        <v>33.880000000000003</v>
      </c>
      <c r="I207">
        <v>3804</v>
      </c>
      <c r="J207">
        <v>652.13</v>
      </c>
      <c r="K207">
        <v>51.32</v>
      </c>
      <c r="L207">
        <v>27.21</v>
      </c>
      <c r="M207">
        <v>4411</v>
      </c>
      <c r="N207">
        <v>5.59</v>
      </c>
      <c r="O207">
        <v>3.7</v>
      </c>
      <c r="P207">
        <v>62</v>
      </c>
      <c r="Q207">
        <f>Tabla1[[#This Row],[entrada_litros]]*Tabla1[[#This Row],[entrada_grasa_g_l]]/1000</f>
        <v>176.06367</v>
      </c>
      <c r="R207">
        <f>Tabla1[[#This Row],[entrada_prot_g_l]]*Tabla1[[#This Row],[entrada_litros]]/1000</f>
        <v>146.55860999999999</v>
      </c>
      <c r="S207">
        <f>Tabla1[[#This Row],[cuba_fab_litros]]*Tabla1[[#This Row],[cuba_fab_grasa_g_l]]/1000</f>
        <v>202.77850999999998</v>
      </c>
      <c r="T207">
        <f>Tabla1[[#This Row],[cuba_fab_litros]]*Tabla1[[#This Row],[cuba_fab_prot_g_l]]/1000</f>
        <v>170.17924000000002</v>
      </c>
      <c r="U207">
        <f>Tabla1[[#This Row],[queso_kg]]*Tabla1[[#This Row],[queso_est_pct]]/100</f>
        <v>334.67311599999999</v>
      </c>
      <c r="V207">
        <f>Tabla1[[#This Row],[queso_kg]]*Tabla1[[#This Row],[queso_mg_pct]]/100</f>
        <v>177.44457300000002</v>
      </c>
      <c r="W207">
        <f>Tabla1[[#This Row],[queso_est_kg]]-Tabla1[[#This Row],[queso_mg_kg]]</f>
        <v>157.22854299999997</v>
      </c>
      <c r="X207">
        <f>_xlfn.ISOWEEKNUM(Tabla1[[#This Row],[fecha]])</f>
        <v>30</v>
      </c>
      <c r="Y207">
        <v>30</v>
      </c>
      <c r="Z207" s="7">
        <f>Tabla1[[#This Row],[suero_litros]]*Tabla1[[#This Row],[suero_grasa_g_l]]/1000</f>
        <v>24.657489999999999</v>
      </c>
      <c r="AA207" s="7">
        <f>Tabla1[[#This Row],[suero_litros]]*Tabla1[[#This Row],[suero_prot_g_l]]/1000</f>
        <v>16.320700000000002</v>
      </c>
      <c r="AB207" s="7">
        <f>Tabla1[[#This Row],[suero_est_g_l]]*Tabla1[[#This Row],[suero_litros]]/1000</f>
        <v>273.48200000000003</v>
      </c>
    </row>
    <row r="208" spans="1:28" x14ac:dyDescent="0.25">
      <c r="A208" s="1">
        <v>45497</v>
      </c>
      <c r="B208">
        <v>4680</v>
      </c>
      <c r="C208">
        <v>4544</v>
      </c>
      <c r="D208">
        <v>39.450000000000003</v>
      </c>
      <c r="E208">
        <v>35.090000000000003</v>
      </c>
      <c r="F208">
        <v>5023</v>
      </c>
      <c r="G208">
        <v>38.93</v>
      </c>
      <c r="H208">
        <v>33.49</v>
      </c>
      <c r="I208">
        <v>3348</v>
      </c>
      <c r="J208">
        <v>636.65</v>
      </c>
      <c r="K208">
        <v>51.36</v>
      </c>
      <c r="L208">
        <v>26.52</v>
      </c>
      <c r="M208">
        <v>4426</v>
      </c>
      <c r="N208">
        <v>5.88</v>
      </c>
      <c r="O208">
        <v>5.91</v>
      </c>
      <c r="P208">
        <v>62</v>
      </c>
      <c r="Q208">
        <f>Tabla1[[#This Row],[entrada_litros]]*Tabla1[[#This Row],[entrada_grasa_g_l]]/1000</f>
        <v>179.26080000000002</v>
      </c>
      <c r="R208">
        <f>Tabla1[[#This Row],[entrada_prot_g_l]]*Tabla1[[#This Row],[entrada_litros]]/1000</f>
        <v>159.44896000000003</v>
      </c>
      <c r="S208">
        <f>Tabla1[[#This Row],[cuba_fab_litros]]*Tabla1[[#This Row],[cuba_fab_grasa_g_l]]/1000</f>
        <v>195.54539</v>
      </c>
      <c r="T208">
        <f>Tabla1[[#This Row],[cuba_fab_litros]]*Tabla1[[#This Row],[cuba_fab_prot_g_l]]/1000</f>
        <v>168.22027000000003</v>
      </c>
      <c r="U208">
        <f>Tabla1[[#This Row],[queso_kg]]*Tabla1[[#This Row],[queso_est_pct]]/100</f>
        <v>326.98343999999997</v>
      </c>
      <c r="V208">
        <f>Tabla1[[#This Row],[queso_kg]]*Tabla1[[#This Row],[queso_mg_pct]]/100</f>
        <v>168.83957999999998</v>
      </c>
      <c r="W208">
        <f>Tabla1[[#This Row],[queso_est_kg]]-Tabla1[[#This Row],[queso_mg_kg]]</f>
        <v>158.14385999999999</v>
      </c>
      <c r="X208">
        <f>_xlfn.ISOWEEKNUM(Tabla1[[#This Row],[fecha]])</f>
        <v>30</v>
      </c>
      <c r="Y208">
        <v>30</v>
      </c>
      <c r="Z208" s="7">
        <f>Tabla1[[#This Row],[suero_litros]]*Tabla1[[#This Row],[suero_grasa_g_l]]/1000</f>
        <v>26.02488</v>
      </c>
      <c r="AA208" s="7">
        <f>Tabla1[[#This Row],[suero_litros]]*Tabla1[[#This Row],[suero_prot_g_l]]/1000</f>
        <v>26.15766</v>
      </c>
      <c r="AB208" s="7">
        <f>Tabla1[[#This Row],[suero_est_g_l]]*Tabla1[[#This Row],[suero_litros]]/1000</f>
        <v>274.41199999999998</v>
      </c>
    </row>
    <row r="209" spans="1:28" x14ac:dyDescent="0.25">
      <c r="A209" s="1">
        <v>45498</v>
      </c>
      <c r="B209">
        <v>5292</v>
      </c>
      <c r="C209">
        <v>5138</v>
      </c>
      <c r="D209">
        <v>40.36</v>
      </c>
      <c r="E209">
        <v>36.33</v>
      </c>
      <c r="F209">
        <v>5019</v>
      </c>
      <c r="G209">
        <v>38.15</v>
      </c>
      <c r="H209">
        <v>34.119999999999997</v>
      </c>
      <c r="I209">
        <v>3486</v>
      </c>
      <c r="J209">
        <v>622.57000000000005</v>
      </c>
      <c r="K209">
        <v>52.6</v>
      </c>
      <c r="L209">
        <v>26.74</v>
      </c>
      <c r="M209">
        <v>4436</v>
      </c>
      <c r="N209">
        <v>5.51</v>
      </c>
      <c r="O209">
        <v>6.2</v>
      </c>
      <c r="P209">
        <v>63.75</v>
      </c>
      <c r="Q209">
        <f>Tabla1[[#This Row],[entrada_litros]]*Tabla1[[#This Row],[entrada_grasa_g_l]]/1000</f>
        <v>207.36967999999999</v>
      </c>
      <c r="R209">
        <f>Tabla1[[#This Row],[entrada_prot_g_l]]*Tabla1[[#This Row],[entrada_litros]]/1000</f>
        <v>186.66353999999998</v>
      </c>
      <c r="S209">
        <f>Tabla1[[#This Row],[cuba_fab_litros]]*Tabla1[[#This Row],[cuba_fab_grasa_g_l]]/1000</f>
        <v>191.47485</v>
      </c>
      <c r="T209">
        <f>Tabla1[[#This Row],[cuba_fab_litros]]*Tabla1[[#This Row],[cuba_fab_prot_g_l]]/1000</f>
        <v>171.24827999999999</v>
      </c>
      <c r="U209">
        <f>Tabla1[[#This Row],[queso_kg]]*Tabla1[[#This Row],[queso_est_pct]]/100</f>
        <v>327.47182000000004</v>
      </c>
      <c r="V209">
        <f>Tabla1[[#This Row],[queso_kg]]*Tabla1[[#This Row],[queso_mg_pct]]/100</f>
        <v>166.47521799999998</v>
      </c>
      <c r="W209">
        <f>Tabla1[[#This Row],[queso_est_kg]]-Tabla1[[#This Row],[queso_mg_kg]]</f>
        <v>160.99660200000005</v>
      </c>
      <c r="X209">
        <f>_xlfn.ISOWEEKNUM(Tabla1[[#This Row],[fecha]])</f>
        <v>30</v>
      </c>
      <c r="Y209">
        <v>30</v>
      </c>
      <c r="Z209" s="7">
        <f>Tabla1[[#This Row],[suero_litros]]*Tabla1[[#This Row],[suero_grasa_g_l]]/1000</f>
        <v>24.442360000000001</v>
      </c>
      <c r="AA209" s="7">
        <f>Tabla1[[#This Row],[suero_litros]]*Tabla1[[#This Row],[suero_prot_g_l]]/1000</f>
        <v>27.5032</v>
      </c>
      <c r="AB209" s="7">
        <f>Tabla1[[#This Row],[suero_est_g_l]]*Tabla1[[#This Row],[suero_litros]]/1000</f>
        <v>282.79500000000002</v>
      </c>
    </row>
    <row r="210" spans="1:28" x14ac:dyDescent="0.25">
      <c r="A210" s="1">
        <v>45499</v>
      </c>
      <c r="B210">
        <v>0</v>
      </c>
      <c r="C210">
        <v>0</v>
      </c>
      <c r="D210">
        <v>0</v>
      </c>
      <c r="E210">
        <v>0</v>
      </c>
      <c r="F210">
        <v>3508</v>
      </c>
      <c r="G210">
        <v>38.56</v>
      </c>
      <c r="H210">
        <v>34.26</v>
      </c>
      <c r="I210">
        <v>0</v>
      </c>
      <c r="J210">
        <v>444.86</v>
      </c>
      <c r="K210">
        <v>50.23</v>
      </c>
      <c r="L210">
        <v>25.35</v>
      </c>
      <c r="M210">
        <v>3091</v>
      </c>
      <c r="N210">
        <v>7.11</v>
      </c>
      <c r="O210">
        <v>4.5199999999999996</v>
      </c>
      <c r="P210">
        <v>62.51</v>
      </c>
      <c r="Q210">
        <f>Tabla1[[#This Row],[entrada_litros]]*Tabla1[[#This Row],[entrada_grasa_g_l]]/1000</f>
        <v>0</v>
      </c>
      <c r="R210">
        <f>Tabla1[[#This Row],[entrada_prot_g_l]]*Tabla1[[#This Row],[entrada_litros]]/1000</f>
        <v>0</v>
      </c>
      <c r="S210">
        <f>Tabla1[[#This Row],[cuba_fab_litros]]*Tabla1[[#This Row],[cuba_fab_grasa_g_l]]/1000</f>
        <v>135.26848000000001</v>
      </c>
      <c r="T210">
        <f>Tabla1[[#This Row],[cuba_fab_litros]]*Tabla1[[#This Row],[cuba_fab_prot_g_l]]/1000</f>
        <v>120.18407999999998</v>
      </c>
      <c r="U210">
        <f>Tabla1[[#This Row],[queso_kg]]*Tabla1[[#This Row],[queso_est_pct]]/100</f>
        <v>223.45317800000001</v>
      </c>
      <c r="V210">
        <f>Tabla1[[#This Row],[queso_kg]]*Tabla1[[#This Row],[queso_mg_pct]]/100</f>
        <v>112.77201000000001</v>
      </c>
      <c r="W210">
        <f>Tabla1[[#This Row],[queso_est_kg]]-Tabla1[[#This Row],[queso_mg_kg]]</f>
        <v>110.681168</v>
      </c>
      <c r="X210">
        <f>_xlfn.ISOWEEKNUM(Tabla1[[#This Row],[fecha]])</f>
        <v>30</v>
      </c>
      <c r="Y210">
        <v>30</v>
      </c>
      <c r="Z210" s="7">
        <f>Tabla1[[#This Row],[suero_litros]]*Tabla1[[#This Row],[suero_grasa_g_l]]/1000</f>
        <v>21.977010000000003</v>
      </c>
      <c r="AA210" s="7">
        <f>Tabla1[[#This Row],[suero_litros]]*Tabla1[[#This Row],[suero_prot_g_l]]/1000</f>
        <v>13.971319999999999</v>
      </c>
      <c r="AB210" s="7">
        <f>Tabla1[[#This Row],[suero_est_g_l]]*Tabla1[[#This Row],[suero_litros]]/1000</f>
        <v>193.21841000000001</v>
      </c>
    </row>
    <row r="211" spans="1:28" x14ac:dyDescent="0.25">
      <c r="A211" s="1">
        <v>45500</v>
      </c>
      <c r="B211">
        <v>0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f>Tabla1[[#This Row],[entrada_litros]]*Tabla1[[#This Row],[entrada_grasa_g_l]]/1000</f>
        <v>0</v>
      </c>
      <c r="R211">
        <f>Tabla1[[#This Row],[entrada_prot_g_l]]*Tabla1[[#This Row],[entrada_litros]]/1000</f>
        <v>0</v>
      </c>
      <c r="S211">
        <f>Tabla1[[#This Row],[cuba_fab_litros]]*Tabla1[[#This Row],[cuba_fab_grasa_g_l]]/1000</f>
        <v>0</v>
      </c>
      <c r="T211">
        <f>Tabla1[[#This Row],[cuba_fab_litros]]*Tabla1[[#This Row],[cuba_fab_prot_g_l]]/1000</f>
        <v>0</v>
      </c>
      <c r="U211">
        <f>Tabla1[[#This Row],[queso_kg]]*Tabla1[[#This Row],[queso_est_pct]]/100</f>
        <v>0</v>
      </c>
      <c r="V211">
        <f>Tabla1[[#This Row],[queso_kg]]*Tabla1[[#This Row],[queso_mg_pct]]/100</f>
        <v>0</v>
      </c>
      <c r="W211">
        <f>Tabla1[[#This Row],[queso_est_kg]]-Tabla1[[#This Row],[queso_mg_kg]]</f>
        <v>0</v>
      </c>
      <c r="X211">
        <f>_xlfn.ISOWEEKNUM(Tabla1[[#This Row],[fecha]])</f>
        <v>30</v>
      </c>
      <c r="Y211">
        <v>30</v>
      </c>
      <c r="Z211" s="7">
        <f>Tabla1[[#This Row],[suero_litros]]*Tabla1[[#This Row],[suero_grasa_g_l]]/1000</f>
        <v>0</v>
      </c>
      <c r="AA211" s="7">
        <f>Tabla1[[#This Row],[suero_litros]]*Tabla1[[#This Row],[suero_prot_g_l]]/1000</f>
        <v>0</v>
      </c>
      <c r="AB211" s="7">
        <f>Tabla1[[#This Row],[suero_est_g_l]]*Tabla1[[#This Row],[suero_litros]]/1000</f>
        <v>0</v>
      </c>
    </row>
    <row r="212" spans="1:28" x14ac:dyDescent="0.25">
      <c r="A212" s="1">
        <v>45501</v>
      </c>
      <c r="B212">
        <v>5166</v>
      </c>
      <c r="C212">
        <v>5016</v>
      </c>
      <c r="D212">
        <v>38.130000000000003</v>
      </c>
      <c r="E212">
        <v>36.43</v>
      </c>
      <c r="F212">
        <v>0</v>
      </c>
      <c r="G212">
        <v>0</v>
      </c>
      <c r="H212">
        <v>0</v>
      </c>
      <c r="I212">
        <v>5016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f>Tabla1[[#This Row],[entrada_litros]]*Tabla1[[#This Row],[entrada_grasa_g_l]]/1000</f>
        <v>191.26008000000002</v>
      </c>
      <c r="R212">
        <f>Tabla1[[#This Row],[entrada_prot_g_l]]*Tabla1[[#This Row],[entrada_litros]]/1000</f>
        <v>182.73287999999999</v>
      </c>
      <c r="S212">
        <f>Tabla1[[#This Row],[cuba_fab_litros]]*Tabla1[[#This Row],[cuba_fab_grasa_g_l]]/1000</f>
        <v>0</v>
      </c>
      <c r="T212">
        <f>Tabla1[[#This Row],[cuba_fab_litros]]*Tabla1[[#This Row],[cuba_fab_prot_g_l]]/1000</f>
        <v>0</v>
      </c>
      <c r="U212">
        <f>Tabla1[[#This Row],[queso_kg]]*Tabla1[[#This Row],[queso_est_pct]]/100</f>
        <v>0</v>
      </c>
      <c r="V212">
        <f>Tabla1[[#This Row],[queso_kg]]*Tabla1[[#This Row],[queso_mg_pct]]/100</f>
        <v>0</v>
      </c>
      <c r="W212">
        <f>Tabla1[[#This Row],[queso_est_kg]]-Tabla1[[#This Row],[queso_mg_kg]]</f>
        <v>0</v>
      </c>
      <c r="X212">
        <f>_xlfn.ISOWEEKNUM(Tabla1[[#This Row],[fecha]])</f>
        <v>30</v>
      </c>
      <c r="Y212">
        <v>31</v>
      </c>
      <c r="Z212" s="7">
        <f>Tabla1[[#This Row],[suero_litros]]*Tabla1[[#This Row],[suero_grasa_g_l]]/1000</f>
        <v>0</v>
      </c>
      <c r="AA212" s="7">
        <f>Tabla1[[#This Row],[suero_litros]]*Tabla1[[#This Row],[suero_prot_g_l]]/1000</f>
        <v>0</v>
      </c>
      <c r="AB212" s="7">
        <f>Tabla1[[#This Row],[suero_est_g_l]]*Tabla1[[#This Row],[suero_litros]]/1000</f>
        <v>0</v>
      </c>
    </row>
    <row r="213" spans="1:28" x14ac:dyDescent="0.25">
      <c r="A213" s="1">
        <v>45502</v>
      </c>
      <c r="B213">
        <v>5393</v>
      </c>
      <c r="C213">
        <v>5236</v>
      </c>
      <c r="D213">
        <v>43.01</v>
      </c>
      <c r="E213">
        <v>35.94</v>
      </c>
      <c r="F213">
        <v>5026</v>
      </c>
      <c r="G213">
        <v>38.72</v>
      </c>
      <c r="H213">
        <v>34.69</v>
      </c>
      <c r="I213">
        <v>5252</v>
      </c>
      <c r="J213">
        <v>611.17999999999995</v>
      </c>
      <c r="K213">
        <v>52.6</v>
      </c>
      <c r="L213">
        <v>27.7</v>
      </c>
      <c r="M213">
        <v>4454</v>
      </c>
      <c r="N213">
        <v>5.57</v>
      </c>
      <c r="O213">
        <v>7.99</v>
      </c>
      <c r="P213">
        <v>65.180000000000007</v>
      </c>
      <c r="Q213">
        <f>Tabla1[[#This Row],[entrada_litros]]*Tabla1[[#This Row],[entrada_grasa_g_l]]/1000</f>
        <v>225.20035999999999</v>
      </c>
      <c r="R213">
        <f>Tabla1[[#This Row],[entrada_prot_g_l]]*Tabla1[[#This Row],[entrada_litros]]/1000</f>
        <v>188.18183999999999</v>
      </c>
      <c r="S213">
        <f>Tabla1[[#This Row],[cuba_fab_litros]]*Tabla1[[#This Row],[cuba_fab_grasa_g_l]]/1000</f>
        <v>194.60672</v>
      </c>
      <c r="T213">
        <f>Tabla1[[#This Row],[cuba_fab_litros]]*Tabla1[[#This Row],[cuba_fab_prot_g_l]]/1000</f>
        <v>174.35194000000001</v>
      </c>
      <c r="U213">
        <f>Tabla1[[#This Row],[queso_kg]]*Tabla1[[#This Row],[queso_est_pct]]/100</f>
        <v>321.48068000000001</v>
      </c>
      <c r="V213">
        <f>Tabla1[[#This Row],[queso_kg]]*Tabla1[[#This Row],[queso_mg_pct]]/100</f>
        <v>169.29685999999998</v>
      </c>
      <c r="W213">
        <f>Tabla1[[#This Row],[queso_est_kg]]-Tabla1[[#This Row],[queso_mg_kg]]</f>
        <v>152.18382000000003</v>
      </c>
      <c r="X213">
        <f>_xlfn.ISOWEEKNUM(Tabla1[[#This Row],[fecha]])</f>
        <v>31</v>
      </c>
      <c r="Y213">
        <v>31</v>
      </c>
      <c r="Z213" s="7">
        <f>Tabla1[[#This Row],[suero_litros]]*Tabla1[[#This Row],[suero_grasa_g_l]]/1000</f>
        <v>24.808780000000002</v>
      </c>
      <c r="AA213" s="7">
        <f>Tabla1[[#This Row],[suero_litros]]*Tabla1[[#This Row],[suero_prot_g_l]]/1000</f>
        <v>35.58746</v>
      </c>
      <c r="AB213" s="7">
        <f>Tabla1[[#This Row],[suero_est_g_l]]*Tabla1[[#This Row],[suero_litros]]/1000</f>
        <v>290.31172000000004</v>
      </c>
    </row>
    <row r="214" spans="1:28" x14ac:dyDescent="0.25">
      <c r="A214" s="1">
        <v>45503</v>
      </c>
      <c r="B214">
        <v>5423</v>
      </c>
      <c r="C214">
        <v>5265</v>
      </c>
      <c r="D214">
        <v>41.07</v>
      </c>
      <c r="E214">
        <v>36.159999999999997</v>
      </c>
      <c r="F214">
        <v>5021</v>
      </c>
      <c r="G214">
        <v>39.22</v>
      </c>
      <c r="H214">
        <v>34.64</v>
      </c>
      <c r="I214">
        <v>5517</v>
      </c>
      <c r="J214">
        <v>678.1</v>
      </c>
      <c r="K214">
        <v>49.74</v>
      </c>
      <c r="L214">
        <v>26.45</v>
      </c>
      <c r="M214">
        <v>4384</v>
      </c>
      <c r="N214">
        <v>3.94</v>
      </c>
      <c r="O214">
        <v>3.27</v>
      </c>
      <c r="P214">
        <v>58.31</v>
      </c>
      <c r="Q214">
        <f>Tabla1[[#This Row],[entrada_litros]]*Tabla1[[#This Row],[entrada_grasa_g_l]]/1000</f>
        <v>216.23354999999998</v>
      </c>
      <c r="R214">
        <f>Tabla1[[#This Row],[entrada_prot_g_l]]*Tabla1[[#This Row],[entrada_litros]]/1000</f>
        <v>190.38239999999999</v>
      </c>
      <c r="S214">
        <f>Tabla1[[#This Row],[cuba_fab_litros]]*Tabla1[[#This Row],[cuba_fab_grasa_g_l]]/1000</f>
        <v>196.92362</v>
      </c>
      <c r="T214">
        <f>Tabla1[[#This Row],[cuba_fab_litros]]*Tabla1[[#This Row],[cuba_fab_prot_g_l]]/1000</f>
        <v>173.92743999999999</v>
      </c>
      <c r="U214">
        <f>Tabla1[[#This Row],[queso_kg]]*Tabla1[[#This Row],[queso_est_pct]]/100</f>
        <v>337.28694000000002</v>
      </c>
      <c r="V214">
        <f>Tabla1[[#This Row],[queso_kg]]*Tabla1[[#This Row],[queso_mg_pct]]/100</f>
        <v>179.35745</v>
      </c>
      <c r="W214">
        <f>Tabla1[[#This Row],[queso_est_kg]]-Tabla1[[#This Row],[queso_mg_kg]]</f>
        <v>157.92949000000002</v>
      </c>
      <c r="X214">
        <f>_xlfn.ISOWEEKNUM(Tabla1[[#This Row],[fecha]])</f>
        <v>31</v>
      </c>
      <c r="Y214">
        <v>31</v>
      </c>
      <c r="Z214" s="7">
        <f>Tabla1[[#This Row],[suero_litros]]*Tabla1[[#This Row],[suero_grasa_g_l]]/1000</f>
        <v>17.272959999999998</v>
      </c>
      <c r="AA214" s="7">
        <f>Tabla1[[#This Row],[suero_litros]]*Tabla1[[#This Row],[suero_prot_g_l]]/1000</f>
        <v>14.33568</v>
      </c>
      <c r="AB214" s="7">
        <f>Tabla1[[#This Row],[suero_est_g_l]]*Tabla1[[#This Row],[suero_litros]]/1000</f>
        <v>255.63104000000001</v>
      </c>
    </row>
    <row r="215" spans="1:28" x14ac:dyDescent="0.25">
      <c r="A215" s="1">
        <v>45504</v>
      </c>
      <c r="B215">
        <v>5056</v>
      </c>
      <c r="C215">
        <v>4909</v>
      </c>
      <c r="D215">
        <v>40.9</v>
      </c>
      <c r="E215">
        <v>37.090000000000003</v>
      </c>
      <c r="F215">
        <v>5036</v>
      </c>
      <c r="G215">
        <v>38.99</v>
      </c>
      <c r="H215">
        <v>35.090000000000003</v>
      </c>
      <c r="I215">
        <v>5426</v>
      </c>
      <c r="J215">
        <v>622.82000000000005</v>
      </c>
      <c r="K215">
        <v>50.91</v>
      </c>
      <c r="L215">
        <v>27.22</v>
      </c>
      <c r="M215">
        <v>4453</v>
      </c>
      <c r="N215">
        <v>5.87</v>
      </c>
      <c r="O215">
        <v>7.06</v>
      </c>
      <c r="P215">
        <v>62.04</v>
      </c>
      <c r="Q215">
        <f>Tabla1[[#This Row],[entrada_litros]]*Tabla1[[#This Row],[entrada_grasa_g_l]]/1000</f>
        <v>200.77809999999999</v>
      </c>
      <c r="R215">
        <f>Tabla1[[#This Row],[entrada_prot_g_l]]*Tabla1[[#This Row],[entrada_litros]]/1000</f>
        <v>182.07481000000001</v>
      </c>
      <c r="S215">
        <f>Tabla1[[#This Row],[cuba_fab_litros]]*Tabla1[[#This Row],[cuba_fab_grasa_g_l]]/1000</f>
        <v>196.35364000000001</v>
      </c>
      <c r="T215">
        <f>Tabla1[[#This Row],[cuba_fab_litros]]*Tabla1[[#This Row],[cuba_fab_prot_g_l]]/1000</f>
        <v>176.71324000000001</v>
      </c>
      <c r="U215">
        <f>Tabla1[[#This Row],[queso_kg]]*Tabla1[[#This Row],[queso_est_pct]]/100</f>
        <v>317.07766200000003</v>
      </c>
      <c r="V215">
        <f>Tabla1[[#This Row],[queso_kg]]*Tabla1[[#This Row],[queso_mg_pct]]/100</f>
        <v>169.53160400000002</v>
      </c>
      <c r="W215">
        <f>Tabla1[[#This Row],[queso_est_kg]]-Tabla1[[#This Row],[queso_mg_kg]]</f>
        <v>147.54605800000002</v>
      </c>
      <c r="X215">
        <f>_xlfn.ISOWEEKNUM(Tabla1[[#This Row],[fecha]])</f>
        <v>31</v>
      </c>
      <c r="Y215">
        <v>31</v>
      </c>
      <c r="Z215" s="7">
        <f>Tabla1[[#This Row],[suero_litros]]*Tabla1[[#This Row],[suero_grasa_g_l]]/1000</f>
        <v>26.139110000000002</v>
      </c>
      <c r="AA215" s="7">
        <f>Tabla1[[#This Row],[suero_litros]]*Tabla1[[#This Row],[suero_prot_g_l]]/1000</f>
        <v>31.438179999999996</v>
      </c>
      <c r="AB215" s="7">
        <f>Tabla1[[#This Row],[suero_est_g_l]]*Tabla1[[#This Row],[suero_litros]]/1000</f>
        <v>276.26411999999999</v>
      </c>
    </row>
    <row r="216" spans="1:28" x14ac:dyDescent="0.25">
      <c r="A216" s="1">
        <v>45505</v>
      </c>
      <c r="B216">
        <v>5451</v>
      </c>
      <c r="C216">
        <v>5292</v>
      </c>
      <c r="D216">
        <v>44.59</v>
      </c>
      <c r="E216">
        <v>37.06</v>
      </c>
      <c r="F216">
        <v>5018</v>
      </c>
      <c r="G216">
        <v>40.99</v>
      </c>
      <c r="H216">
        <v>35.42</v>
      </c>
      <c r="I216">
        <v>5718</v>
      </c>
      <c r="J216">
        <v>607.84</v>
      </c>
      <c r="K216">
        <v>52.6</v>
      </c>
      <c r="L216">
        <v>26.91</v>
      </c>
      <c r="M216">
        <v>4449</v>
      </c>
      <c r="N216">
        <v>9.3000000000000007</v>
      </c>
      <c r="O216">
        <v>6.61</v>
      </c>
      <c r="P216">
        <v>68.349999999999994</v>
      </c>
      <c r="Q216">
        <f>Tabla1[[#This Row],[entrada_litros]]*Tabla1[[#This Row],[entrada_grasa_g_l]]/1000</f>
        <v>235.97028000000003</v>
      </c>
      <c r="R216">
        <f>Tabla1[[#This Row],[entrada_prot_g_l]]*Tabla1[[#This Row],[entrada_litros]]/1000</f>
        <v>196.12152000000003</v>
      </c>
      <c r="S216">
        <f>Tabla1[[#This Row],[cuba_fab_litros]]*Tabla1[[#This Row],[cuba_fab_grasa_g_l]]/1000</f>
        <v>205.68782000000002</v>
      </c>
      <c r="T216">
        <f>Tabla1[[#This Row],[cuba_fab_litros]]*Tabla1[[#This Row],[cuba_fab_prot_g_l]]/1000</f>
        <v>177.73756</v>
      </c>
      <c r="U216">
        <f>Tabla1[[#This Row],[queso_kg]]*Tabla1[[#This Row],[queso_est_pct]]/100</f>
        <v>319.72384</v>
      </c>
      <c r="V216">
        <f>Tabla1[[#This Row],[queso_kg]]*Tabla1[[#This Row],[queso_mg_pct]]/100</f>
        <v>163.56974400000001</v>
      </c>
      <c r="W216">
        <f>Tabla1[[#This Row],[queso_est_kg]]-Tabla1[[#This Row],[queso_mg_kg]]</f>
        <v>156.15409599999998</v>
      </c>
      <c r="X216">
        <f>_xlfn.ISOWEEKNUM(Tabla1[[#This Row],[fecha]])</f>
        <v>31</v>
      </c>
      <c r="Y216">
        <v>31</v>
      </c>
      <c r="Z216" s="7">
        <f>Tabla1[[#This Row],[suero_litros]]*Tabla1[[#This Row],[suero_grasa_g_l]]/1000</f>
        <v>41.375700000000002</v>
      </c>
      <c r="AA216" s="7">
        <f>Tabla1[[#This Row],[suero_litros]]*Tabla1[[#This Row],[suero_prot_g_l]]/1000</f>
        <v>29.407890000000002</v>
      </c>
      <c r="AB216" s="7">
        <f>Tabla1[[#This Row],[suero_est_g_l]]*Tabla1[[#This Row],[suero_litros]]/1000</f>
        <v>304.08914999999996</v>
      </c>
    </row>
    <row r="217" spans="1:28" x14ac:dyDescent="0.25">
      <c r="A217" s="1">
        <v>45506</v>
      </c>
      <c r="B217">
        <v>0</v>
      </c>
      <c r="C217">
        <v>0</v>
      </c>
      <c r="D217">
        <v>0</v>
      </c>
      <c r="E217">
        <v>0</v>
      </c>
      <c r="F217">
        <v>5742</v>
      </c>
      <c r="G217">
        <v>40.79</v>
      </c>
      <c r="H217">
        <v>35.33</v>
      </c>
      <c r="I217">
        <v>0</v>
      </c>
      <c r="J217">
        <v>722.62</v>
      </c>
      <c r="K217">
        <v>53.16</v>
      </c>
      <c r="L217">
        <v>27.09</v>
      </c>
      <c r="M217">
        <v>5065</v>
      </c>
      <c r="N217">
        <v>7.44</v>
      </c>
      <c r="O217">
        <v>8.2799999999999994</v>
      </c>
      <c r="P217">
        <v>65.56</v>
      </c>
      <c r="Q217">
        <f>Tabla1[[#This Row],[entrada_litros]]*Tabla1[[#This Row],[entrada_grasa_g_l]]/1000</f>
        <v>0</v>
      </c>
      <c r="R217">
        <f>Tabla1[[#This Row],[entrada_prot_g_l]]*Tabla1[[#This Row],[entrada_litros]]/1000</f>
        <v>0</v>
      </c>
      <c r="S217">
        <f>Tabla1[[#This Row],[cuba_fab_litros]]*Tabla1[[#This Row],[cuba_fab_grasa_g_l]]/1000</f>
        <v>234.21617999999998</v>
      </c>
      <c r="T217">
        <f>Tabla1[[#This Row],[cuba_fab_litros]]*Tabla1[[#This Row],[cuba_fab_prot_g_l]]/1000</f>
        <v>202.86485999999999</v>
      </c>
      <c r="U217">
        <f>Tabla1[[#This Row],[queso_kg]]*Tabla1[[#This Row],[queso_est_pct]]/100</f>
        <v>384.14479199999994</v>
      </c>
      <c r="V217">
        <f>Tabla1[[#This Row],[queso_kg]]*Tabla1[[#This Row],[queso_mg_pct]]/100</f>
        <v>195.757758</v>
      </c>
      <c r="W217">
        <f>Tabla1[[#This Row],[queso_est_kg]]-Tabla1[[#This Row],[queso_mg_kg]]</f>
        <v>188.38703399999994</v>
      </c>
      <c r="X217">
        <f>_xlfn.ISOWEEKNUM(Tabla1[[#This Row],[fecha]])</f>
        <v>31</v>
      </c>
      <c r="Y217">
        <v>31</v>
      </c>
      <c r="Z217" s="7">
        <f>Tabla1[[#This Row],[suero_litros]]*Tabla1[[#This Row],[suero_grasa_g_l]]/1000</f>
        <v>37.683599999999998</v>
      </c>
      <c r="AA217" s="7">
        <f>Tabla1[[#This Row],[suero_litros]]*Tabla1[[#This Row],[suero_prot_g_l]]/1000</f>
        <v>41.938199999999995</v>
      </c>
      <c r="AB217" s="7">
        <f>Tabla1[[#This Row],[suero_est_g_l]]*Tabla1[[#This Row],[suero_litros]]/1000</f>
        <v>332.06140000000005</v>
      </c>
    </row>
    <row r="218" spans="1:28" x14ac:dyDescent="0.25">
      <c r="A218" s="1">
        <v>45507</v>
      </c>
      <c r="B218">
        <v>0</v>
      </c>
      <c r="C218">
        <v>0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f>Tabla1[[#This Row],[entrada_litros]]*Tabla1[[#This Row],[entrada_grasa_g_l]]/1000</f>
        <v>0</v>
      </c>
      <c r="R218">
        <f>Tabla1[[#This Row],[entrada_prot_g_l]]*Tabla1[[#This Row],[entrada_litros]]/1000</f>
        <v>0</v>
      </c>
      <c r="S218">
        <f>Tabla1[[#This Row],[cuba_fab_litros]]*Tabla1[[#This Row],[cuba_fab_grasa_g_l]]/1000</f>
        <v>0</v>
      </c>
      <c r="T218">
        <f>Tabla1[[#This Row],[cuba_fab_litros]]*Tabla1[[#This Row],[cuba_fab_prot_g_l]]/1000</f>
        <v>0</v>
      </c>
      <c r="U218">
        <f>Tabla1[[#This Row],[queso_kg]]*Tabla1[[#This Row],[queso_est_pct]]/100</f>
        <v>0</v>
      </c>
      <c r="V218">
        <f>Tabla1[[#This Row],[queso_kg]]*Tabla1[[#This Row],[queso_mg_pct]]/100</f>
        <v>0</v>
      </c>
      <c r="W218">
        <f>Tabla1[[#This Row],[queso_est_kg]]-Tabla1[[#This Row],[queso_mg_kg]]</f>
        <v>0</v>
      </c>
      <c r="X218">
        <f>_xlfn.ISOWEEKNUM(Tabla1[[#This Row],[fecha]])</f>
        <v>31</v>
      </c>
      <c r="Y218">
        <v>31</v>
      </c>
      <c r="Z218" s="7">
        <f>Tabla1[[#This Row],[suero_litros]]*Tabla1[[#This Row],[suero_grasa_g_l]]/1000</f>
        <v>0</v>
      </c>
      <c r="AA218" s="7">
        <f>Tabla1[[#This Row],[suero_litros]]*Tabla1[[#This Row],[suero_prot_g_l]]/1000</f>
        <v>0</v>
      </c>
      <c r="AB218" s="7">
        <f>Tabla1[[#This Row],[suero_est_g_l]]*Tabla1[[#This Row],[suero_litros]]/1000</f>
        <v>0</v>
      </c>
    </row>
    <row r="219" spans="1:28" x14ac:dyDescent="0.25">
      <c r="A219" s="1">
        <v>45508</v>
      </c>
      <c r="B219">
        <v>5166</v>
      </c>
      <c r="C219">
        <v>5016</v>
      </c>
      <c r="D219">
        <v>43.3</v>
      </c>
      <c r="E219">
        <v>34.46</v>
      </c>
      <c r="F219">
        <v>0</v>
      </c>
      <c r="G219">
        <v>0</v>
      </c>
      <c r="H219">
        <v>0</v>
      </c>
      <c r="I219">
        <v>5016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f>Tabla1[[#This Row],[entrada_litros]]*Tabla1[[#This Row],[entrada_grasa_g_l]]/1000</f>
        <v>217.19279999999998</v>
      </c>
      <c r="R219">
        <f>Tabla1[[#This Row],[entrada_prot_g_l]]*Tabla1[[#This Row],[entrada_litros]]/1000</f>
        <v>172.85136000000003</v>
      </c>
      <c r="S219">
        <f>Tabla1[[#This Row],[cuba_fab_litros]]*Tabla1[[#This Row],[cuba_fab_grasa_g_l]]/1000</f>
        <v>0</v>
      </c>
      <c r="T219">
        <f>Tabla1[[#This Row],[cuba_fab_litros]]*Tabla1[[#This Row],[cuba_fab_prot_g_l]]/1000</f>
        <v>0</v>
      </c>
      <c r="U219">
        <f>Tabla1[[#This Row],[queso_kg]]*Tabla1[[#This Row],[queso_est_pct]]/100</f>
        <v>0</v>
      </c>
      <c r="V219">
        <f>Tabla1[[#This Row],[queso_kg]]*Tabla1[[#This Row],[queso_mg_pct]]/100</f>
        <v>0</v>
      </c>
      <c r="W219">
        <f>Tabla1[[#This Row],[queso_est_kg]]-Tabla1[[#This Row],[queso_mg_kg]]</f>
        <v>0</v>
      </c>
      <c r="X219">
        <f>_xlfn.ISOWEEKNUM(Tabla1[[#This Row],[fecha]])</f>
        <v>31</v>
      </c>
      <c r="Y219">
        <v>32</v>
      </c>
      <c r="Z219" s="7">
        <f>Tabla1[[#This Row],[suero_litros]]*Tabla1[[#This Row],[suero_grasa_g_l]]/1000</f>
        <v>0</v>
      </c>
      <c r="AA219" s="7">
        <f>Tabla1[[#This Row],[suero_litros]]*Tabla1[[#This Row],[suero_prot_g_l]]/1000</f>
        <v>0</v>
      </c>
      <c r="AB219" s="7">
        <f>Tabla1[[#This Row],[suero_est_g_l]]*Tabla1[[#This Row],[suero_litros]]/1000</f>
        <v>0</v>
      </c>
    </row>
    <row r="220" spans="1:28" x14ac:dyDescent="0.25">
      <c r="A220" s="1">
        <v>45509</v>
      </c>
      <c r="B220">
        <v>5285</v>
      </c>
      <c r="C220">
        <v>5131</v>
      </c>
      <c r="D220">
        <v>42.37</v>
      </c>
      <c r="E220">
        <v>36.99</v>
      </c>
      <c r="F220">
        <v>5023</v>
      </c>
      <c r="G220">
        <v>41.05</v>
      </c>
      <c r="H220">
        <v>34.21</v>
      </c>
      <c r="I220">
        <v>5147</v>
      </c>
      <c r="J220">
        <v>624.6</v>
      </c>
      <c r="K220">
        <v>53.97</v>
      </c>
      <c r="L220">
        <v>27.48</v>
      </c>
      <c r="M220">
        <v>4438</v>
      </c>
      <c r="N220">
        <v>7.59</v>
      </c>
      <c r="O220">
        <v>5.88</v>
      </c>
      <c r="P220">
        <v>64.88</v>
      </c>
      <c r="Q220">
        <f>Tabla1[[#This Row],[entrada_litros]]*Tabla1[[#This Row],[entrada_grasa_g_l]]/1000</f>
        <v>217.40047000000001</v>
      </c>
      <c r="R220">
        <f>Tabla1[[#This Row],[entrada_prot_g_l]]*Tabla1[[#This Row],[entrada_litros]]/1000</f>
        <v>189.79569000000001</v>
      </c>
      <c r="S220">
        <f>Tabla1[[#This Row],[cuba_fab_litros]]*Tabla1[[#This Row],[cuba_fab_grasa_g_l]]/1000</f>
        <v>206.19415000000001</v>
      </c>
      <c r="T220">
        <f>Tabla1[[#This Row],[cuba_fab_litros]]*Tabla1[[#This Row],[cuba_fab_prot_g_l]]/1000</f>
        <v>171.83683000000002</v>
      </c>
      <c r="U220">
        <f>Tabla1[[#This Row],[queso_kg]]*Tabla1[[#This Row],[queso_est_pct]]/100</f>
        <v>337.09662000000003</v>
      </c>
      <c r="V220">
        <f>Tabla1[[#This Row],[queso_kg]]*Tabla1[[#This Row],[queso_mg_pct]]/100</f>
        <v>171.64008000000001</v>
      </c>
      <c r="W220">
        <f>Tabla1[[#This Row],[queso_est_kg]]-Tabla1[[#This Row],[queso_mg_kg]]</f>
        <v>165.45654000000002</v>
      </c>
      <c r="X220">
        <f>_xlfn.ISOWEEKNUM(Tabla1[[#This Row],[fecha]])</f>
        <v>32</v>
      </c>
      <c r="Y220">
        <v>32</v>
      </c>
      <c r="Z220" s="7">
        <f>Tabla1[[#This Row],[suero_litros]]*Tabla1[[#This Row],[suero_grasa_g_l]]/1000</f>
        <v>33.684419999999996</v>
      </c>
      <c r="AA220" s="7">
        <f>Tabla1[[#This Row],[suero_litros]]*Tabla1[[#This Row],[suero_prot_g_l]]/1000</f>
        <v>26.09544</v>
      </c>
      <c r="AB220" s="7">
        <f>Tabla1[[#This Row],[suero_est_g_l]]*Tabla1[[#This Row],[suero_litros]]/1000</f>
        <v>287.93743999999998</v>
      </c>
    </row>
    <row r="221" spans="1:28" x14ac:dyDescent="0.25">
      <c r="A221" s="1">
        <v>45510</v>
      </c>
      <c r="B221">
        <v>4880</v>
      </c>
      <c r="C221">
        <v>4738</v>
      </c>
      <c r="D221">
        <v>43.98</v>
      </c>
      <c r="E221">
        <v>36.03</v>
      </c>
      <c r="F221">
        <v>5030</v>
      </c>
      <c r="G221">
        <v>41.53</v>
      </c>
      <c r="H221">
        <v>34.4</v>
      </c>
      <c r="I221">
        <v>4885</v>
      </c>
      <c r="J221">
        <v>637.58000000000004</v>
      </c>
      <c r="K221">
        <v>51.29</v>
      </c>
      <c r="L221">
        <v>27.26</v>
      </c>
      <c r="M221">
        <v>4433</v>
      </c>
      <c r="N221">
        <v>7.8</v>
      </c>
      <c r="O221">
        <v>6.04</v>
      </c>
      <c r="P221">
        <v>65.48</v>
      </c>
      <c r="Q221">
        <f>Tabla1[[#This Row],[entrada_litros]]*Tabla1[[#This Row],[entrada_grasa_g_l]]/1000</f>
        <v>208.37724</v>
      </c>
      <c r="R221">
        <f>Tabla1[[#This Row],[entrada_prot_g_l]]*Tabla1[[#This Row],[entrada_litros]]/1000</f>
        <v>170.71014000000002</v>
      </c>
      <c r="S221">
        <f>Tabla1[[#This Row],[cuba_fab_litros]]*Tabla1[[#This Row],[cuba_fab_grasa_g_l]]/1000</f>
        <v>208.89589999999998</v>
      </c>
      <c r="T221">
        <f>Tabla1[[#This Row],[cuba_fab_litros]]*Tabla1[[#This Row],[cuba_fab_prot_g_l]]/1000</f>
        <v>173.03200000000001</v>
      </c>
      <c r="U221">
        <f>Tabla1[[#This Row],[queso_kg]]*Tabla1[[#This Row],[queso_est_pct]]/100</f>
        <v>327.01478200000003</v>
      </c>
      <c r="V221">
        <f>Tabla1[[#This Row],[queso_kg]]*Tabla1[[#This Row],[queso_mg_pct]]/100</f>
        <v>173.80430800000002</v>
      </c>
      <c r="W221">
        <f>Tabla1[[#This Row],[queso_est_kg]]-Tabla1[[#This Row],[queso_mg_kg]]</f>
        <v>153.210474</v>
      </c>
      <c r="X221">
        <f>_xlfn.ISOWEEKNUM(Tabla1[[#This Row],[fecha]])</f>
        <v>32</v>
      </c>
      <c r="Y221">
        <v>32</v>
      </c>
      <c r="Z221" s="7">
        <f>Tabla1[[#This Row],[suero_litros]]*Tabla1[[#This Row],[suero_grasa_g_l]]/1000</f>
        <v>34.577400000000004</v>
      </c>
      <c r="AA221" s="7">
        <f>Tabla1[[#This Row],[suero_litros]]*Tabla1[[#This Row],[suero_prot_g_l]]/1000</f>
        <v>26.775320000000001</v>
      </c>
      <c r="AB221" s="7">
        <f>Tabla1[[#This Row],[suero_est_g_l]]*Tabla1[[#This Row],[suero_litros]]/1000</f>
        <v>290.27284000000003</v>
      </c>
    </row>
    <row r="222" spans="1:28" x14ac:dyDescent="0.25">
      <c r="A222" s="1">
        <v>45511</v>
      </c>
      <c r="B222">
        <v>4906</v>
      </c>
      <c r="C222">
        <v>4763</v>
      </c>
      <c r="D222">
        <v>43.4</v>
      </c>
      <c r="E222">
        <v>35.69</v>
      </c>
      <c r="F222">
        <v>5030</v>
      </c>
      <c r="G222">
        <v>41.08</v>
      </c>
      <c r="H222">
        <v>34.11</v>
      </c>
      <c r="I222">
        <v>4648</v>
      </c>
      <c r="J222">
        <v>620.41</v>
      </c>
      <c r="K222">
        <v>52.06</v>
      </c>
      <c r="L222">
        <v>26.8</v>
      </c>
      <c r="M222">
        <v>4449</v>
      </c>
      <c r="N222">
        <v>8.89</v>
      </c>
      <c r="O222">
        <v>6.13</v>
      </c>
      <c r="P222">
        <v>65.5</v>
      </c>
      <c r="Q222">
        <f>Tabla1[[#This Row],[entrada_litros]]*Tabla1[[#This Row],[entrada_grasa_g_l]]/1000</f>
        <v>206.71419999999998</v>
      </c>
      <c r="R222">
        <f>Tabla1[[#This Row],[entrada_prot_g_l]]*Tabla1[[#This Row],[entrada_litros]]/1000</f>
        <v>169.99146999999999</v>
      </c>
      <c r="S222">
        <f>Tabla1[[#This Row],[cuba_fab_litros]]*Tabla1[[#This Row],[cuba_fab_grasa_g_l]]/1000</f>
        <v>206.63239999999999</v>
      </c>
      <c r="T222">
        <f>Tabla1[[#This Row],[cuba_fab_litros]]*Tabla1[[#This Row],[cuba_fab_prot_g_l]]/1000</f>
        <v>171.57329999999999</v>
      </c>
      <c r="U222">
        <f>Tabla1[[#This Row],[queso_kg]]*Tabla1[[#This Row],[queso_est_pct]]/100</f>
        <v>322.98544600000002</v>
      </c>
      <c r="V222">
        <f>Tabla1[[#This Row],[queso_kg]]*Tabla1[[#This Row],[queso_mg_pct]]/100</f>
        <v>166.26988</v>
      </c>
      <c r="W222">
        <f>Tabla1[[#This Row],[queso_est_kg]]-Tabla1[[#This Row],[queso_mg_kg]]</f>
        <v>156.71556600000002</v>
      </c>
      <c r="X222">
        <f>_xlfn.ISOWEEKNUM(Tabla1[[#This Row],[fecha]])</f>
        <v>32</v>
      </c>
      <c r="Y222">
        <v>32</v>
      </c>
      <c r="Z222" s="7">
        <f>Tabla1[[#This Row],[suero_litros]]*Tabla1[[#This Row],[suero_grasa_g_l]]/1000</f>
        <v>39.551610000000004</v>
      </c>
      <c r="AA222" s="7">
        <f>Tabla1[[#This Row],[suero_litros]]*Tabla1[[#This Row],[suero_prot_g_l]]/1000</f>
        <v>27.272369999999999</v>
      </c>
      <c r="AB222" s="7">
        <f>Tabla1[[#This Row],[suero_est_g_l]]*Tabla1[[#This Row],[suero_litros]]/1000</f>
        <v>291.40949999999998</v>
      </c>
    </row>
    <row r="223" spans="1:28" x14ac:dyDescent="0.25">
      <c r="A223" s="1">
        <v>45512</v>
      </c>
      <c r="B223">
        <v>5102</v>
      </c>
      <c r="C223">
        <v>4953</v>
      </c>
      <c r="D223">
        <v>40.15</v>
      </c>
      <c r="E223">
        <v>35.29</v>
      </c>
      <c r="F223">
        <v>5034</v>
      </c>
      <c r="G223">
        <v>40.049999999999997</v>
      </c>
      <c r="H223">
        <v>33.9</v>
      </c>
      <c r="I223">
        <v>4601</v>
      </c>
      <c r="J223">
        <v>622.58000000000004</v>
      </c>
      <c r="K223">
        <v>52.8</v>
      </c>
      <c r="L223">
        <v>27.25</v>
      </c>
      <c r="M223">
        <v>4451</v>
      </c>
      <c r="N223">
        <v>7.04</v>
      </c>
      <c r="O223">
        <v>5.54</v>
      </c>
      <c r="P223">
        <v>63.43</v>
      </c>
      <c r="Q223">
        <f>Tabla1[[#This Row],[entrada_litros]]*Tabla1[[#This Row],[entrada_grasa_g_l]]/1000</f>
        <v>198.86294999999998</v>
      </c>
      <c r="R223">
        <f>Tabla1[[#This Row],[entrada_prot_g_l]]*Tabla1[[#This Row],[entrada_litros]]/1000</f>
        <v>174.79137</v>
      </c>
      <c r="S223">
        <f>Tabla1[[#This Row],[cuba_fab_litros]]*Tabla1[[#This Row],[cuba_fab_grasa_g_l]]/1000</f>
        <v>201.61169999999998</v>
      </c>
      <c r="T223">
        <f>Tabla1[[#This Row],[cuba_fab_litros]]*Tabla1[[#This Row],[cuba_fab_prot_g_l]]/1000</f>
        <v>170.65260000000001</v>
      </c>
      <c r="U223">
        <f>Tabla1[[#This Row],[queso_kg]]*Tabla1[[#This Row],[queso_est_pct]]/100</f>
        <v>328.72224</v>
      </c>
      <c r="V223">
        <f>Tabla1[[#This Row],[queso_kg]]*Tabla1[[#This Row],[queso_mg_pct]]/100</f>
        <v>169.65305000000001</v>
      </c>
      <c r="W223">
        <f>Tabla1[[#This Row],[queso_est_kg]]-Tabla1[[#This Row],[queso_mg_kg]]</f>
        <v>159.06918999999999</v>
      </c>
      <c r="X223">
        <f>_xlfn.ISOWEEKNUM(Tabla1[[#This Row],[fecha]])</f>
        <v>32</v>
      </c>
      <c r="Y223">
        <v>32</v>
      </c>
      <c r="Z223" s="7">
        <f>Tabla1[[#This Row],[suero_litros]]*Tabla1[[#This Row],[suero_grasa_g_l]]/1000</f>
        <v>31.335039999999999</v>
      </c>
      <c r="AA223" s="7">
        <f>Tabla1[[#This Row],[suero_litros]]*Tabla1[[#This Row],[suero_prot_g_l]]/1000</f>
        <v>24.658540000000002</v>
      </c>
      <c r="AB223" s="7">
        <f>Tabla1[[#This Row],[suero_est_g_l]]*Tabla1[[#This Row],[suero_litros]]/1000</f>
        <v>282.32693</v>
      </c>
    </row>
    <row r="224" spans="1:28" x14ac:dyDescent="0.25">
      <c r="A224" s="1">
        <v>45513</v>
      </c>
      <c r="B224">
        <v>0</v>
      </c>
      <c r="C224">
        <v>0</v>
      </c>
      <c r="D224">
        <v>0</v>
      </c>
      <c r="E224">
        <v>0</v>
      </c>
      <c r="F224">
        <v>4624</v>
      </c>
      <c r="G224">
        <v>39.92</v>
      </c>
      <c r="H224">
        <v>34.07</v>
      </c>
      <c r="I224">
        <v>0</v>
      </c>
      <c r="J224">
        <v>570.66</v>
      </c>
      <c r="K224">
        <v>52.9</v>
      </c>
      <c r="L224">
        <v>26.45</v>
      </c>
      <c r="M224">
        <v>4090</v>
      </c>
      <c r="N224">
        <v>8.08</v>
      </c>
      <c r="O224">
        <v>6.77</v>
      </c>
      <c r="P224">
        <v>64.900000000000006</v>
      </c>
      <c r="Q224">
        <f>Tabla1[[#This Row],[entrada_litros]]*Tabla1[[#This Row],[entrada_grasa_g_l]]/1000</f>
        <v>0</v>
      </c>
      <c r="R224">
        <f>Tabla1[[#This Row],[entrada_prot_g_l]]*Tabla1[[#This Row],[entrada_litros]]/1000</f>
        <v>0</v>
      </c>
      <c r="S224">
        <f>Tabla1[[#This Row],[cuba_fab_litros]]*Tabla1[[#This Row],[cuba_fab_grasa_g_l]]/1000</f>
        <v>184.59008000000003</v>
      </c>
      <c r="T224">
        <f>Tabla1[[#This Row],[cuba_fab_litros]]*Tabla1[[#This Row],[cuba_fab_prot_g_l]]/1000</f>
        <v>157.53968</v>
      </c>
      <c r="U224">
        <f>Tabla1[[#This Row],[queso_kg]]*Tabla1[[#This Row],[queso_est_pct]]/100</f>
        <v>301.87913999999995</v>
      </c>
      <c r="V224">
        <f>Tabla1[[#This Row],[queso_kg]]*Tabla1[[#This Row],[queso_mg_pct]]/100</f>
        <v>150.93956999999997</v>
      </c>
      <c r="W224">
        <f>Tabla1[[#This Row],[queso_est_kg]]-Tabla1[[#This Row],[queso_mg_kg]]</f>
        <v>150.93956999999997</v>
      </c>
      <c r="X224">
        <f>_xlfn.ISOWEEKNUM(Tabla1[[#This Row],[fecha]])</f>
        <v>32</v>
      </c>
      <c r="Y224">
        <v>32</v>
      </c>
      <c r="Z224" s="7">
        <f>Tabla1[[#This Row],[suero_litros]]*Tabla1[[#This Row],[suero_grasa_g_l]]/1000</f>
        <v>33.047199999999997</v>
      </c>
      <c r="AA224" s="7">
        <f>Tabla1[[#This Row],[suero_litros]]*Tabla1[[#This Row],[suero_prot_g_l]]/1000</f>
        <v>27.689299999999999</v>
      </c>
      <c r="AB224" s="7">
        <f>Tabla1[[#This Row],[suero_est_g_l]]*Tabla1[[#This Row],[suero_litros]]/1000</f>
        <v>265.44099999999997</v>
      </c>
    </row>
    <row r="225" spans="1:28" x14ac:dyDescent="0.25">
      <c r="A225" s="1">
        <v>45514</v>
      </c>
      <c r="B225">
        <v>0</v>
      </c>
      <c r="C225">
        <v>0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f>Tabla1[[#This Row],[entrada_litros]]*Tabla1[[#This Row],[entrada_grasa_g_l]]/1000</f>
        <v>0</v>
      </c>
      <c r="R225">
        <f>Tabla1[[#This Row],[entrada_prot_g_l]]*Tabla1[[#This Row],[entrada_litros]]/1000</f>
        <v>0</v>
      </c>
      <c r="S225">
        <f>Tabla1[[#This Row],[cuba_fab_litros]]*Tabla1[[#This Row],[cuba_fab_grasa_g_l]]/1000</f>
        <v>0</v>
      </c>
      <c r="T225">
        <f>Tabla1[[#This Row],[cuba_fab_litros]]*Tabla1[[#This Row],[cuba_fab_prot_g_l]]/1000</f>
        <v>0</v>
      </c>
      <c r="U225">
        <f>Tabla1[[#This Row],[queso_kg]]*Tabla1[[#This Row],[queso_est_pct]]/100</f>
        <v>0</v>
      </c>
      <c r="V225">
        <f>Tabla1[[#This Row],[queso_kg]]*Tabla1[[#This Row],[queso_mg_pct]]/100</f>
        <v>0</v>
      </c>
      <c r="W225">
        <f>Tabla1[[#This Row],[queso_est_kg]]-Tabla1[[#This Row],[queso_mg_kg]]</f>
        <v>0</v>
      </c>
      <c r="X225">
        <f>_xlfn.ISOWEEKNUM(Tabla1[[#This Row],[fecha]])</f>
        <v>32</v>
      </c>
      <c r="Y225">
        <v>32</v>
      </c>
      <c r="Z225" s="7">
        <f>Tabla1[[#This Row],[suero_litros]]*Tabla1[[#This Row],[suero_grasa_g_l]]/1000</f>
        <v>0</v>
      </c>
      <c r="AA225" s="7">
        <f>Tabla1[[#This Row],[suero_litros]]*Tabla1[[#This Row],[suero_prot_g_l]]/1000</f>
        <v>0</v>
      </c>
      <c r="AB225" s="7">
        <f>Tabla1[[#This Row],[suero_est_g_l]]*Tabla1[[#This Row],[suero_litros]]/1000</f>
        <v>0</v>
      </c>
    </row>
    <row r="226" spans="1:28" x14ac:dyDescent="0.25">
      <c r="A226" s="1">
        <v>45515</v>
      </c>
      <c r="B226">
        <v>5481</v>
      </c>
      <c r="C226">
        <v>5321</v>
      </c>
      <c r="D226">
        <v>43.52</v>
      </c>
      <c r="E226">
        <v>35.409999999999997</v>
      </c>
      <c r="F226">
        <v>0</v>
      </c>
      <c r="G226">
        <v>0</v>
      </c>
      <c r="H226">
        <v>0</v>
      </c>
      <c r="I226">
        <v>5321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f>Tabla1[[#This Row],[entrada_litros]]*Tabla1[[#This Row],[entrada_grasa_g_l]]/1000</f>
        <v>231.56992000000002</v>
      </c>
      <c r="R226">
        <f>Tabla1[[#This Row],[entrada_prot_g_l]]*Tabla1[[#This Row],[entrada_litros]]/1000</f>
        <v>188.41660999999999</v>
      </c>
      <c r="S226">
        <f>Tabla1[[#This Row],[cuba_fab_litros]]*Tabla1[[#This Row],[cuba_fab_grasa_g_l]]/1000</f>
        <v>0</v>
      </c>
      <c r="T226">
        <f>Tabla1[[#This Row],[cuba_fab_litros]]*Tabla1[[#This Row],[cuba_fab_prot_g_l]]/1000</f>
        <v>0</v>
      </c>
      <c r="U226">
        <f>Tabla1[[#This Row],[queso_kg]]*Tabla1[[#This Row],[queso_est_pct]]/100</f>
        <v>0</v>
      </c>
      <c r="V226">
        <f>Tabla1[[#This Row],[queso_kg]]*Tabla1[[#This Row],[queso_mg_pct]]/100</f>
        <v>0</v>
      </c>
      <c r="W226">
        <f>Tabla1[[#This Row],[queso_est_kg]]-Tabla1[[#This Row],[queso_mg_kg]]</f>
        <v>0</v>
      </c>
      <c r="X226">
        <f>_xlfn.ISOWEEKNUM(Tabla1[[#This Row],[fecha]])</f>
        <v>32</v>
      </c>
      <c r="Y226">
        <v>33</v>
      </c>
      <c r="Z226" s="7">
        <f>Tabla1[[#This Row],[suero_litros]]*Tabla1[[#This Row],[suero_grasa_g_l]]/1000</f>
        <v>0</v>
      </c>
      <c r="AA226" s="7">
        <f>Tabla1[[#This Row],[suero_litros]]*Tabla1[[#This Row],[suero_prot_g_l]]/1000</f>
        <v>0</v>
      </c>
      <c r="AB226" s="7">
        <f>Tabla1[[#This Row],[suero_est_g_l]]*Tabla1[[#This Row],[suero_litros]]/1000</f>
        <v>0</v>
      </c>
    </row>
    <row r="227" spans="1:28" x14ac:dyDescent="0.25">
      <c r="A227" s="1">
        <v>45516</v>
      </c>
      <c r="B227">
        <v>5441</v>
      </c>
      <c r="C227">
        <v>5283</v>
      </c>
      <c r="D227">
        <v>43.63</v>
      </c>
      <c r="E227">
        <v>36.36</v>
      </c>
      <c r="F227">
        <v>5016</v>
      </c>
      <c r="G227">
        <v>41.64</v>
      </c>
      <c r="H227">
        <v>34.06</v>
      </c>
      <c r="I227">
        <v>5604</v>
      </c>
      <c r="J227">
        <v>602.83000000000004</v>
      </c>
      <c r="K227">
        <v>52.12</v>
      </c>
      <c r="L227">
        <v>26.74</v>
      </c>
      <c r="M227">
        <v>4452</v>
      </c>
      <c r="N227">
        <v>10.55</v>
      </c>
      <c r="O227">
        <v>7.34</v>
      </c>
      <c r="P227">
        <v>68.83</v>
      </c>
      <c r="Q227">
        <f>Tabla1[[#This Row],[entrada_litros]]*Tabla1[[#This Row],[entrada_grasa_g_l]]/1000</f>
        <v>230.49729000000002</v>
      </c>
      <c r="R227">
        <f>Tabla1[[#This Row],[entrada_prot_g_l]]*Tabla1[[#This Row],[entrada_litros]]/1000</f>
        <v>192.08987999999999</v>
      </c>
      <c r="S227">
        <f>Tabla1[[#This Row],[cuba_fab_litros]]*Tabla1[[#This Row],[cuba_fab_grasa_g_l]]/1000</f>
        <v>208.86624</v>
      </c>
      <c r="T227">
        <f>Tabla1[[#This Row],[cuba_fab_litros]]*Tabla1[[#This Row],[cuba_fab_prot_g_l]]/1000</f>
        <v>170.84496000000001</v>
      </c>
      <c r="U227">
        <f>Tabla1[[#This Row],[queso_kg]]*Tabla1[[#This Row],[queso_est_pct]]/100</f>
        <v>314.194996</v>
      </c>
      <c r="V227">
        <f>Tabla1[[#This Row],[queso_kg]]*Tabla1[[#This Row],[queso_mg_pct]]/100</f>
        <v>161.196742</v>
      </c>
      <c r="W227">
        <f>Tabla1[[#This Row],[queso_est_kg]]-Tabla1[[#This Row],[queso_mg_kg]]</f>
        <v>152.998254</v>
      </c>
      <c r="X227">
        <f>_xlfn.ISOWEEKNUM(Tabla1[[#This Row],[fecha]])</f>
        <v>33</v>
      </c>
      <c r="Y227">
        <v>33</v>
      </c>
      <c r="Z227" s="7">
        <f>Tabla1[[#This Row],[suero_litros]]*Tabla1[[#This Row],[suero_grasa_g_l]]/1000</f>
        <v>46.968600000000009</v>
      </c>
      <c r="AA227" s="7">
        <f>Tabla1[[#This Row],[suero_litros]]*Tabla1[[#This Row],[suero_prot_g_l]]/1000</f>
        <v>32.677680000000002</v>
      </c>
      <c r="AB227" s="7">
        <f>Tabla1[[#This Row],[suero_est_g_l]]*Tabla1[[#This Row],[suero_litros]]/1000</f>
        <v>306.43115999999998</v>
      </c>
    </row>
    <row r="228" spans="1:28" x14ac:dyDescent="0.25">
      <c r="A228" s="1">
        <v>45517</v>
      </c>
      <c r="B228">
        <v>5134</v>
      </c>
      <c r="C228">
        <v>4984</v>
      </c>
      <c r="D228">
        <v>44.77</v>
      </c>
      <c r="E228">
        <v>36.130000000000003</v>
      </c>
      <c r="F228">
        <v>5023</v>
      </c>
      <c r="G228">
        <v>42.49</v>
      </c>
      <c r="H228">
        <v>34.61</v>
      </c>
      <c r="I228">
        <v>5588</v>
      </c>
      <c r="J228">
        <v>604.84</v>
      </c>
      <c r="K228">
        <v>49.33</v>
      </c>
      <c r="L228">
        <v>25.89</v>
      </c>
      <c r="M228">
        <v>4457</v>
      </c>
      <c r="N228">
        <v>12.49</v>
      </c>
      <c r="O228">
        <v>7.53</v>
      </c>
      <c r="P228">
        <v>71.39</v>
      </c>
      <c r="Q228">
        <f>Tabla1[[#This Row],[entrada_litros]]*Tabla1[[#This Row],[entrada_grasa_g_l]]/1000</f>
        <v>223.13368000000003</v>
      </c>
      <c r="R228">
        <f>Tabla1[[#This Row],[entrada_prot_g_l]]*Tabla1[[#This Row],[entrada_litros]]/1000</f>
        <v>180.07192000000001</v>
      </c>
      <c r="S228">
        <f>Tabla1[[#This Row],[cuba_fab_litros]]*Tabla1[[#This Row],[cuba_fab_grasa_g_l]]/1000</f>
        <v>213.42727000000002</v>
      </c>
      <c r="T228">
        <f>Tabla1[[#This Row],[cuba_fab_litros]]*Tabla1[[#This Row],[cuba_fab_prot_g_l]]/1000</f>
        <v>173.84602999999998</v>
      </c>
      <c r="U228">
        <f>Tabla1[[#This Row],[queso_kg]]*Tabla1[[#This Row],[queso_est_pct]]/100</f>
        <v>298.367572</v>
      </c>
      <c r="V228">
        <f>Tabla1[[#This Row],[queso_kg]]*Tabla1[[#This Row],[queso_mg_pct]]/100</f>
        <v>156.59307600000002</v>
      </c>
      <c r="W228">
        <f>Tabla1[[#This Row],[queso_est_kg]]-Tabla1[[#This Row],[queso_mg_kg]]</f>
        <v>141.77449599999997</v>
      </c>
      <c r="X228">
        <f>_xlfn.ISOWEEKNUM(Tabla1[[#This Row],[fecha]])</f>
        <v>33</v>
      </c>
      <c r="Y228">
        <v>33</v>
      </c>
      <c r="Z228" s="7">
        <f>Tabla1[[#This Row],[suero_litros]]*Tabla1[[#This Row],[suero_grasa_g_l]]/1000</f>
        <v>55.667929999999998</v>
      </c>
      <c r="AA228" s="7">
        <f>Tabla1[[#This Row],[suero_litros]]*Tabla1[[#This Row],[suero_prot_g_l]]/1000</f>
        <v>33.561210000000003</v>
      </c>
      <c r="AB228" s="7">
        <f>Tabla1[[#This Row],[suero_est_g_l]]*Tabla1[[#This Row],[suero_litros]]/1000</f>
        <v>318.18522999999999</v>
      </c>
    </row>
    <row r="229" spans="1:28" x14ac:dyDescent="0.25">
      <c r="A229" s="1">
        <v>45518</v>
      </c>
      <c r="B229">
        <v>5261</v>
      </c>
      <c r="C229">
        <v>5108</v>
      </c>
      <c r="D229">
        <v>42.01</v>
      </c>
      <c r="E229">
        <v>34.32</v>
      </c>
      <c r="F229">
        <v>5027</v>
      </c>
      <c r="G229">
        <v>41.2</v>
      </c>
      <c r="H229">
        <v>33.61</v>
      </c>
      <c r="I229">
        <v>5696</v>
      </c>
      <c r="J229">
        <v>625.21</v>
      </c>
      <c r="K229">
        <v>53.39</v>
      </c>
      <c r="L229">
        <v>27.31</v>
      </c>
      <c r="M229">
        <v>4442</v>
      </c>
      <c r="N229">
        <v>8</v>
      </c>
      <c r="O229">
        <v>4.0199999999999996</v>
      </c>
      <c r="P229">
        <v>64.010000000000005</v>
      </c>
      <c r="Q229">
        <f>Tabla1[[#This Row],[entrada_litros]]*Tabla1[[#This Row],[entrada_grasa_g_l]]/1000</f>
        <v>214.58707999999999</v>
      </c>
      <c r="R229">
        <f>Tabla1[[#This Row],[entrada_prot_g_l]]*Tabla1[[#This Row],[entrada_litros]]/1000</f>
        <v>175.30655999999999</v>
      </c>
      <c r="S229">
        <f>Tabla1[[#This Row],[cuba_fab_litros]]*Tabla1[[#This Row],[cuba_fab_grasa_g_l]]/1000</f>
        <v>207.11240000000004</v>
      </c>
      <c r="T229">
        <f>Tabla1[[#This Row],[cuba_fab_litros]]*Tabla1[[#This Row],[cuba_fab_prot_g_l]]/1000</f>
        <v>168.95747</v>
      </c>
      <c r="U229">
        <f>Tabla1[[#This Row],[queso_kg]]*Tabla1[[#This Row],[queso_est_pct]]/100</f>
        <v>333.79961900000001</v>
      </c>
      <c r="V229">
        <f>Tabla1[[#This Row],[queso_kg]]*Tabla1[[#This Row],[queso_mg_pct]]/100</f>
        <v>170.74485100000001</v>
      </c>
      <c r="W229">
        <f>Tabla1[[#This Row],[queso_est_kg]]-Tabla1[[#This Row],[queso_mg_kg]]</f>
        <v>163.054768</v>
      </c>
      <c r="X229">
        <f>_xlfn.ISOWEEKNUM(Tabla1[[#This Row],[fecha]])</f>
        <v>33</v>
      </c>
      <c r="Y229">
        <v>33</v>
      </c>
      <c r="Z229" s="7">
        <f>Tabla1[[#This Row],[suero_litros]]*Tabla1[[#This Row],[suero_grasa_g_l]]/1000</f>
        <v>35.536000000000001</v>
      </c>
      <c r="AA229" s="7">
        <f>Tabla1[[#This Row],[suero_litros]]*Tabla1[[#This Row],[suero_prot_g_l]]/1000</f>
        <v>17.856839999999998</v>
      </c>
      <c r="AB229" s="7">
        <f>Tabla1[[#This Row],[suero_est_g_l]]*Tabla1[[#This Row],[suero_litros]]/1000</f>
        <v>284.33242000000007</v>
      </c>
    </row>
    <row r="230" spans="1:28" x14ac:dyDescent="0.25">
      <c r="A230" s="1">
        <v>45519</v>
      </c>
      <c r="B230">
        <v>4876</v>
      </c>
      <c r="C230">
        <v>4734</v>
      </c>
      <c r="D230">
        <v>42.45</v>
      </c>
      <c r="E230">
        <v>36.68</v>
      </c>
      <c r="F230">
        <v>5020</v>
      </c>
      <c r="G230">
        <v>40.65</v>
      </c>
      <c r="H230">
        <v>34.53</v>
      </c>
      <c r="I230">
        <v>5430</v>
      </c>
      <c r="J230">
        <v>620.30999999999995</v>
      </c>
      <c r="K230">
        <v>52.75</v>
      </c>
      <c r="L230">
        <v>27.51</v>
      </c>
      <c r="M230">
        <v>4439</v>
      </c>
      <c r="N230">
        <v>7.38</v>
      </c>
      <c r="O230">
        <v>6.86</v>
      </c>
      <c r="P230">
        <v>65.2</v>
      </c>
      <c r="Q230">
        <f>Tabla1[[#This Row],[entrada_litros]]*Tabla1[[#This Row],[entrada_grasa_g_l]]/1000</f>
        <v>200.95830000000001</v>
      </c>
      <c r="R230">
        <f>Tabla1[[#This Row],[entrada_prot_g_l]]*Tabla1[[#This Row],[entrada_litros]]/1000</f>
        <v>173.64311999999998</v>
      </c>
      <c r="S230">
        <f>Tabla1[[#This Row],[cuba_fab_litros]]*Tabla1[[#This Row],[cuba_fab_grasa_g_l]]/1000</f>
        <v>204.06299999999999</v>
      </c>
      <c r="T230">
        <f>Tabla1[[#This Row],[cuba_fab_litros]]*Tabla1[[#This Row],[cuba_fab_prot_g_l]]/1000</f>
        <v>173.34059999999999</v>
      </c>
      <c r="U230">
        <f>Tabla1[[#This Row],[queso_kg]]*Tabla1[[#This Row],[queso_est_pct]]/100</f>
        <v>327.21352499999995</v>
      </c>
      <c r="V230">
        <f>Tabla1[[#This Row],[queso_kg]]*Tabla1[[#This Row],[queso_mg_pct]]/100</f>
        <v>170.64728099999999</v>
      </c>
      <c r="W230">
        <f>Tabla1[[#This Row],[queso_est_kg]]-Tabla1[[#This Row],[queso_mg_kg]]</f>
        <v>156.56624399999995</v>
      </c>
      <c r="X230">
        <f>_xlfn.ISOWEEKNUM(Tabla1[[#This Row],[fecha]])</f>
        <v>33</v>
      </c>
      <c r="Y230">
        <v>33</v>
      </c>
      <c r="Z230" s="7">
        <f>Tabla1[[#This Row],[suero_litros]]*Tabla1[[#This Row],[suero_grasa_g_l]]/1000</f>
        <v>32.759819999999998</v>
      </c>
      <c r="AA230" s="7">
        <f>Tabla1[[#This Row],[suero_litros]]*Tabla1[[#This Row],[suero_prot_g_l]]/1000</f>
        <v>30.451540000000001</v>
      </c>
      <c r="AB230" s="7">
        <f>Tabla1[[#This Row],[suero_est_g_l]]*Tabla1[[#This Row],[suero_litros]]/1000</f>
        <v>289.4228</v>
      </c>
    </row>
    <row r="231" spans="1:28" x14ac:dyDescent="0.25">
      <c r="A231" s="1">
        <v>45520</v>
      </c>
      <c r="B231">
        <v>0</v>
      </c>
      <c r="C231">
        <v>0</v>
      </c>
      <c r="D231">
        <v>0</v>
      </c>
      <c r="E231">
        <v>0</v>
      </c>
      <c r="F231">
        <v>5459</v>
      </c>
      <c r="G231">
        <v>40.78</v>
      </c>
      <c r="H231">
        <v>33.94</v>
      </c>
      <c r="I231">
        <v>0</v>
      </c>
      <c r="J231">
        <v>634.79</v>
      </c>
      <c r="K231">
        <v>52.65</v>
      </c>
      <c r="L231">
        <v>26.95</v>
      </c>
      <c r="M231">
        <v>4866</v>
      </c>
      <c r="N231">
        <v>10.39</v>
      </c>
      <c r="O231">
        <v>7.35</v>
      </c>
      <c r="P231">
        <v>70.069999999999993</v>
      </c>
      <c r="Q231">
        <f>Tabla1[[#This Row],[entrada_litros]]*Tabla1[[#This Row],[entrada_grasa_g_l]]/1000</f>
        <v>0</v>
      </c>
      <c r="R231">
        <f>Tabla1[[#This Row],[entrada_prot_g_l]]*Tabla1[[#This Row],[entrada_litros]]/1000</f>
        <v>0</v>
      </c>
      <c r="S231">
        <f>Tabla1[[#This Row],[cuba_fab_litros]]*Tabla1[[#This Row],[cuba_fab_grasa_g_l]]/1000</f>
        <v>222.61802000000003</v>
      </c>
      <c r="T231">
        <f>Tabla1[[#This Row],[cuba_fab_litros]]*Tabla1[[#This Row],[cuba_fab_prot_g_l]]/1000</f>
        <v>185.27846</v>
      </c>
      <c r="U231">
        <f>Tabla1[[#This Row],[queso_kg]]*Tabla1[[#This Row],[queso_est_pct]]/100</f>
        <v>334.21693499999992</v>
      </c>
      <c r="V231">
        <f>Tabla1[[#This Row],[queso_kg]]*Tabla1[[#This Row],[queso_mg_pct]]/100</f>
        <v>171.07590499999998</v>
      </c>
      <c r="W231">
        <f>Tabla1[[#This Row],[queso_est_kg]]-Tabla1[[#This Row],[queso_mg_kg]]</f>
        <v>163.14102999999994</v>
      </c>
      <c r="X231">
        <f>_xlfn.ISOWEEKNUM(Tabla1[[#This Row],[fecha]])</f>
        <v>33</v>
      </c>
      <c r="Y231">
        <v>33</v>
      </c>
      <c r="Z231" s="7">
        <f>Tabla1[[#This Row],[suero_litros]]*Tabla1[[#This Row],[suero_grasa_g_l]]/1000</f>
        <v>50.557740000000003</v>
      </c>
      <c r="AA231" s="7">
        <f>Tabla1[[#This Row],[suero_litros]]*Tabla1[[#This Row],[suero_prot_g_l]]/1000</f>
        <v>35.765099999999997</v>
      </c>
      <c r="AB231" s="7">
        <f>Tabla1[[#This Row],[suero_est_g_l]]*Tabla1[[#This Row],[suero_litros]]/1000</f>
        <v>340.96062000000001</v>
      </c>
    </row>
    <row r="232" spans="1:28" x14ac:dyDescent="0.25">
      <c r="A232" s="1">
        <v>45521</v>
      </c>
      <c r="B232">
        <v>0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f>Tabla1[[#This Row],[entrada_litros]]*Tabla1[[#This Row],[entrada_grasa_g_l]]/1000</f>
        <v>0</v>
      </c>
      <c r="R232">
        <f>Tabla1[[#This Row],[entrada_prot_g_l]]*Tabla1[[#This Row],[entrada_litros]]/1000</f>
        <v>0</v>
      </c>
      <c r="S232">
        <f>Tabla1[[#This Row],[cuba_fab_litros]]*Tabla1[[#This Row],[cuba_fab_grasa_g_l]]/1000</f>
        <v>0</v>
      </c>
      <c r="T232">
        <f>Tabla1[[#This Row],[cuba_fab_litros]]*Tabla1[[#This Row],[cuba_fab_prot_g_l]]/1000</f>
        <v>0</v>
      </c>
      <c r="U232">
        <f>Tabla1[[#This Row],[queso_kg]]*Tabla1[[#This Row],[queso_est_pct]]/100</f>
        <v>0</v>
      </c>
      <c r="V232">
        <f>Tabla1[[#This Row],[queso_kg]]*Tabla1[[#This Row],[queso_mg_pct]]/100</f>
        <v>0</v>
      </c>
      <c r="W232">
        <f>Tabla1[[#This Row],[queso_est_kg]]-Tabla1[[#This Row],[queso_mg_kg]]</f>
        <v>0</v>
      </c>
      <c r="X232">
        <f>_xlfn.ISOWEEKNUM(Tabla1[[#This Row],[fecha]])</f>
        <v>33</v>
      </c>
      <c r="Y232">
        <v>33</v>
      </c>
      <c r="Z232" s="7">
        <f>Tabla1[[#This Row],[suero_litros]]*Tabla1[[#This Row],[suero_grasa_g_l]]/1000</f>
        <v>0</v>
      </c>
      <c r="AA232" s="7">
        <f>Tabla1[[#This Row],[suero_litros]]*Tabla1[[#This Row],[suero_prot_g_l]]/1000</f>
        <v>0</v>
      </c>
      <c r="AB232" s="7">
        <f>Tabla1[[#This Row],[suero_est_g_l]]*Tabla1[[#This Row],[suero_litros]]/1000</f>
        <v>0</v>
      </c>
    </row>
    <row r="233" spans="1:28" x14ac:dyDescent="0.25">
      <c r="A233" s="1">
        <v>45522</v>
      </c>
      <c r="B233">
        <v>5021</v>
      </c>
      <c r="C233">
        <v>4875</v>
      </c>
      <c r="D233">
        <v>42.4</v>
      </c>
      <c r="E233">
        <v>34.93</v>
      </c>
      <c r="F233">
        <v>0</v>
      </c>
      <c r="G233">
        <v>0</v>
      </c>
      <c r="H233">
        <v>0</v>
      </c>
      <c r="I233">
        <v>4875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f>Tabla1[[#This Row],[entrada_litros]]*Tabla1[[#This Row],[entrada_grasa_g_l]]/1000</f>
        <v>206.7</v>
      </c>
      <c r="R233">
        <f>Tabla1[[#This Row],[entrada_prot_g_l]]*Tabla1[[#This Row],[entrada_litros]]/1000</f>
        <v>170.28375</v>
      </c>
      <c r="S233">
        <f>Tabla1[[#This Row],[cuba_fab_litros]]*Tabla1[[#This Row],[cuba_fab_grasa_g_l]]/1000</f>
        <v>0</v>
      </c>
      <c r="T233">
        <f>Tabla1[[#This Row],[cuba_fab_litros]]*Tabla1[[#This Row],[cuba_fab_prot_g_l]]/1000</f>
        <v>0</v>
      </c>
      <c r="U233">
        <f>Tabla1[[#This Row],[queso_kg]]*Tabla1[[#This Row],[queso_est_pct]]/100</f>
        <v>0</v>
      </c>
      <c r="V233">
        <f>Tabla1[[#This Row],[queso_kg]]*Tabla1[[#This Row],[queso_mg_pct]]/100</f>
        <v>0</v>
      </c>
      <c r="W233">
        <f>Tabla1[[#This Row],[queso_est_kg]]-Tabla1[[#This Row],[queso_mg_kg]]</f>
        <v>0</v>
      </c>
      <c r="X233">
        <f>_xlfn.ISOWEEKNUM(Tabla1[[#This Row],[fecha]])</f>
        <v>33</v>
      </c>
      <c r="Y233">
        <v>34</v>
      </c>
      <c r="Z233" s="7">
        <f>Tabla1[[#This Row],[suero_litros]]*Tabla1[[#This Row],[suero_grasa_g_l]]/1000</f>
        <v>0</v>
      </c>
      <c r="AA233" s="7">
        <f>Tabla1[[#This Row],[suero_litros]]*Tabla1[[#This Row],[suero_prot_g_l]]/1000</f>
        <v>0</v>
      </c>
      <c r="AB233" s="7">
        <f>Tabla1[[#This Row],[suero_est_g_l]]*Tabla1[[#This Row],[suero_litros]]/1000</f>
        <v>0</v>
      </c>
    </row>
    <row r="234" spans="1:28" x14ac:dyDescent="0.25">
      <c r="A234" s="1">
        <v>45523</v>
      </c>
      <c r="B234">
        <v>4774</v>
      </c>
      <c r="C234">
        <v>4635</v>
      </c>
      <c r="D234">
        <v>44.96</v>
      </c>
      <c r="E234">
        <v>37.020000000000003</v>
      </c>
      <c r="F234">
        <v>5021</v>
      </c>
      <c r="G234">
        <v>41.5</v>
      </c>
      <c r="H234">
        <v>34.24</v>
      </c>
      <c r="I234">
        <v>4510</v>
      </c>
      <c r="J234">
        <v>656.93</v>
      </c>
      <c r="K234">
        <v>50.91</v>
      </c>
      <c r="L234">
        <v>26.32</v>
      </c>
      <c r="M234">
        <v>4405</v>
      </c>
      <c r="N234">
        <v>7.86</v>
      </c>
      <c r="O234">
        <v>4.3899999999999997</v>
      </c>
      <c r="P234">
        <v>63.02</v>
      </c>
      <c r="Q234">
        <f>Tabla1[[#This Row],[entrada_litros]]*Tabla1[[#This Row],[entrada_grasa_g_l]]/1000</f>
        <v>208.3896</v>
      </c>
      <c r="R234">
        <f>Tabla1[[#This Row],[entrada_prot_g_l]]*Tabla1[[#This Row],[entrada_litros]]/1000</f>
        <v>171.58770000000001</v>
      </c>
      <c r="S234">
        <f>Tabla1[[#This Row],[cuba_fab_litros]]*Tabla1[[#This Row],[cuba_fab_grasa_g_l]]/1000</f>
        <v>208.3715</v>
      </c>
      <c r="T234">
        <f>Tabla1[[#This Row],[cuba_fab_litros]]*Tabla1[[#This Row],[cuba_fab_prot_g_l]]/1000</f>
        <v>171.91904</v>
      </c>
      <c r="U234">
        <f>Tabla1[[#This Row],[queso_kg]]*Tabla1[[#This Row],[queso_est_pct]]/100</f>
        <v>334.44306299999994</v>
      </c>
      <c r="V234">
        <f>Tabla1[[#This Row],[queso_kg]]*Tabla1[[#This Row],[queso_mg_pct]]/100</f>
        <v>172.903976</v>
      </c>
      <c r="W234">
        <f>Tabla1[[#This Row],[queso_est_kg]]-Tabla1[[#This Row],[queso_mg_kg]]</f>
        <v>161.53908699999994</v>
      </c>
      <c r="X234">
        <f>_xlfn.ISOWEEKNUM(Tabla1[[#This Row],[fecha]])</f>
        <v>34</v>
      </c>
      <c r="Y234">
        <v>34</v>
      </c>
      <c r="Z234" s="7">
        <f>Tabla1[[#This Row],[suero_litros]]*Tabla1[[#This Row],[suero_grasa_g_l]]/1000</f>
        <v>34.6233</v>
      </c>
      <c r="AA234" s="7">
        <f>Tabla1[[#This Row],[suero_litros]]*Tabla1[[#This Row],[suero_prot_g_l]]/1000</f>
        <v>19.337949999999996</v>
      </c>
      <c r="AB234" s="7">
        <f>Tabla1[[#This Row],[suero_est_g_l]]*Tabla1[[#This Row],[suero_litros]]/1000</f>
        <v>277.60310000000004</v>
      </c>
    </row>
    <row r="235" spans="1:28" x14ac:dyDescent="0.25">
      <c r="A235" s="1">
        <v>45524</v>
      </c>
      <c r="B235">
        <v>5248</v>
      </c>
      <c r="C235">
        <v>5095</v>
      </c>
      <c r="D235">
        <v>41.02</v>
      </c>
      <c r="E235">
        <v>37.03</v>
      </c>
      <c r="F235">
        <v>5023</v>
      </c>
      <c r="G235">
        <v>40.840000000000003</v>
      </c>
      <c r="H235">
        <v>34.93</v>
      </c>
      <c r="I235">
        <v>4605</v>
      </c>
      <c r="J235">
        <v>623.95000000000005</v>
      </c>
      <c r="K235">
        <v>51.19</v>
      </c>
      <c r="L235">
        <v>26.69</v>
      </c>
      <c r="M235">
        <v>4439</v>
      </c>
      <c r="N235">
        <v>8.51</v>
      </c>
      <c r="O235">
        <v>5.9</v>
      </c>
      <c r="P235">
        <v>65.680000000000007</v>
      </c>
      <c r="Q235">
        <f>Tabla1[[#This Row],[entrada_litros]]*Tabla1[[#This Row],[entrada_grasa_g_l]]/1000</f>
        <v>208.99690000000001</v>
      </c>
      <c r="R235">
        <f>Tabla1[[#This Row],[entrada_prot_g_l]]*Tabla1[[#This Row],[entrada_litros]]/1000</f>
        <v>188.66785000000002</v>
      </c>
      <c r="S235">
        <f>Tabla1[[#This Row],[cuba_fab_litros]]*Tabla1[[#This Row],[cuba_fab_grasa_g_l]]/1000</f>
        <v>205.13932</v>
      </c>
      <c r="T235">
        <f>Tabla1[[#This Row],[cuba_fab_litros]]*Tabla1[[#This Row],[cuba_fab_prot_g_l]]/1000</f>
        <v>175.45338999999998</v>
      </c>
      <c r="U235">
        <f>Tabla1[[#This Row],[queso_kg]]*Tabla1[[#This Row],[queso_est_pct]]/100</f>
        <v>319.40000500000002</v>
      </c>
      <c r="V235">
        <f>Tabla1[[#This Row],[queso_kg]]*Tabla1[[#This Row],[queso_mg_pct]]/100</f>
        <v>166.53225499999999</v>
      </c>
      <c r="W235">
        <f>Tabla1[[#This Row],[queso_est_kg]]-Tabla1[[#This Row],[queso_mg_kg]]</f>
        <v>152.86775000000003</v>
      </c>
      <c r="X235">
        <f>_xlfn.ISOWEEKNUM(Tabla1[[#This Row],[fecha]])</f>
        <v>34</v>
      </c>
      <c r="Y235">
        <v>34</v>
      </c>
      <c r="Z235" s="7">
        <f>Tabla1[[#This Row],[suero_litros]]*Tabla1[[#This Row],[suero_grasa_g_l]]/1000</f>
        <v>37.775889999999997</v>
      </c>
      <c r="AA235" s="7">
        <f>Tabla1[[#This Row],[suero_litros]]*Tabla1[[#This Row],[suero_prot_g_l]]/1000</f>
        <v>26.190100000000001</v>
      </c>
      <c r="AB235" s="7">
        <f>Tabla1[[#This Row],[suero_est_g_l]]*Tabla1[[#This Row],[suero_litros]]/1000</f>
        <v>291.55351999999999</v>
      </c>
    </row>
    <row r="236" spans="1:28" x14ac:dyDescent="0.25">
      <c r="A236" s="1">
        <v>45525</v>
      </c>
      <c r="B236">
        <v>5213</v>
      </c>
      <c r="C236">
        <v>5061</v>
      </c>
      <c r="D236">
        <v>42.11</v>
      </c>
      <c r="E236">
        <v>35.75</v>
      </c>
      <c r="F236">
        <v>5013</v>
      </c>
      <c r="G236">
        <v>41.04</v>
      </c>
      <c r="H236">
        <v>34.57</v>
      </c>
      <c r="I236">
        <v>4666</v>
      </c>
      <c r="J236">
        <v>609.41999999999996</v>
      </c>
      <c r="K236">
        <v>51.6</v>
      </c>
      <c r="L236">
        <v>27.52</v>
      </c>
      <c r="M236">
        <v>4443</v>
      </c>
      <c r="N236">
        <v>8.36</v>
      </c>
      <c r="O236">
        <v>7.84</v>
      </c>
      <c r="P236">
        <v>67.45</v>
      </c>
      <c r="Q236">
        <f>Tabla1[[#This Row],[entrada_litros]]*Tabla1[[#This Row],[entrada_grasa_g_l]]/1000</f>
        <v>213.11870999999999</v>
      </c>
      <c r="R236">
        <f>Tabla1[[#This Row],[entrada_prot_g_l]]*Tabla1[[#This Row],[entrada_litros]]/1000</f>
        <v>180.93074999999999</v>
      </c>
      <c r="S236">
        <f>Tabla1[[#This Row],[cuba_fab_litros]]*Tabla1[[#This Row],[cuba_fab_grasa_g_l]]/1000</f>
        <v>205.73352</v>
      </c>
      <c r="T236">
        <f>Tabla1[[#This Row],[cuba_fab_litros]]*Tabla1[[#This Row],[cuba_fab_prot_g_l]]/1000</f>
        <v>173.29940999999999</v>
      </c>
      <c r="U236">
        <f>Tabla1[[#This Row],[queso_kg]]*Tabla1[[#This Row],[queso_est_pct]]/100</f>
        <v>314.46071999999998</v>
      </c>
      <c r="V236">
        <f>Tabla1[[#This Row],[queso_kg]]*Tabla1[[#This Row],[queso_mg_pct]]/100</f>
        <v>167.71238399999999</v>
      </c>
      <c r="W236">
        <f>Tabla1[[#This Row],[queso_est_kg]]-Tabla1[[#This Row],[queso_mg_kg]]</f>
        <v>146.74833599999999</v>
      </c>
      <c r="X236">
        <f>_xlfn.ISOWEEKNUM(Tabla1[[#This Row],[fecha]])</f>
        <v>34</v>
      </c>
      <c r="Y236">
        <v>34</v>
      </c>
      <c r="Z236" s="7">
        <f>Tabla1[[#This Row],[suero_litros]]*Tabla1[[#This Row],[suero_grasa_g_l]]/1000</f>
        <v>37.143479999999997</v>
      </c>
      <c r="AA236" s="7">
        <f>Tabla1[[#This Row],[suero_litros]]*Tabla1[[#This Row],[suero_prot_g_l]]/1000</f>
        <v>34.833120000000001</v>
      </c>
      <c r="AB236" s="7">
        <f>Tabla1[[#This Row],[suero_est_g_l]]*Tabla1[[#This Row],[suero_litros]]/1000</f>
        <v>299.68035000000003</v>
      </c>
    </row>
    <row r="237" spans="1:28" x14ac:dyDescent="0.25">
      <c r="A237" s="1">
        <v>45526</v>
      </c>
      <c r="B237">
        <v>4953</v>
      </c>
      <c r="C237">
        <v>4809</v>
      </c>
      <c r="D237">
        <v>43.26</v>
      </c>
      <c r="E237">
        <v>36.24</v>
      </c>
      <c r="F237">
        <v>5025</v>
      </c>
      <c r="G237">
        <v>40.86</v>
      </c>
      <c r="H237">
        <v>34.65</v>
      </c>
      <c r="I237">
        <v>4475</v>
      </c>
      <c r="J237">
        <v>664.59</v>
      </c>
      <c r="K237">
        <v>51.63</v>
      </c>
      <c r="L237">
        <v>27.14</v>
      </c>
      <c r="M237">
        <v>4401</v>
      </c>
      <c r="N237">
        <v>5.54</v>
      </c>
      <c r="O237">
        <v>5.61</v>
      </c>
      <c r="P237">
        <v>62.84</v>
      </c>
      <c r="Q237">
        <f>Tabla1[[#This Row],[entrada_litros]]*Tabla1[[#This Row],[entrada_grasa_g_l]]/1000</f>
        <v>208.03734</v>
      </c>
      <c r="R237">
        <f>Tabla1[[#This Row],[entrada_prot_g_l]]*Tabla1[[#This Row],[entrada_litros]]/1000</f>
        <v>174.27816000000001</v>
      </c>
      <c r="S237">
        <f>Tabla1[[#This Row],[cuba_fab_litros]]*Tabla1[[#This Row],[cuba_fab_grasa_g_l]]/1000</f>
        <v>205.32149999999999</v>
      </c>
      <c r="T237">
        <f>Tabla1[[#This Row],[cuba_fab_litros]]*Tabla1[[#This Row],[cuba_fab_prot_g_l]]/1000</f>
        <v>174.11625000000001</v>
      </c>
      <c r="U237">
        <f>Tabla1[[#This Row],[queso_kg]]*Tabla1[[#This Row],[queso_est_pct]]/100</f>
        <v>343.12781700000005</v>
      </c>
      <c r="V237">
        <f>Tabla1[[#This Row],[queso_kg]]*Tabla1[[#This Row],[queso_mg_pct]]/100</f>
        <v>180.36972600000001</v>
      </c>
      <c r="W237">
        <f>Tabla1[[#This Row],[queso_est_kg]]-Tabla1[[#This Row],[queso_mg_kg]]</f>
        <v>162.75809100000004</v>
      </c>
      <c r="X237">
        <f>_xlfn.ISOWEEKNUM(Tabla1[[#This Row],[fecha]])</f>
        <v>34</v>
      </c>
      <c r="Y237">
        <v>34</v>
      </c>
      <c r="Z237" s="7">
        <f>Tabla1[[#This Row],[suero_litros]]*Tabla1[[#This Row],[suero_grasa_g_l]]/1000</f>
        <v>24.381540000000001</v>
      </c>
      <c r="AA237" s="7">
        <f>Tabla1[[#This Row],[suero_litros]]*Tabla1[[#This Row],[suero_prot_g_l]]/1000</f>
        <v>24.689610000000002</v>
      </c>
      <c r="AB237" s="7">
        <f>Tabla1[[#This Row],[suero_est_g_l]]*Tabla1[[#This Row],[suero_litros]]/1000</f>
        <v>276.55884000000003</v>
      </c>
    </row>
    <row r="238" spans="1:28" x14ac:dyDescent="0.25">
      <c r="A238" s="1">
        <v>45527</v>
      </c>
      <c r="B238">
        <v>0</v>
      </c>
      <c r="C238">
        <v>0</v>
      </c>
      <c r="D238">
        <v>0</v>
      </c>
      <c r="E238">
        <v>0</v>
      </c>
      <c r="F238">
        <v>4488</v>
      </c>
      <c r="G238">
        <v>40.72</v>
      </c>
      <c r="H238">
        <v>34.57</v>
      </c>
      <c r="I238">
        <v>0</v>
      </c>
      <c r="J238">
        <v>597.37</v>
      </c>
      <c r="K238">
        <v>52.92</v>
      </c>
      <c r="L238">
        <v>26.45</v>
      </c>
      <c r="M238">
        <v>3927</v>
      </c>
      <c r="N238">
        <v>6.19</v>
      </c>
      <c r="O238">
        <v>4.09</v>
      </c>
      <c r="P238">
        <v>60.35</v>
      </c>
      <c r="Q238">
        <f>Tabla1[[#This Row],[entrada_litros]]*Tabla1[[#This Row],[entrada_grasa_g_l]]/1000</f>
        <v>0</v>
      </c>
      <c r="R238">
        <f>Tabla1[[#This Row],[entrada_prot_g_l]]*Tabla1[[#This Row],[entrada_litros]]/1000</f>
        <v>0</v>
      </c>
      <c r="S238">
        <f>Tabla1[[#This Row],[cuba_fab_litros]]*Tabla1[[#This Row],[cuba_fab_grasa_g_l]]/1000</f>
        <v>182.75135999999998</v>
      </c>
      <c r="T238">
        <f>Tabla1[[#This Row],[cuba_fab_litros]]*Tabla1[[#This Row],[cuba_fab_prot_g_l]]/1000</f>
        <v>155.15016</v>
      </c>
      <c r="U238">
        <f>Tabla1[[#This Row],[queso_kg]]*Tabla1[[#This Row],[queso_est_pct]]/100</f>
        <v>316.12820399999998</v>
      </c>
      <c r="V238">
        <f>Tabla1[[#This Row],[queso_kg]]*Tabla1[[#This Row],[queso_mg_pct]]/100</f>
        <v>158.00436500000001</v>
      </c>
      <c r="W238">
        <f>Tabla1[[#This Row],[queso_est_kg]]-Tabla1[[#This Row],[queso_mg_kg]]</f>
        <v>158.12383899999998</v>
      </c>
      <c r="X238">
        <f>_xlfn.ISOWEEKNUM(Tabla1[[#This Row],[fecha]])</f>
        <v>34</v>
      </c>
      <c r="Y238">
        <v>34</v>
      </c>
      <c r="Z238" s="7">
        <f>Tabla1[[#This Row],[suero_litros]]*Tabla1[[#This Row],[suero_grasa_g_l]]/1000</f>
        <v>24.308130000000002</v>
      </c>
      <c r="AA238" s="7">
        <f>Tabla1[[#This Row],[suero_litros]]*Tabla1[[#This Row],[suero_prot_g_l]]/1000</f>
        <v>16.061430000000001</v>
      </c>
      <c r="AB238" s="7">
        <f>Tabla1[[#This Row],[suero_est_g_l]]*Tabla1[[#This Row],[suero_litros]]/1000</f>
        <v>236.99445</v>
      </c>
    </row>
    <row r="239" spans="1:28" x14ac:dyDescent="0.25">
      <c r="A239" s="1">
        <v>45528</v>
      </c>
      <c r="B239">
        <v>0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f>Tabla1[[#This Row],[entrada_litros]]*Tabla1[[#This Row],[entrada_grasa_g_l]]/1000</f>
        <v>0</v>
      </c>
      <c r="R239">
        <f>Tabla1[[#This Row],[entrada_prot_g_l]]*Tabla1[[#This Row],[entrada_litros]]/1000</f>
        <v>0</v>
      </c>
      <c r="S239">
        <f>Tabla1[[#This Row],[cuba_fab_litros]]*Tabla1[[#This Row],[cuba_fab_grasa_g_l]]/1000</f>
        <v>0</v>
      </c>
      <c r="T239">
        <f>Tabla1[[#This Row],[cuba_fab_litros]]*Tabla1[[#This Row],[cuba_fab_prot_g_l]]/1000</f>
        <v>0</v>
      </c>
      <c r="U239">
        <f>Tabla1[[#This Row],[queso_kg]]*Tabla1[[#This Row],[queso_est_pct]]/100</f>
        <v>0</v>
      </c>
      <c r="V239">
        <f>Tabla1[[#This Row],[queso_kg]]*Tabla1[[#This Row],[queso_mg_pct]]/100</f>
        <v>0</v>
      </c>
      <c r="W239">
        <f>Tabla1[[#This Row],[queso_est_kg]]-Tabla1[[#This Row],[queso_mg_kg]]</f>
        <v>0</v>
      </c>
      <c r="X239">
        <f>_xlfn.ISOWEEKNUM(Tabla1[[#This Row],[fecha]])</f>
        <v>34</v>
      </c>
      <c r="Y239">
        <v>34</v>
      </c>
      <c r="Z239" s="7">
        <f>Tabla1[[#This Row],[suero_litros]]*Tabla1[[#This Row],[suero_grasa_g_l]]/1000</f>
        <v>0</v>
      </c>
      <c r="AA239" s="7">
        <f>Tabla1[[#This Row],[suero_litros]]*Tabla1[[#This Row],[suero_prot_g_l]]/1000</f>
        <v>0</v>
      </c>
      <c r="AB239" s="7">
        <f>Tabla1[[#This Row],[suero_est_g_l]]*Tabla1[[#This Row],[suero_litros]]/1000</f>
        <v>0</v>
      </c>
    </row>
    <row r="240" spans="1:28" x14ac:dyDescent="0.25">
      <c r="A240" s="1">
        <v>45529</v>
      </c>
      <c r="B240">
        <v>4760</v>
      </c>
      <c r="C240">
        <v>4621</v>
      </c>
      <c r="D240">
        <v>40.81</v>
      </c>
      <c r="E240">
        <v>34.28</v>
      </c>
      <c r="F240">
        <v>0</v>
      </c>
      <c r="G240">
        <v>0</v>
      </c>
      <c r="H240">
        <v>0</v>
      </c>
      <c r="I240">
        <v>4621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f>Tabla1[[#This Row],[entrada_litros]]*Tabla1[[#This Row],[entrada_grasa_g_l]]/1000</f>
        <v>188.58301</v>
      </c>
      <c r="R240">
        <f>Tabla1[[#This Row],[entrada_prot_g_l]]*Tabla1[[#This Row],[entrada_litros]]/1000</f>
        <v>158.40788000000001</v>
      </c>
      <c r="S240">
        <f>Tabla1[[#This Row],[cuba_fab_litros]]*Tabla1[[#This Row],[cuba_fab_grasa_g_l]]/1000</f>
        <v>0</v>
      </c>
      <c r="T240">
        <f>Tabla1[[#This Row],[cuba_fab_litros]]*Tabla1[[#This Row],[cuba_fab_prot_g_l]]/1000</f>
        <v>0</v>
      </c>
      <c r="U240">
        <f>Tabla1[[#This Row],[queso_kg]]*Tabla1[[#This Row],[queso_est_pct]]/100</f>
        <v>0</v>
      </c>
      <c r="V240">
        <f>Tabla1[[#This Row],[queso_kg]]*Tabla1[[#This Row],[queso_mg_pct]]/100</f>
        <v>0</v>
      </c>
      <c r="W240">
        <f>Tabla1[[#This Row],[queso_est_kg]]-Tabla1[[#This Row],[queso_mg_kg]]</f>
        <v>0</v>
      </c>
      <c r="X240">
        <f>_xlfn.ISOWEEKNUM(Tabla1[[#This Row],[fecha]])</f>
        <v>34</v>
      </c>
      <c r="Y240">
        <v>35</v>
      </c>
      <c r="Z240" s="7">
        <f>Tabla1[[#This Row],[suero_litros]]*Tabla1[[#This Row],[suero_grasa_g_l]]/1000</f>
        <v>0</v>
      </c>
      <c r="AA240" s="7">
        <f>Tabla1[[#This Row],[suero_litros]]*Tabla1[[#This Row],[suero_prot_g_l]]/1000</f>
        <v>0</v>
      </c>
      <c r="AB240" s="7">
        <f>Tabla1[[#This Row],[suero_est_g_l]]*Tabla1[[#This Row],[suero_litros]]/1000</f>
        <v>0</v>
      </c>
    </row>
    <row r="241" spans="1:28" x14ac:dyDescent="0.25">
      <c r="A241" s="1">
        <v>45530</v>
      </c>
      <c r="B241">
        <v>5568</v>
      </c>
      <c r="C241">
        <v>5406</v>
      </c>
      <c r="D241">
        <v>43.32</v>
      </c>
      <c r="E241">
        <v>34.47</v>
      </c>
      <c r="F241">
        <v>5020</v>
      </c>
      <c r="G241">
        <v>40.06</v>
      </c>
      <c r="H241">
        <v>32.65</v>
      </c>
      <c r="I241">
        <v>5027</v>
      </c>
      <c r="J241">
        <v>622.26</v>
      </c>
      <c r="K241">
        <v>53.18</v>
      </c>
      <c r="L241">
        <v>27.79</v>
      </c>
      <c r="M241">
        <v>4437</v>
      </c>
      <c r="N241">
        <v>6.25</v>
      </c>
      <c r="O241">
        <v>4.09</v>
      </c>
      <c r="P241">
        <v>61.52</v>
      </c>
      <c r="Q241">
        <f>Tabla1[[#This Row],[entrada_litros]]*Tabla1[[#This Row],[entrada_grasa_g_l]]/1000</f>
        <v>234.18792000000002</v>
      </c>
      <c r="R241">
        <f>Tabla1[[#This Row],[entrada_prot_g_l]]*Tabla1[[#This Row],[entrada_litros]]/1000</f>
        <v>186.34482</v>
      </c>
      <c r="S241">
        <f>Tabla1[[#This Row],[cuba_fab_litros]]*Tabla1[[#This Row],[cuba_fab_grasa_g_l]]/1000</f>
        <v>201.10120000000001</v>
      </c>
      <c r="T241">
        <f>Tabla1[[#This Row],[cuba_fab_litros]]*Tabla1[[#This Row],[cuba_fab_prot_g_l]]/1000</f>
        <v>163.90299999999999</v>
      </c>
      <c r="U241">
        <f>Tabla1[[#This Row],[queso_kg]]*Tabla1[[#This Row],[queso_est_pct]]/100</f>
        <v>330.917868</v>
      </c>
      <c r="V241">
        <f>Tabla1[[#This Row],[queso_kg]]*Tabla1[[#This Row],[queso_mg_pct]]/100</f>
        <v>172.92605399999999</v>
      </c>
      <c r="W241">
        <f>Tabla1[[#This Row],[queso_est_kg]]-Tabla1[[#This Row],[queso_mg_kg]]</f>
        <v>157.99181400000001</v>
      </c>
      <c r="X241">
        <f>_xlfn.ISOWEEKNUM(Tabla1[[#This Row],[fecha]])</f>
        <v>35</v>
      </c>
      <c r="Y241">
        <v>35</v>
      </c>
      <c r="Z241" s="7">
        <f>Tabla1[[#This Row],[suero_litros]]*Tabla1[[#This Row],[suero_grasa_g_l]]/1000</f>
        <v>27.731249999999999</v>
      </c>
      <c r="AA241" s="7">
        <f>Tabla1[[#This Row],[suero_litros]]*Tabla1[[#This Row],[suero_prot_g_l]]/1000</f>
        <v>18.147329999999997</v>
      </c>
      <c r="AB241" s="7">
        <f>Tabla1[[#This Row],[suero_est_g_l]]*Tabla1[[#This Row],[suero_litros]]/1000</f>
        <v>272.96424000000002</v>
      </c>
    </row>
    <row r="242" spans="1:28" x14ac:dyDescent="0.25">
      <c r="A242" s="1">
        <v>45531</v>
      </c>
      <c r="B242">
        <v>5165</v>
      </c>
      <c r="C242">
        <v>5015</v>
      </c>
      <c r="D242">
        <v>43.23</v>
      </c>
      <c r="E242">
        <v>37.65</v>
      </c>
      <c r="F242">
        <v>5018</v>
      </c>
      <c r="G242">
        <v>40.72</v>
      </c>
      <c r="H242">
        <v>34.33</v>
      </c>
      <c r="I242">
        <v>5042</v>
      </c>
      <c r="J242">
        <v>600.39</v>
      </c>
      <c r="K242">
        <v>51.01</v>
      </c>
      <c r="L242">
        <v>26.34</v>
      </c>
      <c r="M242">
        <v>4457</v>
      </c>
      <c r="N242">
        <v>10.1</v>
      </c>
      <c r="O242">
        <v>6.63</v>
      </c>
      <c r="P242">
        <v>66.989999999999995</v>
      </c>
      <c r="Q242">
        <f>Tabla1[[#This Row],[entrada_litros]]*Tabla1[[#This Row],[entrada_grasa_g_l]]/1000</f>
        <v>216.79844999999997</v>
      </c>
      <c r="R242">
        <f>Tabla1[[#This Row],[entrada_prot_g_l]]*Tabla1[[#This Row],[entrada_litros]]/1000</f>
        <v>188.81475</v>
      </c>
      <c r="S242">
        <f>Tabla1[[#This Row],[cuba_fab_litros]]*Tabla1[[#This Row],[cuba_fab_grasa_g_l]]/1000</f>
        <v>204.33295999999999</v>
      </c>
      <c r="T242">
        <f>Tabla1[[#This Row],[cuba_fab_litros]]*Tabla1[[#This Row],[cuba_fab_prot_g_l]]/1000</f>
        <v>172.26794000000001</v>
      </c>
      <c r="U242">
        <f>Tabla1[[#This Row],[queso_kg]]*Tabla1[[#This Row],[queso_est_pct]]/100</f>
        <v>306.258939</v>
      </c>
      <c r="V242">
        <f>Tabla1[[#This Row],[queso_kg]]*Tabla1[[#This Row],[queso_mg_pct]]/100</f>
        <v>158.14272600000001</v>
      </c>
      <c r="W242">
        <f>Tabla1[[#This Row],[queso_est_kg]]-Tabla1[[#This Row],[queso_mg_kg]]</f>
        <v>148.11621299999999</v>
      </c>
      <c r="X242">
        <f>_xlfn.ISOWEEKNUM(Tabla1[[#This Row],[fecha]])</f>
        <v>35</v>
      </c>
      <c r="Y242">
        <v>35</v>
      </c>
      <c r="Z242" s="7">
        <f>Tabla1[[#This Row],[suero_litros]]*Tabla1[[#This Row],[suero_grasa_g_l]]/1000</f>
        <v>45.015699999999995</v>
      </c>
      <c r="AA242" s="7">
        <f>Tabla1[[#This Row],[suero_litros]]*Tabla1[[#This Row],[suero_prot_g_l]]/1000</f>
        <v>29.549910000000001</v>
      </c>
      <c r="AB242" s="7">
        <f>Tabla1[[#This Row],[suero_est_g_l]]*Tabla1[[#This Row],[suero_litros]]/1000</f>
        <v>298.57443000000001</v>
      </c>
    </row>
    <row r="243" spans="1:28" x14ac:dyDescent="0.25">
      <c r="A243" s="1">
        <v>45532</v>
      </c>
      <c r="B243">
        <v>5116</v>
      </c>
      <c r="C243">
        <v>4967</v>
      </c>
      <c r="D243">
        <v>42.18</v>
      </c>
      <c r="E243">
        <v>36.94</v>
      </c>
      <c r="F243">
        <v>5027</v>
      </c>
      <c r="G243">
        <v>40.78</v>
      </c>
      <c r="H243">
        <v>34.880000000000003</v>
      </c>
      <c r="I243">
        <v>5009</v>
      </c>
      <c r="J243">
        <v>608.80999999999995</v>
      </c>
      <c r="K243">
        <v>51.68</v>
      </c>
      <c r="L243">
        <v>27.02</v>
      </c>
      <c r="M243">
        <v>4458</v>
      </c>
      <c r="N243">
        <v>8.9499999999999993</v>
      </c>
      <c r="O243">
        <v>7.65</v>
      </c>
      <c r="P243">
        <v>68.56</v>
      </c>
      <c r="Q243">
        <f>Tabla1[[#This Row],[entrada_litros]]*Tabla1[[#This Row],[entrada_grasa_g_l]]/1000</f>
        <v>209.50806</v>
      </c>
      <c r="R243">
        <f>Tabla1[[#This Row],[entrada_prot_g_l]]*Tabla1[[#This Row],[entrada_litros]]/1000</f>
        <v>183.48097999999999</v>
      </c>
      <c r="S243">
        <f>Tabla1[[#This Row],[cuba_fab_litros]]*Tabla1[[#This Row],[cuba_fab_grasa_g_l]]/1000</f>
        <v>205.00106</v>
      </c>
      <c r="T243">
        <f>Tabla1[[#This Row],[cuba_fab_litros]]*Tabla1[[#This Row],[cuba_fab_prot_g_l]]/1000</f>
        <v>175.34176000000002</v>
      </c>
      <c r="U243">
        <f>Tabla1[[#This Row],[queso_kg]]*Tabla1[[#This Row],[queso_est_pct]]/100</f>
        <v>314.63300799999996</v>
      </c>
      <c r="V243">
        <f>Tabla1[[#This Row],[queso_kg]]*Tabla1[[#This Row],[queso_mg_pct]]/100</f>
        <v>164.50046199999997</v>
      </c>
      <c r="W243">
        <f>Tabla1[[#This Row],[queso_est_kg]]-Tabla1[[#This Row],[queso_mg_kg]]</f>
        <v>150.13254599999999</v>
      </c>
      <c r="X243">
        <f>_xlfn.ISOWEEKNUM(Tabla1[[#This Row],[fecha]])</f>
        <v>35</v>
      </c>
      <c r="Y243">
        <v>35</v>
      </c>
      <c r="Z243" s="7">
        <f>Tabla1[[#This Row],[suero_litros]]*Tabla1[[#This Row],[suero_grasa_g_l]]/1000</f>
        <v>39.899099999999997</v>
      </c>
      <c r="AA243" s="7">
        <f>Tabla1[[#This Row],[suero_litros]]*Tabla1[[#This Row],[suero_prot_g_l]]/1000</f>
        <v>34.103700000000003</v>
      </c>
      <c r="AB243" s="7">
        <f>Tabla1[[#This Row],[suero_est_g_l]]*Tabla1[[#This Row],[suero_litros]]/1000</f>
        <v>305.64047999999997</v>
      </c>
    </row>
    <row r="244" spans="1:28" x14ac:dyDescent="0.25">
      <c r="A244" s="1">
        <v>45533</v>
      </c>
      <c r="B244">
        <v>4967</v>
      </c>
      <c r="C244">
        <v>4822</v>
      </c>
      <c r="D244">
        <v>41.15</v>
      </c>
      <c r="E244">
        <v>34.79</v>
      </c>
      <c r="F244">
        <v>5023</v>
      </c>
      <c r="G244">
        <v>39.81</v>
      </c>
      <c r="H244">
        <v>34.020000000000003</v>
      </c>
      <c r="I244">
        <v>4831</v>
      </c>
      <c r="J244">
        <v>614.16999999999996</v>
      </c>
      <c r="K244">
        <v>50.89</v>
      </c>
      <c r="L244">
        <v>26.28</v>
      </c>
      <c r="M244">
        <v>4448</v>
      </c>
      <c r="N244">
        <v>8.56</v>
      </c>
      <c r="O244">
        <v>7.29</v>
      </c>
      <c r="P244">
        <v>66.98</v>
      </c>
      <c r="Q244">
        <f>Tabla1[[#This Row],[entrada_litros]]*Tabla1[[#This Row],[entrada_grasa_g_l]]/1000</f>
        <v>198.42529999999999</v>
      </c>
      <c r="R244">
        <f>Tabla1[[#This Row],[entrada_prot_g_l]]*Tabla1[[#This Row],[entrada_litros]]/1000</f>
        <v>167.75738000000001</v>
      </c>
      <c r="S244">
        <f>Tabla1[[#This Row],[cuba_fab_litros]]*Tabla1[[#This Row],[cuba_fab_grasa_g_l]]/1000</f>
        <v>199.96563</v>
      </c>
      <c r="T244">
        <f>Tabla1[[#This Row],[cuba_fab_litros]]*Tabla1[[#This Row],[cuba_fab_prot_g_l]]/1000</f>
        <v>170.88246000000001</v>
      </c>
      <c r="U244">
        <f>Tabla1[[#This Row],[queso_kg]]*Tabla1[[#This Row],[queso_est_pct]]/100</f>
        <v>312.55111299999999</v>
      </c>
      <c r="V244">
        <f>Tabla1[[#This Row],[queso_kg]]*Tabla1[[#This Row],[queso_mg_pct]]/100</f>
        <v>161.403876</v>
      </c>
      <c r="W244">
        <f>Tabla1[[#This Row],[queso_est_kg]]-Tabla1[[#This Row],[queso_mg_kg]]</f>
        <v>151.14723699999999</v>
      </c>
      <c r="X244">
        <f>_xlfn.ISOWEEKNUM(Tabla1[[#This Row],[fecha]])</f>
        <v>35</v>
      </c>
      <c r="Y244">
        <v>35</v>
      </c>
      <c r="Z244" s="7">
        <f>Tabla1[[#This Row],[suero_litros]]*Tabla1[[#This Row],[suero_grasa_g_l]]/1000</f>
        <v>38.074880000000007</v>
      </c>
      <c r="AA244" s="7">
        <f>Tabla1[[#This Row],[suero_litros]]*Tabla1[[#This Row],[suero_prot_g_l]]/1000</f>
        <v>32.425920000000005</v>
      </c>
      <c r="AB244" s="7">
        <f>Tabla1[[#This Row],[suero_est_g_l]]*Tabla1[[#This Row],[suero_litros]]/1000</f>
        <v>297.92704000000003</v>
      </c>
    </row>
    <row r="245" spans="1:28" x14ac:dyDescent="0.25">
      <c r="A245" s="1">
        <v>45534</v>
      </c>
      <c r="B245">
        <v>0</v>
      </c>
      <c r="C245">
        <v>0</v>
      </c>
      <c r="D245">
        <v>0</v>
      </c>
      <c r="E245">
        <v>0</v>
      </c>
      <c r="F245">
        <v>4854</v>
      </c>
      <c r="G245">
        <v>40.049999999999997</v>
      </c>
      <c r="H245">
        <v>33.81</v>
      </c>
      <c r="I245">
        <v>0</v>
      </c>
      <c r="J245">
        <v>575.72</v>
      </c>
      <c r="K245">
        <v>52.64</v>
      </c>
      <c r="L245">
        <v>26.76</v>
      </c>
      <c r="M245">
        <v>4316</v>
      </c>
      <c r="N245">
        <v>9.2100000000000009</v>
      </c>
      <c r="O245">
        <v>6.76</v>
      </c>
      <c r="P245">
        <v>66.52</v>
      </c>
      <c r="Q245">
        <f>Tabla1[[#This Row],[entrada_litros]]*Tabla1[[#This Row],[entrada_grasa_g_l]]/1000</f>
        <v>0</v>
      </c>
      <c r="R245">
        <f>Tabla1[[#This Row],[entrada_prot_g_l]]*Tabla1[[#This Row],[entrada_litros]]/1000</f>
        <v>0</v>
      </c>
      <c r="S245">
        <f>Tabla1[[#This Row],[cuba_fab_litros]]*Tabla1[[#This Row],[cuba_fab_grasa_g_l]]/1000</f>
        <v>194.40269999999998</v>
      </c>
      <c r="T245">
        <f>Tabla1[[#This Row],[cuba_fab_litros]]*Tabla1[[#This Row],[cuba_fab_prot_g_l]]/1000</f>
        <v>164.11374000000001</v>
      </c>
      <c r="U245">
        <f>Tabla1[[#This Row],[queso_kg]]*Tabla1[[#This Row],[queso_est_pct]]/100</f>
        <v>303.05900800000001</v>
      </c>
      <c r="V245">
        <f>Tabla1[[#This Row],[queso_kg]]*Tabla1[[#This Row],[queso_mg_pct]]/100</f>
        <v>154.06267200000002</v>
      </c>
      <c r="W245">
        <f>Tabla1[[#This Row],[queso_est_kg]]-Tabla1[[#This Row],[queso_mg_kg]]</f>
        <v>148.99633599999999</v>
      </c>
      <c r="X245">
        <f>_xlfn.ISOWEEKNUM(Tabla1[[#This Row],[fecha]])</f>
        <v>35</v>
      </c>
      <c r="Y245">
        <v>35</v>
      </c>
      <c r="Z245" s="7">
        <f>Tabla1[[#This Row],[suero_litros]]*Tabla1[[#This Row],[suero_grasa_g_l]]/1000</f>
        <v>39.750360000000001</v>
      </c>
      <c r="AA245" s="7">
        <f>Tabla1[[#This Row],[suero_litros]]*Tabla1[[#This Row],[suero_prot_g_l]]/1000</f>
        <v>29.176159999999999</v>
      </c>
      <c r="AB245" s="7">
        <f>Tabla1[[#This Row],[suero_est_g_l]]*Tabla1[[#This Row],[suero_litros]]/1000</f>
        <v>287.10032000000001</v>
      </c>
    </row>
    <row r="246" spans="1:28" x14ac:dyDescent="0.25">
      <c r="A246" s="1">
        <v>45535</v>
      </c>
      <c r="B246">
        <v>0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f>Tabla1[[#This Row],[entrada_litros]]*Tabla1[[#This Row],[entrada_grasa_g_l]]/1000</f>
        <v>0</v>
      </c>
      <c r="R246">
        <f>Tabla1[[#This Row],[entrada_prot_g_l]]*Tabla1[[#This Row],[entrada_litros]]/1000</f>
        <v>0</v>
      </c>
      <c r="S246">
        <f>Tabla1[[#This Row],[cuba_fab_litros]]*Tabla1[[#This Row],[cuba_fab_grasa_g_l]]/1000</f>
        <v>0</v>
      </c>
      <c r="T246">
        <f>Tabla1[[#This Row],[cuba_fab_litros]]*Tabla1[[#This Row],[cuba_fab_prot_g_l]]/1000</f>
        <v>0</v>
      </c>
      <c r="U246">
        <f>Tabla1[[#This Row],[queso_kg]]*Tabla1[[#This Row],[queso_est_pct]]/100</f>
        <v>0</v>
      </c>
      <c r="V246">
        <f>Tabla1[[#This Row],[queso_kg]]*Tabla1[[#This Row],[queso_mg_pct]]/100</f>
        <v>0</v>
      </c>
      <c r="W246">
        <f>Tabla1[[#This Row],[queso_est_kg]]-Tabla1[[#This Row],[queso_mg_kg]]</f>
        <v>0</v>
      </c>
      <c r="X246">
        <f>_xlfn.ISOWEEKNUM(Tabla1[[#This Row],[fecha]])</f>
        <v>35</v>
      </c>
      <c r="Y246">
        <v>35</v>
      </c>
      <c r="Z246" s="7">
        <f>Tabla1[[#This Row],[suero_litros]]*Tabla1[[#This Row],[suero_grasa_g_l]]/1000</f>
        <v>0</v>
      </c>
      <c r="AA246" s="7">
        <f>Tabla1[[#This Row],[suero_litros]]*Tabla1[[#This Row],[suero_prot_g_l]]/1000</f>
        <v>0</v>
      </c>
      <c r="AB246" s="7">
        <f>Tabla1[[#This Row],[suero_est_g_l]]*Tabla1[[#This Row],[suero_litros]]/1000</f>
        <v>0</v>
      </c>
    </row>
    <row r="247" spans="1:28" x14ac:dyDescent="0.25">
      <c r="A247" s="1">
        <v>45536</v>
      </c>
      <c r="B247">
        <v>5108</v>
      </c>
      <c r="C247">
        <v>4959</v>
      </c>
      <c r="D247">
        <v>41.82</v>
      </c>
      <c r="E247">
        <v>33.25</v>
      </c>
      <c r="F247">
        <v>0</v>
      </c>
      <c r="G247">
        <v>0</v>
      </c>
      <c r="H247">
        <v>0</v>
      </c>
      <c r="I247">
        <v>4959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f>Tabla1[[#This Row],[entrada_litros]]*Tabla1[[#This Row],[entrada_grasa_g_l]]/1000</f>
        <v>207.38538</v>
      </c>
      <c r="R247">
        <f>Tabla1[[#This Row],[entrada_prot_g_l]]*Tabla1[[#This Row],[entrada_litros]]/1000</f>
        <v>164.88675000000001</v>
      </c>
      <c r="S247">
        <f>Tabla1[[#This Row],[cuba_fab_litros]]*Tabla1[[#This Row],[cuba_fab_grasa_g_l]]/1000</f>
        <v>0</v>
      </c>
      <c r="T247">
        <f>Tabla1[[#This Row],[cuba_fab_litros]]*Tabla1[[#This Row],[cuba_fab_prot_g_l]]/1000</f>
        <v>0</v>
      </c>
      <c r="U247">
        <f>Tabla1[[#This Row],[queso_kg]]*Tabla1[[#This Row],[queso_est_pct]]/100</f>
        <v>0</v>
      </c>
      <c r="V247">
        <f>Tabla1[[#This Row],[queso_kg]]*Tabla1[[#This Row],[queso_mg_pct]]/100</f>
        <v>0</v>
      </c>
      <c r="W247">
        <f>Tabla1[[#This Row],[queso_est_kg]]-Tabla1[[#This Row],[queso_mg_kg]]</f>
        <v>0</v>
      </c>
      <c r="X247">
        <f>_xlfn.ISOWEEKNUM(Tabla1[[#This Row],[fecha]])</f>
        <v>35</v>
      </c>
      <c r="Y247">
        <v>36</v>
      </c>
      <c r="Z247" s="7">
        <f>Tabla1[[#This Row],[suero_litros]]*Tabla1[[#This Row],[suero_grasa_g_l]]/1000</f>
        <v>0</v>
      </c>
      <c r="AA247" s="7">
        <f>Tabla1[[#This Row],[suero_litros]]*Tabla1[[#This Row],[suero_prot_g_l]]/1000</f>
        <v>0</v>
      </c>
      <c r="AB247" s="7">
        <f>Tabla1[[#This Row],[suero_est_g_l]]*Tabla1[[#This Row],[suero_litros]]/1000</f>
        <v>0</v>
      </c>
    </row>
    <row r="248" spans="1:28" x14ac:dyDescent="0.25">
      <c r="A248" s="1">
        <v>45537</v>
      </c>
      <c r="B248">
        <v>5311</v>
      </c>
      <c r="C248">
        <v>5156</v>
      </c>
      <c r="D248">
        <v>40.17</v>
      </c>
      <c r="E248">
        <v>37.200000000000003</v>
      </c>
      <c r="F248">
        <v>5016</v>
      </c>
      <c r="G248">
        <v>38.9</v>
      </c>
      <c r="H248">
        <v>33.700000000000003</v>
      </c>
      <c r="I248">
        <v>5115</v>
      </c>
      <c r="J248">
        <v>619.34</v>
      </c>
      <c r="K248">
        <v>52.2</v>
      </c>
      <c r="L248">
        <v>27.51</v>
      </c>
      <c r="M248">
        <v>4436</v>
      </c>
      <c r="N248">
        <v>5.47</v>
      </c>
      <c r="O248">
        <v>5.8</v>
      </c>
      <c r="P248">
        <v>64.53</v>
      </c>
      <c r="Q248">
        <f>Tabla1[[#This Row],[entrada_litros]]*Tabla1[[#This Row],[entrada_grasa_g_l]]/1000</f>
        <v>207.11652000000001</v>
      </c>
      <c r="R248">
        <f>Tabla1[[#This Row],[entrada_prot_g_l]]*Tabla1[[#This Row],[entrada_litros]]/1000</f>
        <v>191.8032</v>
      </c>
      <c r="S248">
        <f>Tabla1[[#This Row],[cuba_fab_litros]]*Tabla1[[#This Row],[cuba_fab_grasa_g_l]]/1000</f>
        <v>195.1224</v>
      </c>
      <c r="T248">
        <f>Tabla1[[#This Row],[cuba_fab_litros]]*Tabla1[[#This Row],[cuba_fab_prot_g_l]]/1000</f>
        <v>169.03920000000002</v>
      </c>
      <c r="U248">
        <f>Tabla1[[#This Row],[queso_kg]]*Tabla1[[#This Row],[queso_est_pct]]/100</f>
        <v>323.29548</v>
      </c>
      <c r="V248">
        <f>Tabla1[[#This Row],[queso_kg]]*Tabla1[[#This Row],[queso_mg_pct]]/100</f>
        <v>170.38043400000004</v>
      </c>
      <c r="W248">
        <f>Tabla1[[#This Row],[queso_est_kg]]-Tabla1[[#This Row],[queso_mg_kg]]</f>
        <v>152.91504599999996</v>
      </c>
      <c r="X248">
        <f>_xlfn.ISOWEEKNUM(Tabla1[[#This Row],[fecha]])</f>
        <v>36</v>
      </c>
      <c r="Y248">
        <v>36</v>
      </c>
      <c r="Z248" s="7">
        <f>Tabla1[[#This Row],[suero_litros]]*Tabla1[[#This Row],[suero_grasa_g_l]]/1000</f>
        <v>24.264919999999996</v>
      </c>
      <c r="AA248" s="7">
        <f>Tabla1[[#This Row],[suero_litros]]*Tabla1[[#This Row],[suero_prot_g_l]]/1000</f>
        <v>25.7288</v>
      </c>
      <c r="AB248" s="7">
        <f>Tabla1[[#This Row],[suero_est_g_l]]*Tabla1[[#This Row],[suero_litros]]/1000</f>
        <v>286.25508000000002</v>
      </c>
    </row>
    <row r="249" spans="1:28" x14ac:dyDescent="0.25">
      <c r="A249" s="1">
        <v>45538</v>
      </c>
      <c r="B249">
        <v>5289</v>
      </c>
      <c r="C249">
        <v>5135</v>
      </c>
      <c r="D249">
        <v>41.31</v>
      </c>
      <c r="E249">
        <v>36.270000000000003</v>
      </c>
      <c r="F249">
        <v>5019</v>
      </c>
      <c r="G249">
        <v>39.19</v>
      </c>
      <c r="H249">
        <v>34.340000000000003</v>
      </c>
      <c r="I249">
        <v>5250</v>
      </c>
      <c r="J249">
        <v>628.6</v>
      </c>
      <c r="K249">
        <v>51.5</v>
      </c>
      <c r="L249">
        <v>26.08</v>
      </c>
      <c r="M249">
        <v>4430</v>
      </c>
      <c r="N249">
        <v>7.34</v>
      </c>
      <c r="O249">
        <v>6.08</v>
      </c>
      <c r="P249">
        <v>64.02</v>
      </c>
      <c r="Q249">
        <f>Tabla1[[#This Row],[entrada_litros]]*Tabla1[[#This Row],[entrada_grasa_g_l]]/1000</f>
        <v>212.12685000000002</v>
      </c>
      <c r="R249">
        <f>Tabla1[[#This Row],[entrada_prot_g_l]]*Tabla1[[#This Row],[entrada_litros]]/1000</f>
        <v>186.24645000000001</v>
      </c>
      <c r="S249">
        <f>Tabla1[[#This Row],[cuba_fab_litros]]*Tabla1[[#This Row],[cuba_fab_grasa_g_l]]/1000</f>
        <v>196.69460999999998</v>
      </c>
      <c r="T249">
        <f>Tabla1[[#This Row],[cuba_fab_litros]]*Tabla1[[#This Row],[cuba_fab_prot_g_l]]/1000</f>
        <v>172.35246000000001</v>
      </c>
      <c r="U249">
        <f>Tabla1[[#This Row],[queso_kg]]*Tabla1[[#This Row],[queso_est_pct]]/100</f>
        <v>323.72900000000004</v>
      </c>
      <c r="V249">
        <f>Tabla1[[#This Row],[queso_kg]]*Tabla1[[#This Row],[queso_mg_pct]]/100</f>
        <v>163.93887999999998</v>
      </c>
      <c r="W249">
        <f>Tabla1[[#This Row],[queso_est_kg]]-Tabla1[[#This Row],[queso_mg_kg]]</f>
        <v>159.79012000000006</v>
      </c>
      <c r="X249">
        <f>_xlfn.ISOWEEKNUM(Tabla1[[#This Row],[fecha]])</f>
        <v>36</v>
      </c>
      <c r="Y249">
        <v>36</v>
      </c>
      <c r="Z249" s="7">
        <f>Tabla1[[#This Row],[suero_litros]]*Tabla1[[#This Row],[suero_grasa_g_l]]/1000</f>
        <v>32.516199999999998</v>
      </c>
      <c r="AA249" s="7">
        <f>Tabla1[[#This Row],[suero_litros]]*Tabla1[[#This Row],[suero_prot_g_l]]/1000</f>
        <v>26.9344</v>
      </c>
      <c r="AB249" s="7">
        <f>Tabla1[[#This Row],[suero_est_g_l]]*Tabla1[[#This Row],[suero_litros]]/1000</f>
        <v>283.60859999999997</v>
      </c>
    </row>
    <row r="250" spans="1:28" x14ac:dyDescent="0.25">
      <c r="A250" s="1">
        <v>45539</v>
      </c>
      <c r="B250">
        <v>5219</v>
      </c>
      <c r="C250">
        <v>5067</v>
      </c>
      <c r="D250">
        <v>46.43</v>
      </c>
      <c r="E250">
        <v>34.82</v>
      </c>
      <c r="F250">
        <v>5032</v>
      </c>
      <c r="G250">
        <v>41.83</v>
      </c>
      <c r="H250">
        <v>33.53</v>
      </c>
      <c r="I250">
        <v>5317</v>
      </c>
      <c r="J250">
        <v>624.4</v>
      </c>
      <c r="K250">
        <v>53.42</v>
      </c>
      <c r="L250">
        <v>29.23</v>
      </c>
      <c r="M250">
        <v>4447</v>
      </c>
      <c r="N250">
        <v>6.2</v>
      </c>
      <c r="O250">
        <v>5.26</v>
      </c>
      <c r="P250">
        <v>61.33</v>
      </c>
      <c r="Q250">
        <f>Tabla1[[#This Row],[entrada_litros]]*Tabla1[[#This Row],[entrada_grasa_g_l]]/1000</f>
        <v>235.26080999999999</v>
      </c>
      <c r="R250">
        <f>Tabla1[[#This Row],[entrada_prot_g_l]]*Tabla1[[#This Row],[entrada_litros]]/1000</f>
        <v>176.43294</v>
      </c>
      <c r="S250">
        <f>Tabla1[[#This Row],[cuba_fab_litros]]*Tabla1[[#This Row],[cuba_fab_grasa_g_l]]/1000</f>
        <v>210.48856000000001</v>
      </c>
      <c r="T250">
        <f>Tabla1[[#This Row],[cuba_fab_litros]]*Tabla1[[#This Row],[cuba_fab_prot_g_l]]/1000</f>
        <v>168.72296</v>
      </c>
      <c r="U250">
        <f>Tabla1[[#This Row],[queso_kg]]*Tabla1[[#This Row],[queso_est_pct]]/100</f>
        <v>333.55447999999996</v>
      </c>
      <c r="V250">
        <f>Tabla1[[#This Row],[queso_kg]]*Tabla1[[#This Row],[queso_mg_pct]]/100</f>
        <v>182.51211999999998</v>
      </c>
      <c r="W250">
        <f>Tabla1[[#This Row],[queso_est_kg]]-Tabla1[[#This Row],[queso_mg_kg]]</f>
        <v>151.04235999999997</v>
      </c>
      <c r="X250">
        <f>_xlfn.ISOWEEKNUM(Tabla1[[#This Row],[fecha]])</f>
        <v>36</v>
      </c>
      <c r="Y250">
        <v>36</v>
      </c>
      <c r="Z250" s="7">
        <f>Tabla1[[#This Row],[suero_litros]]*Tabla1[[#This Row],[suero_grasa_g_l]]/1000</f>
        <v>27.571400000000001</v>
      </c>
      <c r="AA250" s="7">
        <f>Tabla1[[#This Row],[suero_litros]]*Tabla1[[#This Row],[suero_prot_g_l]]/1000</f>
        <v>23.391219999999997</v>
      </c>
      <c r="AB250" s="7">
        <f>Tabla1[[#This Row],[suero_est_g_l]]*Tabla1[[#This Row],[suero_litros]]/1000</f>
        <v>272.73451</v>
      </c>
    </row>
    <row r="251" spans="1:28" x14ac:dyDescent="0.25">
      <c r="A251" s="1">
        <v>45540</v>
      </c>
      <c r="B251">
        <v>5377</v>
      </c>
      <c r="C251">
        <v>5220</v>
      </c>
      <c r="D251">
        <v>41.87</v>
      </c>
      <c r="E251">
        <v>35.43</v>
      </c>
      <c r="F251">
        <v>5030</v>
      </c>
      <c r="G251">
        <v>40.86</v>
      </c>
      <c r="H251">
        <v>33.83</v>
      </c>
      <c r="I251">
        <v>5537</v>
      </c>
      <c r="J251">
        <v>616</v>
      </c>
      <c r="K251">
        <v>51.07</v>
      </c>
      <c r="L251">
        <v>26.73</v>
      </c>
      <c r="M251">
        <v>4454</v>
      </c>
      <c r="N251">
        <v>9</v>
      </c>
      <c r="O251">
        <v>6.68</v>
      </c>
      <c r="P251">
        <v>66.12</v>
      </c>
      <c r="Q251">
        <f>Tabla1[[#This Row],[entrada_litros]]*Tabla1[[#This Row],[entrada_grasa_g_l]]/1000</f>
        <v>218.56139999999999</v>
      </c>
      <c r="R251">
        <f>Tabla1[[#This Row],[entrada_prot_g_l]]*Tabla1[[#This Row],[entrada_litros]]/1000</f>
        <v>184.94460000000001</v>
      </c>
      <c r="S251">
        <f>Tabla1[[#This Row],[cuba_fab_litros]]*Tabla1[[#This Row],[cuba_fab_grasa_g_l]]/1000</f>
        <v>205.52579999999998</v>
      </c>
      <c r="T251">
        <f>Tabla1[[#This Row],[cuba_fab_litros]]*Tabla1[[#This Row],[cuba_fab_prot_g_l]]/1000</f>
        <v>170.16489999999999</v>
      </c>
      <c r="U251">
        <f>Tabla1[[#This Row],[queso_kg]]*Tabla1[[#This Row],[queso_est_pct]]/100</f>
        <v>314.59120000000001</v>
      </c>
      <c r="V251">
        <f>Tabla1[[#This Row],[queso_kg]]*Tabla1[[#This Row],[queso_mg_pct]]/100</f>
        <v>164.6568</v>
      </c>
      <c r="W251">
        <f>Tabla1[[#This Row],[queso_est_kg]]-Tabla1[[#This Row],[queso_mg_kg]]</f>
        <v>149.93440000000001</v>
      </c>
      <c r="X251">
        <f>_xlfn.ISOWEEKNUM(Tabla1[[#This Row],[fecha]])</f>
        <v>36</v>
      </c>
      <c r="Y251">
        <v>36</v>
      </c>
      <c r="Z251" s="7">
        <f>Tabla1[[#This Row],[suero_litros]]*Tabla1[[#This Row],[suero_grasa_g_l]]/1000</f>
        <v>40.085999999999999</v>
      </c>
      <c r="AA251" s="7">
        <f>Tabla1[[#This Row],[suero_litros]]*Tabla1[[#This Row],[suero_prot_g_l]]/1000</f>
        <v>29.752719999999997</v>
      </c>
      <c r="AB251" s="7">
        <f>Tabla1[[#This Row],[suero_est_g_l]]*Tabla1[[#This Row],[suero_litros]]/1000</f>
        <v>294.49848000000003</v>
      </c>
    </row>
    <row r="252" spans="1:28" x14ac:dyDescent="0.25">
      <c r="A252" s="1">
        <v>45541</v>
      </c>
      <c r="B252">
        <v>0</v>
      </c>
      <c r="C252">
        <v>0</v>
      </c>
      <c r="D252">
        <v>0</v>
      </c>
      <c r="E252">
        <v>0</v>
      </c>
      <c r="F252">
        <v>5568</v>
      </c>
      <c r="G252">
        <v>40.729999999999997</v>
      </c>
      <c r="H252">
        <v>33.79</v>
      </c>
      <c r="I252">
        <v>0</v>
      </c>
      <c r="J252">
        <v>710.99</v>
      </c>
      <c r="K252">
        <v>53.04</v>
      </c>
      <c r="L252">
        <v>27.84</v>
      </c>
      <c r="M252">
        <v>4902</v>
      </c>
      <c r="N252">
        <v>5.76</v>
      </c>
      <c r="O252">
        <v>4.22</v>
      </c>
      <c r="P252">
        <v>61.65</v>
      </c>
      <c r="Q252">
        <f>Tabla1[[#This Row],[entrada_litros]]*Tabla1[[#This Row],[entrada_grasa_g_l]]/1000</f>
        <v>0</v>
      </c>
      <c r="R252">
        <f>Tabla1[[#This Row],[entrada_prot_g_l]]*Tabla1[[#This Row],[entrada_litros]]/1000</f>
        <v>0</v>
      </c>
      <c r="S252">
        <f>Tabla1[[#This Row],[cuba_fab_litros]]*Tabla1[[#This Row],[cuba_fab_grasa_g_l]]/1000</f>
        <v>226.78464</v>
      </c>
      <c r="T252">
        <f>Tabla1[[#This Row],[cuba_fab_litros]]*Tabla1[[#This Row],[cuba_fab_prot_g_l]]/1000</f>
        <v>188.14272</v>
      </c>
      <c r="U252">
        <f>Tabla1[[#This Row],[queso_kg]]*Tabla1[[#This Row],[queso_est_pct]]/100</f>
        <v>377.10909599999997</v>
      </c>
      <c r="V252">
        <f>Tabla1[[#This Row],[queso_kg]]*Tabla1[[#This Row],[queso_mg_pct]]/100</f>
        <v>197.939616</v>
      </c>
      <c r="W252">
        <f>Tabla1[[#This Row],[queso_est_kg]]-Tabla1[[#This Row],[queso_mg_kg]]</f>
        <v>179.16947999999996</v>
      </c>
      <c r="X252">
        <f>_xlfn.ISOWEEKNUM(Tabla1[[#This Row],[fecha]])</f>
        <v>36</v>
      </c>
      <c r="Y252">
        <v>36</v>
      </c>
      <c r="Z252" s="7">
        <f>Tabla1[[#This Row],[suero_litros]]*Tabla1[[#This Row],[suero_grasa_g_l]]/1000</f>
        <v>28.235520000000001</v>
      </c>
      <c r="AA252" s="7">
        <f>Tabla1[[#This Row],[suero_litros]]*Tabla1[[#This Row],[suero_prot_g_l]]/1000</f>
        <v>20.686439999999997</v>
      </c>
      <c r="AB252" s="7">
        <f>Tabla1[[#This Row],[suero_est_g_l]]*Tabla1[[#This Row],[suero_litros]]/1000</f>
        <v>302.20830000000001</v>
      </c>
    </row>
    <row r="253" spans="1:28" x14ac:dyDescent="0.25">
      <c r="A253" s="1">
        <v>45542</v>
      </c>
      <c r="B253">
        <v>0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f>Tabla1[[#This Row],[entrada_litros]]*Tabla1[[#This Row],[entrada_grasa_g_l]]/1000</f>
        <v>0</v>
      </c>
      <c r="R253">
        <f>Tabla1[[#This Row],[entrada_prot_g_l]]*Tabla1[[#This Row],[entrada_litros]]/1000</f>
        <v>0</v>
      </c>
      <c r="S253">
        <f>Tabla1[[#This Row],[cuba_fab_litros]]*Tabla1[[#This Row],[cuba_fab_grasa_g_l]]/1000</f>
        <v>0</v>
      </c>
      <c r="T253">
        <f>Tabla1[[#This Row],[cuba_fab_litros]]*Tabla1[[#This Row],[cuba_fab_prot_g_l]]/1000</f>
        <v>0</v>
      </c>
      <c r="U253">
        <f>Tabla1[[#This Row],[queso_kg]]*Tabla1[[#This Row],[queso_est_pct]]/100</f>
        <v>0</v>
      </c>
      <c r="V253">
        <f>Tabla1[[#This Row],[queso_kg]]*Tabla1[[#This Row],[queso_mg_pct]]/100</f>
        <v>0</v>
      </c>
      <c r="W253">
        <f>Tabla1[[#This Row],[queso_est_kg]]-Tabla1[[#This Row],[queso_mg_kg]]</f>
        <v>0</v>
      </c>
      <c r="X253">
        <f>_xlfn.ISOWEEKNUM(Tabla1[[#This Row],[fecha]])</f>
        <v>36</v>
      </c>
      <c r="Y253">
        <v>36</v>
      </c>
      <c r="Z253" s="7">
        <f>Tabla1[[#This Row],[suero_litros]]*Tabla1[[#This Row],[suero_grasa_g_l]]/1000</f>
        <v>0</v>
      </c>
      <c r="AA253" s="7">
        <f>Tabla1[[#This Row],[suero_litros]]*Tabla1[[#This Row],[suero_prot_g_l]]/1000</f>
        <v>0</v>
      </c>
      <c r="AB253" s="7">
        <f>Tabla1[[#This Row],[suero_est_g_l]]*Tabla1[[#This Row],[suero_litros]]/1000</f>
        <v>0</v>
      </c>
    </row>
    <row r="254" spans="1:28" x14ac:dyDescent="0.25">
      <c r="A254" s="1">
        <v>45543</v>
      </c>
      <c r="B254">
        <v>5260</v>
      </c>
      <c r="C254">
        <v>5107</v>
      </c>
      <c r="D254">
        <v>40.97</v>
      </c>
      <c r="E254">
        <v>36.36</v>
      </c>
      <c r="F254">
        <v>0</v>
      </c>
      <c r="G254">
        <v>0</v>
      </c>
      <c r="H254">
        <v>0</v>
      </c>
      <c r="I254">
        <v>5107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f>Tabla1[[#This Row],[entrada_litros]]*Tabla1[[#This Row],[entrada_grasa_g_l]]/1000</f>
        <v>209.23379</v>
      </c>
      <c r="R254">
        <f>Tabla1[[#This Row],[entrada_prot_g_l]]*Tabla1[[#This Row],[entrada_litros]]/1000</f>
        <v>185.69051999999999</v>
      </c>
      <c r="S254">
        <f>Tabla1[[#This Row],[cuba_fab_litros]]*Tabla1[[#This Row],[cuba_fab_grasa_g_l]]/1000</f>
        <v>0</v>
      </c>
      <c r="T254">
        <f>Tabla1[[#This Row],[cuba_fab_litros]]*Tabla1[[#This Row],[cuba_fab_prot_g_l]]/1000</f>
        <v>0</v>
      </c>
      <c r="U254">
        <f>Tabla1[[#This Row],[queso_kg]]*Tabla1[[#This Row],[queso_est_pct]]/100</f>
        <v>0</v>
      </c>
      <c r="V254">
        <f>Tabla1[[#This Row],[queso_kg]]*Tabla1[[#This Row],[queso_mg_pct]]/100</f>
        <v>0</v>
      </c>
      <c r="W254">
        <f>Tabla1[[#This Row],[queso_est_kg]]-Tabla1[[#This Row],[queso_mg_kg]]</f>
        <v>0</v>
      </c>
      <c r="X254">
        <f>_xlfn.ISOWEEKNUM(Tabla1[[#This Row],[fecha]])</f>
        <v>36</v>
      </c>
      <c r="Y254">
        <v>37</v>
      </c>
      <c r="Z254" s="7">
        <f>Tabla1[[#This Row],[suero_litros]]*Tabla1[[#This Row],[suero_grasa_g_l]]/1000</f>
        <v>0</v>
      </c>
      <c r="AA254" s="7">
        <f>Tabla1[[#This Row],[suero_litros]]*Tabla1[[#This Row],[suero_prot_g_l]]/1000</f>
        <v>0</v>
      </c>
      <c r="AB254" s="7">
        <f>Tabla1[[#This Row],[suero_est_g_l]]*Tabla1[[#This Row],[suero_litros]]/1000</f>
        <v>0</v>
      </c>
    </row>
    <row r="255" spans="1:28" x14ac:dyDescent="0.25">
      <c r="A255" s="1">
        <v>45544</v>
      </c>
      <c r="B255">
        <v>4946</v>
      </c>
      <c r="C255">
        <v>4802</v>
      </c>
      <c r="D255">
        <v>42.43</v>
      </c>
      <c r="E255">
        <v>36.29</v>
      </c>
      <c r="F255">
        <v>5026</v>
      </c>
      <c r="G255">
        <v>39.61</v>
      </c>
      <c r="H255">
        <v>34.5</v>
      </c>
      <c r="I255">
        <v>4909</v>
      </c>
      <c r="J255">
        <v>657.02</v>
      </c>
      <c r="K255">
        <v>51.33</v>
      </c>
      <c r="L255">
        <v>26.82</v>
      </c>
      <c r="M255">
        <v>4410</v>
      </c>
      <c r="N255">
        <v>5.0999999999999996</v>
      </c>
      <c r="O255">
        <v>3.75</v>
      </c>
      <c r="P255">
        <v>60.18</v>
      </c>
      <c r="Q255">
        <f>Tabla1[[#This Row],[entrada_litros]]*Tabla1[[#This Row],[entrada_grasa_g_l]]/1000</f>
        <v>203.74885999999998</v>
      </c>
      <c r="R255">
        <f>Tabla1[[#This Row],[entrada_prot_g_l]]*Tabla1[[#This Row],[entrada_litros]]/1000</f>
        <v>174.26458</v>
      </c>
      <c r="S255">
        <f>Tabla1[[#This Row],[cuba_fab_litros]]*Tabla1[[#This Row],[cuba_fab_grasa_g_l]]/1000</f>
        <v>199.07986</v>
      </c>
      <c r="T255">
        <f>Tabla1[[#This Row],[cuba_fab_litros]]*Tabla1[[#This Row],[cuba_fab_prot_g_l]]/1000</f>
        <v>173.39699999999999</v>
      </c>
      <c r="U255">
        <f>Tabla1[[#This Row],[queso_kg]]*Tabla1[[#This Row],[queso_est_pct]]/100</f>
        <v>337.24836599999998</v>
      </c>
      <c r="V255">
        <f>Tabla1[[#This Row],[queso_kg]]*Tabla1[[#This Row],[queso_mg_pct]]/100</f>
        <v>176.21276399999999</v>
      </c>
      <c r="W255">
        <f>Tabla1[[#This Row],[queso_est_kg]]-Tabla1[[#This Row],[queso_mg_kg]]</f>
        <v>161.03560199999998</v>
      </c>
      <c r="X255">
        <f>_xlfn.ISOWEEKNUM(Tabla1[[#This Row],[fecha]])</f>
        <v>37</v>
      </c>
      <c r="Y255">
        <v>37</v>
      </c>
      <c r="Z255" s="7">
        <f>Tabla1[[#This Row],[suero_litros]]*Tabla1[[#This Row],[suero_grasa_g_l]]/1000</f>
        <v>22.491</v>
      </c>
      <c r="AA255" s="7">
        <f>Tabla1[[#This Row],[suero_litros]]*Tabla1[[#This Row],[suero_prot_g_l]]/1000</f>
        <v>16.537500000000001</v>
      </c>
      <c r="AB255" s="7">
        <f>Tabla1[[#This Row],[suero_est_g_l]]*Tabla1[[#This Row],[suero_litros]]/1000</f>
        <v>265.3938</v>
      </c>
    </row>
    <row r="256" spans="1:28" x14ac:dyDescent="0.25">
      <c r="A256" s="1">
        <v>45545</v>
      </c>
      <c r="B256">
        <v>5152</v>
      </c>
      <c r="C256">
        <v>5002</v>
      </c>
      <c r="D256">
        <v>41.22</v>
      </c>
      <c r="E256">
        <v>35.32</v>
      </c>
      <c r="F256">
        <v>5026</v>
      </c>
      <c r="G256">
        <v>39.72</v>
      </c>
      <c r="H256">
        <v>34.090000000000003</v>
      </c>
      <c r="I256">
        <v>4911</v>
      </c>
      <c r="J256">
        <v>631.94000000000005</v>
      </c>
      <c r="K256">
        <v>51.82</v>
      </c>
      <c r="L256">
        <v>26.15</v>
      </c>
      <c r="M256">
        <v>4434</v>
      </c>
      <c r="N256">
        <v>7.64</v>
      </c>
      <c r="O256">
        <v>5.28</v>
      </c>
      <c r="P256">
        <v>63.54</v>
      </c>
      <c r="Q256">
        <f>Tabla1[[#This Row],[entrada_litros]]*Tabla1[[#This Row],[entrada_grasa_g_l]]/1000</f>
        <v>206.18244000000001</v>
      </c>
      <c r="R256">
        <f>Tabla1[[#This Row],[entrada_prot_g_l]]*Tabla1[[#This Row],[entrada_litros]]/1000</f>
        <v>176.67064000000002</v>
      </c>
      <c r="S256">
        <f>Tabla1[[#This Row],[cuba_fab_litros]]*Tabla1[[#This Row],[cuba_fab_grasa_g_l]]/1000</f>
        <v>199.63272000000001</v>
      </c>
      <c r="T256">
        <f>Tabla1[[#This Row],[cuba_fab_litros]]*Tabla1[[#This Row],[cuba_fab_prot_g_l]]/1000</f>
        <v>171.33634000000004</v>
      </c>
      <c r="U256">
        <f>Tabla1[[#This Row],[queso_kg]]*Tabla1[[#This Row],[queso_est_pct]]/100</f>
        <v>327.47130800000002</v>
      </c>
      <c r="V256">
        <f>Tabla1[[#This Row],[queso_kg]]*Tabla1[[#This Row],[queso_mg_pct]]/100</f>
        <v>165.25230999999999</v>
      </c>
      <c r="W256">
        <f>Tabla1[[#This Row],[queso_est_kg]]-Tabla1[[#This Row],[queso_mg_kg]]</f>
        <v>162.21899800000003</v>
      </c>
      <c r="X256">
        <f>_xlfn.ISOWEEKNUM(Tabla1[[#This Row],[fecha]])</f>
        <v>37</v>
      </c>
      <c r="Y256">
        <v>37</v>
      </c>
      <c r="Z256" s="7">
        <f>Tabla1[[#This Row],[suero_litros]]*Tabla1[[#This Row],[suero_grasa_g_l]]/1000</f>
        <v>33.87576</v>
      </c>
      <c r="AA256" s="7">
        <f>Tabla1[[#This Row],[suero_litros]]*Tabla1[[#This Row],[suero_prot_g_l]]/1000</f>
        <v>23.411519999999999</v>
      </c>
      <c r="AB256" s="7">
        <f>Tabla1[[#This Row],[suero_est_g_l]]*Tabla1[[#This Row],[suero_litros]]/1000</f>
        <v>281.73635999999999</v>
      </c>
    </row>
    <row r="257" spans="1:28" x14ac:dyDescent="0.25">
      <c r="A257" s="1">
        <v>45546</v>
      </c>
      <c r="B257">
        <v>5554</v>
      </c>
      <c r="C257">
        <v>5392</v>
      </c>
      <c r="D257">
        <v>41.96</v>
      </c>
      <c r="E257">
        <v>37.43</v>
      </c>
      <c r="F257">
        <v>5020</v>
      </c>
      <c r="G257">
        <v>40.15</v>
      </c>
      <c r="H257">
        <v>34.67</v>
      </c>
      <c r="I257">
        <v>5303</v>
      </c>
      <c r="J257">
        <v>603.30999999999995</v>
      </c>
      <c r="K257">
        <v>51.29</v>
      </c>
      <c r="L257">
        <v>27.12</v>
      </c>
      <c r="M257">
        <v>4456</v>
      </c>
      <c r="N257">
        <v>8.35</v>
      </c>
      <c r="O257">
        <v>7.65</v>
      </c>
      <c r="P257">
        <v>68.290000000000006</v>
      </c>
      <c r="Q257">
        <f>Tabla1[[#This Row],[entrada_litros]]*Tabla1[[#This Row],[entrada_grasa_g_l]]/1000</f>
        <v>226.24832000000001</v>
      </c>
      <c r="R257">
        <f>Tabla1[[#This Row],[entrada_prot_g_l]]*Tabla1[[#This Row],[entrada_litros]]/1000</f>
        <v>201.82256000000001</v>
      </c>
      <c r="S257">
        <f>Tabla1[[#This Row],[cuba_fab_litros]]*Tabla1[[#This Row],[cuba_fab_grasa_g_l]]/1000</f>
        <v>201.553</v>
      </c>
      <c r="T257">
        <f>Tabla1[[#This Row],[cuba_fab_litros]]*Tabla1[[#This Row],[cuba_fab_prot_g_l]]/1000</f>
        <v>174.04339999999999</v>
      </c>
      <c r="U257">
        <f>Tabla1[[#This Row],[queso_kg]]*Tabla1[[#This Row],[queso_est_pct]]/100</f>
        <v>309.43769899999995</v>
      </c>
      <c r="V257">
        <f>Tabla1[[#This Row],[queso_kg]]*Tabla1[[#This Row],[queso_mg_pct]]/100</f>
        <v>163.61767199999997</v>
      </c>
      <c r="W257">
        <f>Tabla1[[#This Row],[queso_est_kg]]-Tabla1[[#This Row],[queso_mg_kg]]</f>
        <v>145.82002699999998</v>
      </c>
      <c r="X257">
        <f>_xlfn.ISOWEEKNUM(Tabla1[[#This Row],[fecha]])</f>
        <v>37</v>
      </c>
      <c r="Y257">
        <v>37</v>
      </c>
      <c r="Z257" s="7">
        <f>Tabla1[[#This Row],[suero_litros]]*Tabla1[[#This Row],[suero_grasa_g_l]]/1000</f>
        <v>37.207599999999999</v>
      </c>
      <c r="AA257" s="7">
        <f>Tabla1[[#This Row],[suero_litros]]*Tabla1[[#This Row],[suero_prot_g_l]]/1000</f>
        <v>34.0884</v>
      </c>
      <c r="AB257" s="7">
        <f>Tabla1[[#This Row],[suero_est_g_l]]*Tabla1[[#This Row],[suero_litros]]/1000</f>
        <v>304.30024000000003</v>
      </c>
    </row>
    <row r="258" spans="1:28" x14ac:dyDescent="0.25">
      <c r="A258" s="1">
        <v>45547</v>
      </c>
      <c r="B258">
        <v>5518</v>
      </c>
      <c r="C258">
        <v>5357</v>
      </c>
      <c r="D258">
        <v>42.76</v>
      </c>
      <c r="E258">
        <v>35.81</v>
      </c>
      <c r="F258">
        <v>5035</v>
      </c>
      <c r="G258">
        <v>40.24</v>
      </c>
      <c r="H258">
        <v>34.229999999999997</v>
      </c>
      <c r="I258">
        <v>5660</v>
      </c>
      <c r="J258">
        <v>614.33000000000004</v>
      </c>
      <c r="K258">
        <v>52.67</v>
      </c>
      <c r="L258">
        <v>27.24</v>
      </c>
      <c r="M258">
        <v>4460</v>
      </c>
      <c r="N258">
        <v>7.73</v>
      </c>
      <c r="O258">
        <v>6.41</v>
      </c>
      <c r="P258">
        <v>65.91</v>
      </c>
      <c r="Q258">
        <f>Tabla1[[#This Row],[entrada_litros]]*Tabla1[[#This Row],[entrada_grasa_g_l]]/1000</f>
        <v>229.06531999999999</v>
      </c>
      <c r="R258">
        <f>Tabla1[[#This Row],[entrada_prot_g_l]]*Tabla1[[#This Row],[entrada_litros]]/1000</f>
        <v>191.83417</v>
      </c>
      <c r="S258">
        <f>Tabla1[[#This Row],[cuba_fab_litros]]*Tabla1[[#This Row],[cuba_fab_grasa_g_l]]/1000</f>
        <v>202.60840000000002</v>
      </c>
      <c r="T258">
        <f>Tabla1[[#This Row],[cuba_fab_litros]]*Tabla1[[#This Row],[cuba_fab_prot_g_l]]/1000</f>
        <v>172.34805</v>
      </c>
      <c r="U258">
        <f>Tabla1[[#This Row],[queso_kg]]*Tabla1[[#This Row],[queso_est_pct]]/100</f>
        <v>323.56761100000006</v>
      </c>
      <c r="V258">
        <f>Tabla1[[#This Row],[queso_kg]]*Tabla1[[#This Row],[queso_mg_pct]]/100</f>
        <v>167.343492</v>
      </c>
      <c r="W258">
        <f>Tabla1[[#This Row],[queso_est_kg]]-Tabla1[[#This Row],[queso_mg_kg]]</f>
        <v>156.22411900000006</v>
      </c>
      <c r="X258">
        <f>_xlfn.ISOWEEKNUM(Tabla1[[#This Row],[fecha]])</f>
        <v>37</v>
      </c>
      <c r="Y258">
        <v>37</v>
      </c>
      <c r="Z258" s="7">
        <f>Tabla1[[#This Row],[suero_litros]]*Tabla1[[#This Row],[suero_grasa_g_l]]/1000</f>
        <v>34.4758</v>
      </c>
      <c r="AA258" s="7">
        <f>Tabla1[[#This Row],[suero_litros]]*Tabla1[[#This Row],[suero_prot_g_l]]/1000</f>
        <v>28.588600000000003</v>
      </c>
      <c r="AB258" s="7">
        <f>Tabla1[[#This Row],[suero_est_g_l]]*Tabla1[[#This Row],[suero_litros]]/1000</f>
        <v>293.95859999999999</v>
      </c>
    </row>
    <row r="259" spans="1:28" x14ac:dyDescent="0.25">
      <c r="A259" s="1">
        <v>45548</v>
      </c>
      <c r="B259">
        <v>0</v>
      </c>
      <c r="C259">
        <v>0</v>
      </c>
      <c r="D259">
        <v>0</v>
      </c>
      <c r="E259">
        <v>0</v>
      </c>
      <c r="F259">
        <v>5688</v>
      </c>
      <c r="G259">
        <v>40.18</v>
      </c>
      <c r="H259">
        <v>34.76</v>
      </c>
      <c r="I259">
        <v>0</v>
      </c>
      <c r="J259">
        <v>700.09</v>
      </c>
      <c r="K259">
        <v>52.04</v>
      </c>
      <c r="L259">
        <v>26.17</v>
      </c>
      <c r="M259">
        <v>5033</v>
      </c>
      <c r="N259">
        <v>8.7899999999999991</v>
      </c>
      <c r="O259">
        <v>8.31</v>
      </c>
      <c r="P259">
        <v>68.400000000000006</v>
      </c>
      <c r="Q259">
        <f>Tabla1[[#This Row],[entrada_litros]]*Tabla1[[#This Row],[entrada_grasa_g_l]]/1000</f>
        <v>0</v>
      </c>
      <c r="R259">
        <f>Tabla1[[#This Row],[entrada_prot_g_l]]*Tabla1[[#This Row],[entrada_litros]]/1000</f>
        <v>0</v>
      </c>
      <c r="S259">
        <f>Tabla1[[#This Row],[cuba_fab_litros]]*Tabla1[[#This Row],[cuba_fab_grasa_g_l]]/1000</f>
        <v>228.54383999999999</v>
      </c>
      <c r="T259">
        <f>Tabla1[[#This Row],[cuba_fab_litros]]*Tabla1[[#This Row],[cuba_fab_prot_g_l]]/1000</f>
        <v>197.71487999999997</v>
      </c>
      <c r="U259">
        <f>Tabla1[[#This Row],[queso_kg]]*Tabla1[[#This Row],[queso_est_pct]]/100</f>
        <v>364.32683600000001</v>
      </c>
      <c r="V259">
        <f>Tabla1[[#This Row],[queso_kg]]*Tabla1[[#This Row],[queso_mg_pct]]/100</f>
        <v>183.21355300000002</v>
      </c>
      <c r="W259">
        <f>Tabla1[[#This Row],[queso_est_kg]]-Tabla1[[#This Row],[queso_mg_kg]]</f>
        <v>181.113283</v>
      </c>
      <c r="X259">
        <f>_xlfn.ISOWEEKNUM(Tabla1[[#This Row],[fecha]])</f>
        <v>37</v>
      </c>
      <c r="Y259">
        <v>37</v>
      </c>
      <c r="Z259" s="7">
        <f>Tabla1[[#This Row],[suero_litros]]*Tabla1[[#This Row],[suero_grasa_g_l]]/1000</f>
        <v>44.240069999999996</v>
      </c>
      <c r="AA259" s="7">
        <f>Tabla1[[#This Row],[suero_litros]]*Tabla1[[#This Row],[suero_prot_g_l]]/1000</f>
        <v>41.82423</v>
      </c>
      <c r="AB259" s="7">
        <f>Tabla1[[#This Row],[suero_est_g_l]]*Tabla1[[#This Row],[suero_litros]]/1000</f>
        <v>344.25720000000001</v>
      </c>
    </row>
    <row r="260" spans="1:28" x14ac:dyDescent="0.25">
      <c r="A260" s="1">
        <v>45549</v>
      </c>
      <c r="B260">
        <v>0</v>
      </c>
      <c r="C260">
        <v>0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f>Tabla1[[#This Row],[entrada_litros]]*Tabla1[[#This Row],[entrada_grasa_g_l]]/1000</f>
        <v>0</v>
      </c>
      <c r="R260">
        <f>Tabla1[[#This Row],[entrada_prot_g_l]]*Tabla1[[#This Row],[entrada_litros]]/1000</f>
        <v>0</v>
      </c>
      <c r="S260">
        <f>Tabla1[[#This Row],[cuba_fab_litros]]*Tabla1[[#This Row],[cuba_fab_grasa_g_l]]/1000</f>
        <v>0</v>
      </c>
      <c r="T260">
        <f>Tabla1[[#This Row],[cuba_fab_litros]]*Tabla1[[#This Row],[cuba_fab_prot_g_l]]/1000</f>
        <v>0</v>
      </c>
      <c r="U260">
        <f>Tabla1[[#This Row],[queso_kg]]*Tabla1[[#This Row],[queso_est_pct]]/100</f>
        <v>0</v>
      </c>
      <c r="V260">
        <f>Tabla1[[#This Row],[queso_kg]]*Tabla1[[#This Row],[queso_mg_pct]]/100</f>
        <v>0</v>
      </c>
      <c r="W260">
        <f>Tabla1[[#This Row],[queso_est_kg]]-Tabla1[[#This Row],[queso_mg_kg]]</f>
        <v>0</v>
      </c>
      <c r="X260">
        <f>_xlfn.ISOWEEKNUM(Tabla1[[#This Row],[fecha]])</f>
        <v>37</v>
      </c>
      <c r="Y260">
        <v>37</v>
      </c>
      <c r="Z260" s="7">
        <f>Tabla1[[#This Row],[suero_litros]]*Tabla1[[#This Row],[suero_grasa_g_l]]/1000</f>
        <v>0</v>
      </c>
      <c r="AA260" s="7">
        <f>Tabla1[[#This Row],[suero_litros]]*Tabla1[[#This Row],[suero_prot_g_l]]/1000</f>
        <v>0</v>
      </c>
      <c r="AB260" s="7">
        <f>Tabla1[[#This Row],[suero_est_g_l]]*Tabla1[[#This Row],[suero_litros]]/1000</f>
        <v>0</v>
      </c>
    </row>
    <row r="261" spans="1:28" x14ac:dyDescent="0.25">
      <c r="A261" s="1">
        <v>45550</v>
      </c>
      <c r="B261">
        <v>4871</v>
      </c>
      <c r="C261">
        <v>4729</v>
      </c>
      <c r="D261">
        <v>43.15</v>
      </c>
      <c r="E261">
        <v>36.51</v>
      </c>
      <c r="F261">
        <v>0</v>
      </c>
      <c r="G261">
        <v>0</v>
      </c>
      <c r="H261">
        <v>0</v>
      </c>
      <c r="I261">
        <v>4729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f>Tabla1[[#This Row],[entrada_litros]]*Tabla1[[#This Row],[entrada_grasa_g_l]]/1000</f>
        <v>204.05635000000001</v>
      </c>
      <c r="R261">
        <f>Tabla1[[#This Row],[entrada_prot_g_l]]*Tabla1[[#This Row],[entrada_litros]]/1000</f>
        <v>172.65578999999997</v>
      </c>
      <c r="S261">
        <f>Tabla1[[#This Row],[cuba_fab_litros]]*Tabla1[[#This Row],[cuba_fab_grasa_g_l]]/1000</f>
        <v>0</v>
      </c>
      <c r="T261">
        <f>Tabla1[[#This Row],[cuba_fab_litros]]*Tabla1[[#This Row],[cuba_fab_prot_g_l]]/1000</f>
        <v>0</v>
      </c>
      <c r="U261">
        <f>Tabla1[[#This Row],[queso_kg]]*Tabla1[[#This Row],[queso_est_pct]]/100</f>
        <v>0</v>
      </c>
      <c r="V261">
        <f>Tabla1[[#This Row],[queso_kg]]*Tabla1[[#This Row],[queso_mg_pct]]/100</f>
        <v>0</v>
      </c>
      <c r="W261">
        <f>Tabla1[[#This Row],[queso_est_kg]]-Tabla1[[#This Row],[queso_mg_kg]]</f>
        <v>0</v>
      </c>
      <c r="X261">
        <f>_xlfn.ISOWEEKNUM(Tabla1[[#This Row],[fecha]])</f>
        <v>37</v>
      </c>
      <c r="Y261">
        <v>38</v>
      </c>
      <c r="Z261" s="7">
        <f>Tabla1[[#This Row],[suero_litros]]*Tabla1[[#This Row],[suero_grasa_g_l]]/1000</f>
        <v>0</v>
      </c>
      <c r="AA261" s="7">
        <f>Tabla1[[#This Row],[suero_litros]]*Tabla1[[#This Row],[suero_prot_g_l]]/1000</f>
        <v>0</v>
      </c>
      <c r="AB261" s="7">
        <f>Tabla1[[#This Row],[suero_est_g_l]]*Tabla1[[#This Row],[suero_litros]]/1000</f>
        <v>0</v>
      </c>
    </row>
    <row r="262" spans="1:28" x14ac:dyDescent="0.25">
      <c r="A262" s="1">
        <v>45551</v>
      </c>
      <c r="B262">
        <v>5352</v>
      </c>
      <c r="C262">
        <v>5196</v>
      </c>
      <c r="D262">
        <v>45.08</v>
      </c>
      <c r="E262">
        <v>35.630000000000003</v>
      </c>
      <c r="F262">
        <v>5033</v>
      </c>
      <c r="G262">
        <v>41.87</v>
      </c>
      <c r="H262">
        <v>34.56</v>
      </c>
      <c r="I262">
        <v>4925</v>
      </c>
      <c r="J262">
        <v>625.34</v>
      </c>
      <c r="K262">
        <v>51.88</v>
      </c>
      <c r="L262">
        <v>27.29</v>
      </c>
      <c r="M262">
        <v>4447</v>
      </c>
      <c r="N262">
        <v>8.8000000000000007</v>
      </c>
      <c r="O262">
        <v>6.72</v>
      </c>
      <c r="P262">
        <v>67.33</v>
      </c>
      <c r="Q262">
        <f>Tabla1[[#This Row],[entrada_litros]]*Tabla1[[#This Row],[entrada_grasa_g_l]]/1000</f>
        <v>234.23568</v>
      </c>
      <c r="R262">
        <f>Tabla1[[#This Row],[entrada_prot_g_l]]*Tabla1[[#This Row],[entrada_litros]]/1000</f>
        <v>185.13348000000002</v>
      </c>
      <c r="S262">
        <f>Tabla1[[#This Row],[cuba_fab_litros]]*Tabla1[[#This Row],[cuba_fab_grasa_g_l]]/1000</f>
        <v>210.73170999999999</v>
      </c>
      <c r="T262">
        <f>Tabla1[[#This Row],[cuba_fab_litros]]*Tabla1[[#This Row],[cuba_fab_prot_g_l]]/1000</f>
        <v>173.94048000000001</v>
      </c>
      <c r="U262">
        <f>Tabla1[[#This Row],[queso_kg]]*Tabla1[[#This Row],[queso_est_pct]]/100</f>
        <v>324.42639200000002</v>
      </c>
      <c r="V262">
        <f>Tabla1[[#This Row],[queso_kg]]*Tabla1[[#This Row],[queso_mg_pct]]/100</f>
        <v>170.65528600000002</v>
      </c>
      <c r="W262">
        <f>Tabla1[[#This Row],[queso_est_kg]]-Tabla1[[#This Row],[queso_mg_kg]]</f>
        <v>153.771106</v>
      </c>
      <c r="X262">
        <f>_xlfn.ISOWEEKNUM(Tabla1[[#This Row],[fecha]])</f>
        <v>38</v>
      </c>
      <c r="Y262">
        <v>38</v>
      </c>
      <c r="Z262" s="7">
        <f>Tabla1[[#This Row],[suero_litros]]*Tabla1[[#This Row],[suero_grasa_g_l]]/1000</f>
        <v>39.133600000000008</v>
      </c>
      <c r="AA262" s="7">
        <f>Tabla1[[#This Row],[suero_litros]]*Tabla1[[#This Row],[suero_prot_g_l]]/1000</f>
        <v>29.883839999999999</v>
      </c>
      <c r="AB262" s="7">
        <f>Tabla1[[#This Row],[suero_est_g_l]]*Tabla1[[#This Row],[suero_litros]]/1000</f>
        <v>299.41651000000002</v>
      </c>
    </row>
    <row r="263" spans="1:28" x14ac:dyDescent="0.25">
      <c r="A263" s="1">
        <v>45552</v>
      </c>
      <c r="B263">
        <v>5044</v>
      </c>
      <c r="C263">
        <v>4897</v>
      </c>
      <c r="D263">
        <v>42.44</v>
      </c>
      <c r="E263">
        <v>36.25</v>
      </c>
      <c r="F263">
        <v>5021</v>
      </c>
      <c r="G263">
        <v>41.33</v>
      </c>
      <c r="H263">
        <v>34.43</v>
      </c>
      <c r="I263">
        <v>4822</v>
      </c>
      <c r="J263">
        <v>621</v>
      </c>
      <c r="K263">
        <v>49.84</v>
      </c>
      <c r="L263">
        <v>26.06</v>
      </c>
      <c r="M263">
        <v>4440</v>
      </c>
      <c r="N263">
        <v>10.08</v>
      </c>
      <c r="O263">
        <v>7.13</v>
      </c>
      <c r="P263">
        <v>68.239999999999995</v>
      </c>
      <c r="Q263">
        <f>Tabla1[[#This Row],[entrada_litros]]*Tabla1[[#This Row],[entrada_grasa_g_l]]/1000</f>
        <v>207.82867999999999</v>
      </c>
      <c r="R263">
        <f>Tabla1[[#This Row],[entrada_prot_g_l]]*Tabla1[[#This Row],[entrada_litros]]/1000</f>
        <v>177.51625000000001</v>
      </c>
      <c r="S263">
        <f>Tabla1[[#This Row],[cuba_fab_litros]]*Tabla1[[#This Row],[cuba_fab_grasa_g_l]]/1000</f>
        <v>207.51793000000001</v>
      </c>
      <c r="T263">
        <f>Tabla1[[#This Row],[cuba_fab_litros]]*Tabla1[[#This Row],[cuba_fab_prot_g_l]]/1000</f>
        <v>172.87303</v>
      </c>
      <c r="U263">
        <f>Tabla1[[#This Row],[queso_kg]]*Tabla1[[#This Row],[queso_est_pct]]/100</f>
        <v>309.50640000000004</v>
      </c>
      <c r="V263">
        <f>Tabla1[[#This Row],[queso_kg]]*Tabla1[[#This Row],[queso_mg_pct]]/100</f>
        <v>161.83259999999999</v>
      </c>
      <c r="W263">
        <f>Tabla1[[#This Row],[queso_est_kg]]-Tabla1[[#This Row],[queso_mg_kg]]</f>
        <v>147.67380000000006</v>
      </c>
      <c r="X263">
        <f>_xlfn.ISOWEEKNUM(Tabla1[[#This Row],[fecha]])</f>
        <v>38</v>
      </c>
      <c r="Y263">
        <v>38</v>
      </c>
      <c r="Z263" s="7">
        <f>Tabla1[[#This Row],[suero_litros]]*Tabla1[[#This Row],[suero_grasa_g_l]]/1000</f>
        <v>44.755199999999995</v>
      </c>
      <c r="AA263" s="7">
        <f>Tabla1[[#This Row],[suero_litros]]*Tabla1[[#This Row],[suero_prot_g_l]]/1000</f>
        <v>31.6572</v>
      </c>
      <c r="AB263" s="7">
        <f>Tabla1[[#This Row],[suero_est_g_l]]*Tabla1[[#This Row],[suero_litros]]/1000</f>
        <v>302.98559999999998</v>
      </c>
    </row>
    <row r="264" spans="1:28" x14ac:dyDescent="0.25">
      <c r="A264" s="1">
        <v>45553</v>
      </c>
      <c r="B264">
        <v>5156</v>
      </c>
      <c r="C264">
        <v>5006</v>
      </c>
      <c r="D264">
        <v>44.23</v>
      </c>
      <c r="E264">
        <v>35.229999999999997</v>
      </c>
      <c r="F264">
        <v>5024</v>
      </c>
      <c r="G264">
        <v>41.91</v>
      </c>
      <c r="H264">
        <v>34.1</v>
      </c>
      <c r="I264">
        <v>4828</v>
      </c>
      <c r="J264">
        <v>597.05999999999995</v>
      </c>
      <c r="K264">
        <v>52.63</v>
      </c>
      <c r="L264">
        <v>26.72</v>
      </c>
      <c r="M264">
        <v>4466</v>
      </c>
      <c r="N264">
        <v>11.13</v>
      </c>
      <c r="O264">
        <v>7.92</v>
      </c>
      <c r="P264">
        <v>71.25</v>
      </c>
      <c r="Q264">
        <f>Tabla1[[#This Row],[entrada_litros]]*Tabla1[[#This Row],[entrada_grasa_g_l]]/1000</f>
        <v>221.41537999999997</v>
      </c>
      <c r="R264">
        <f>Tabla1[[#This Row],[entrada_prot_g_l]]*Tabla1[[#This Row],[entrada_litros]]/1000</f>
        <v>176.36137999999997</v>
      </c>
      <c r="S264">
        <f>Tabla1[[#This Row],[cuba_fab_litros]]*Tabla1[[#This Row],[cuba_fab_grasa_g_l]]/1000</f>
        <v>210.55583999999999</v>
      </c>
      <c r="T264">
        <f>Tabla1[[#This Row],[cuba_fab_litros]]*Tabla1[[#This Row],[cuba_fab_prot_g_l]]/1000</f>
        <v>171.3184</v>
      </c>
      <c r="U264">
        <f>Tabla1[[#This Row],[queso_kg]]*Tabla1[[#This Row],[queso_est_pct]]/100</f>
        <v>314.23267799999996</v>
      </c>
      <c r="V264">
        <f>Tabla1[[#This Row],[queso_kg]]*Tabla1[[#This Row],[queso_mg_pct]]/100</f>
        <v>159.53443199999998</v>
      </c>
      <c r="W264">
        <f>Tabla1[[#This Row],[queso_est_kg]]-Tabla1[[#This Row],[queso_mg_kg]]</f>
        <v>154.69824599999998</v>
      </c>
      <c r="X264">
        <f>_xlfn.ISOWEEKNUM(Tabla1[[#This Row],[fecha]])</f>
        <v>38</v>
      </c>
      <c r="Y264">
        <v>38</v>
      </c>
      <c r="Z264" s="7">
        <f>Tabla1[[#This Row],[suero_litros]]*Tabla1[[#This Row],[suero_grasa_g_l]]/1000</f>
        <v>49.706580000000002</v>
      </c>
      <c r="AA264" s="7">
        <f>Tabla1[[#This Row],[suero_litros]]*Tabla1[[#This Row],[suero_prot_g_l]]/1000</f>
        <v>35.370719999999999</v>
      </c>
      <c r="AB264" s="7">
        <f>Tabla1[[#This Row],[suero_est_g_l]]*Tabla1[[#This Row],[suero_litros]]/1000</f>
        <v>318.20249999999999</v>
      </c>
    </row>
    <row r="265" spans="1:28" x14ac:dyDescent="0.25">
      <c r="A265" s="1">
        <v>45554</v>
      </c>
      <c r="B265">
        <v>5372</v>
      </c>
      <c r="C265">
        <v>5216</v>
      </c>
      <c r="D265">
        <v>43.28</v>
      </c>
      <c r="E265">
        <v>35.68</v>
      </c>
      <c r="F265">
        <v>5023</v>
      </c>
      <c r="G265">
        <v>41.51</v>
      </c>
      <c r="H265">
        <v>34.24</v>
      </c>
      <c r="I265">
        <v>5044</v>
      </c>
      <c r="J265">
        <v>595.78</v>
      </c>
      <c r="K265">
        <v>52.58</v>
      </c>
      <c r="L265">
        <v>26.21</v>
      </c>
      <c r="M265">
        <v>4466</v>
      </c>
      <c r="N265">
        <v>11.51</v>
      </c>
      <c r="O265">
        <v>7.57</v>
      </c>
      <c r="P265">
        <v>69.02</v>
      </c>
      <c r="Q265">
        <f>Tabla1[[#This Row],[entrada_litros]]*Tabla1[[#This Row],[entrada_grasa_g_l]]/1000</f>
        <v>225.74848</v>
      </c>
      <c r="R265">
        <f>Tabla1[[#This Row],[entrada_prot_g_l]]*Tabla1[[#This Row],[entrada_litros]]/1000</f>
        <v>186.10688000000002</v>
      </c>
      <c r="S265">
        <f>Tabla1[[#This Row],[cuba_fab_litros]]*Tabla1[[#This Row],[cuba_fab_grasa_g_l]]/1000</f>
        <v>208.50473</v>
      </c>
      <c r="T265">
        <f>Tabla1[[#This Row],[cuba_fab_litros]]*Tabla1[[#This Row],[cuba_fab_prot_g_l]]/1000</f>
        <v>171.98752000000002</v>
      </c>
      <c r="U265">
        <f>Tabla1[[#This Row],[queso_kg]]*Tabla1[[#This Row],[queso_est_pct]]/100</f>
        <v>313.261124</v>
      </c>
      <c r="V265">
        <f>Tabla1[[#This Row],[queso_kg]]*Tabla1[[#This Row],[queso_mg_pct]]/100</f>
        <v>156.15393800000001</v>
      </c>
      <c r="W265">
        <f>Tabla1[[#This Row],[queso_est_kg]]-Tabla1[[#This Row],[queso_mg_kg]]</f>
        <v>157.10718599999998</v>
      </c>
      <c r="X265">
        <f>_xlfn.ISOWEEKNUM(Tabla1[[#This Row],[fecha]])</f>
        <v>38</v>
      </c>
      <c r="Y265">
        <v>38</v>
      </c>
      <c r="Z265" s="7">
        <f>Tabla1[[#This Row],[suero_litros]]*Tabla1[[#This Row],[suero_grasa_g_l]]/1000</f>
        <v>51.403659999999995</v>
      </c>
      <c r="AA265" s="7">
        <f>Tabla1[[#This Row],[suero_litros]]*Tabla1[[#This Row],[suero_prot_g_l]]/1000</f>
        <v>33.80762</v>
      </c>
      <c r="AB265" s="7">
        <f>Tabla1[[#This Row],[suero_est_g_l]]*Tabla1[[#This Row],[suero_litros]]/1000</f>
        <v>308.24331999999998</v>
      </c>
    </row>
    <row r="266" spans="1:28" x14ac:dyDescent="0.25">
      <c r="A266" s="1">
        <v>45555</v>
      </c>
      <c r="B266">
        <v>0</v>
      </c>
      <c r="C266">
        <v>0</v>
      </c>
      <c r="D266">
        <v>0</v>
      </c>
      <c r="E266">
        <v>0</v>
      </c>
      <c r="F266">
        <v>5076</v>
      </c>
      <c r="G266">
        <v>41.41</v>
      </c>
      <c r="H266">
        <v>33.94</v>
      </c>
      <c r="I266">
        <v>0</v>
      </c>
      <c r="J266">
        <v>587.52</v>
      </c>
      <c r="K266">
        <v>53.93</v>
      </c>
      <c r="L266">
        <v>28.03</v>
      </c>
      <c r="M266">
        <v>4528</v>
      </c>
      <c r="N266">
        <v>9.83</v>
      </c>
      <c r="O266">
        <v>8.6</v>
      </c>
      <c r="P266">
        <v>69.86</v>
      </c>
      <c r="Q266">
        <f>Tabla1[[#This Row],[entrada_litros]]*Tabla1[[#This Row],[entrada_grasa_g_l]]/1000</f>
        <v>0</v>
      </c>
      <c r="R266">
        <f>Tabla1[[#This Row],[entrada_prot_g_l]]*Tabla1[[#This Row],[entrada_litros]]/1000</f>
        <v>0</v>
      </c>
      <c r="S266">
        <f>Tabla1[[#This Row],[cuba_fab_litros]]*Tabla1[[#This Row],[cuba_fab_grasa_g_l]]/1000</f>
        <v>210.19715999999997</v>
      </c>
      <c r="T266">
        <f>Tabla1[[#This Row],[cuba_fab_litros]]*Tabla1[[#This Row],[cuba_fab_prot_g_l]]/1000</f>
        <v>172.27943999999999</v>
      </c>
      <c r="U266">
        <f>Tabla1[[#This Row],[queso_kg]]*Tabla1[[#This Row],[queso_est_pct]]/100</f>
        <v>316.84953599999994</v>
      </c>
      <c r="V266">
        <f>Tabla1[[#This Row],[queso_kg]]*Tabla1[[#This Row],[queso_mg_pct]]/100</f>
        <v>164.68185600000001</v>
      </c>
      <c r="W266">
        <f>Tabla1[[#This Row],[queso_est_kg]]-Tabla1[[#This Row],[queso_mg_kg]]</f>
        <v>152.16767999999993</v>
      </c>
      <c r="X266">
        <f>_xlfn.ISOWEEKNUM(Tabla1[[#This Row],[fecha]])</f>
        <v>38</v>
      </c>
      <c r="Y266">
        <v>38</v>
      </c>
      <c r="Z266" s="7">
        <f>Tabla1[[#This Row],[suero_litros]]*Tabla1[[#This Row],[suero_grasa_g_l]]/1000</f>
        <v>44.510239999999996</v>
      </c>
      <c r="AA266" s="7">
        <f>Tabla1[[#This Row],[suero_litros]]*Tabla1[[#This Row],[suero_prot_g_l]]/1000</f>
        <v>38.940799999999996</v>
      </c>
      <c r="AB266" s="7">
        <f>Tabla1[[#This Row],[suero_est_g_l]]*Tabla1[[#This Row],[suero_litros]]/1000</f>
        <v>316.32607999999999</v>
      </c>
    </row>
    <row r="267" spans="1:28" x14ac:dyDescent="0.25">
      <c r="A267" s="1">
        <v>45556</v>
      </c>
      <c r="B267">
        <v>0</v>
      </c>
      <c r="C267">
        <v>0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f>Tabla1[[#This Row],[entrada_litros]]*Tabla1[[#This Row],[entrada_grasa_g_l]]/1000</f>
        <v>0</v>
      </c>
      <c r="R267">
        <f>Tabla1[[#This Row],[entrada_prot_g_l]]*Tabla1[[#This Row],[entrada_litros]]/1000</f>
        <v>0</v>
      </c>
      <c r="S267">
        <f>Tabla1[[#This Row],[cuba_fab_litros]]*Tabla1[[#This Row],[cuba_fab_grasa_g_l]]/1000</f>
        <v>0</v>
      </c>
      <c r="T267">
        <f>Tabla1[[#This Row],[cuba_fab_litros]]*Tabla1[[#This Row],[cuba_fab_prot_g_l]]/1000</f>
        <v>0</v>
      </c>
      <c r="U267">
        <f>Tabla1[[#This Row],[queso_kg]]*Tabla1[[#This Row],[queso_est_pct]]/100</f>
        <v>0</v>
      </c>
      <c r="V267">
        <f>Tabla1[[#This Row],[queso_kg]]*Tabla1[[#This Row],[queso_mg_pct]]/100</f>
        <v>0</v>
      </c>
      <c r="W267">
        <f>Tabla1[[#This Row],[queso_est_kg]]-Tabla1[[#This Row],[queso_mg_kg]]</f>
        <v>0</v>
      </c>
      <c r="X267">
        <f>_xlfn.ISOWEEKNUM(Tabla1[[#This Row],[fecha]])</f>
        <v>38</v>
      </c>
      <c r="Y267">
        <v>38</v>
      </c>
      <c r="Z267" s="7">
        <f>Tabla1[[#This Row],[suero_litros]]*Tabla1[[#This Row],[suero_grasa_g_l]]/1000</f>
        <v>0</v>
      </c>
      <c r="AA267" s="7">
        <f>Tabla1[[#This Row],[suero_litros]]*Tabla1[[#This Row],[suero_prot_g_l]]/1000</f>
        <v>0</v>
      </c>
      <c r="AB267" s="7">
        <f>Tabla1[[#This Row],[suero_est_g_l]]*Tabla1[[#This Row],[suero_litros]]/1000</f>
        <v>0</v>
      </c>
    </row>
    <row r="268" spans="1:28" x14ac:dyDescent="0.25">
      <c r="A268" s="1">
        <v>45557</v>
      </c>
      <c r="B268">
        <v>5038</v>
      </c>
      <c r="C268">
        <v>4891</v>
      </c>
      <c r="D268">
        <v>43.29</v>
      </c>
      <c r="E268">
        <v>34.61</v>
      </c>
      <c r="F268">
        <v>0</v>
      </c>
      <c r="G268">
        <v>0</v>
      </c>
      <c r="H268">
        <v>0</v>
      </c>
      <c r="I268">
        <v>4891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f>Tabla1[[#This Row],[entrada_litros]]*Tabla1[[#This Row],[entrada_grasa_g_l]]/1000</f>
        <v>211.73138999999998</v>
      </c>
      <c r="R268">
        <f>Tabla1[[#This Row],[entrada_prot_g_l]]*Tabla1[[#This Row],[entrada_litros]]/1000</f>
        <v>169.27751000000001</v>
      </c>
      <c r="S268">
        <f>Tabla1[[#This Row],[cuba_fab_litros]]*Tabla1[[#This Row],[cuba_fab_grasa_g_l]]/1000</f>
        <v>0</v>
      </c>
      <c r="T268">
        <f>Tabla1[[#This Row],[cuba_fab_litros]]*Tabla1[[#This Row],[cuba_fab_prot_g_l]]/1000</f>
        <v>0</v>
      </c>
      <c r="U268">
        <f>Tabla1[[#This Row],[queso_kg]]*Tabla1[[#This Row],[queso_est_pct]]/100</f>
        <v>0</v>
      </c>
      <c r="V268">
        <f>Tabla1[[#This Row],[queso_kg]]*Tabla1[[#This Row],[queso_mg_pct]]/100</f>
        <v>0</v>
      </c>
      <c r="W268">
        <f>Tabla1[[#This Row],[queso_est_kg]]-Tabla1[[#This Row],[queso_mg_kg]]</f>
        <v>0</v>
      </c>
      <c r="X268">
        <f>_xlfn.ISOWEEKNUM(Tabla1[[#This Row],[fecha]])</f>
        <v>38</v>
      </c>
      <c r="Y268">
        <v>39</v>
      </c>
      <c r="Z268" s="7">
        <f>Tabla1[[#This Row],[suero_litros]]*Tabla1[[#This Row],[suero_grasa_g_l]]/1000</f>
        <v>0</v>
      </c>
      <c r="AA268" s="7">
        <f>Tabla1[[#This Row],[suero_litros]]*Tabla1[[#This Row],[suero_prot_g_l]]/1000</f>
        <v>0</v>
      </c>
      <c r="AB268" s="7">
        <f>Tabla1[[#This Row],[suero_est_g_l]]*Tabla1[[#This Row],[suero_litros]]/1000</f>
        <v>0</v>
      </c>
    </row>
    <row r="269" spans="1:28" x14ac:dyDescent="0.25">
      <c r="A269" s="1">
        <v>45558</v>
      </c>
      <c r="B269">
        <v>4956</v>
      </c>
      <c r="C269">
        <v>4812</v>
      </c>
      <c r="D269">
        <v>41.61</v>
      </c>
      <c r="E269">
        <v>37.869999999999997</v>
      </c>
      <c r="F269">
        <v>5030</v>
      </c>
      <c r="G269">
        <v>40.65</v>
      </c>
      <c r="H269">
        <v>34.57</v>
      </c>
      <c r="I269">
        <v>4703</v>
      </c>
      <c r="J269">
        <v>657.03</v>
      </c>
      <c r="K269">
        <v>51.32</v>
      </c>
      <c r="L269">
        <v>27.05</v>
      </c>
      <c r="M269">
        <v>4414</v>
      </c>
      <c r="N269">
        <v>5.93</v>
      </c>
      <c r="O269">
        <v>6.5</v>
      </c>
      <c r="P269">
        <v>62.52</v>
      </c>
      <c r="Q269">
        <f>Tabla1[[#This Row],[entrada_litros]]*Tabla1[[#This Row],[entrada_grasa_g_l]]/1000</f>
        <v>200.22732000000002</v>
      </c>
      <c r="R269">
        <f>Tabla1[[#This Row],[entrada_prot_g_l]]*Tabla1[[#This Row],[entrada_litros]]/1000</f>
        <v>182.23043999999999</v>
      </c>
      <c r="S269">
        <f>Tabla1[[#This Row],[cuba_fab_litros]]*Tabla1[[#This Row],[cuba_fab_grasa_g_l]]/1000</f>
        <v>204.46950000000001</v>
      </c>
      <c r="T269">
        <f>Tabla1[[#This Row],[cuba_fab_litros]]*Tabla1[[#This Row],[cuba_fab_prot_g_l]]/1000</f>
        <v>173.8871</v>
      </c>
      <c r="U269">
        <f>Tabla1[[#This Row],[queso_kg]]*Tabla1[[#This Row],[queso_est_pct]]/100</f>
        <v>337.18779599999999</v>
      </c>
      <c r="V269">
        <f>Tabla1[[#This Row],[queso_kg]]*Tabla1[[#This Row],[queso_mg_pct]]/100</f>
        <v>177.72661499999998</v>
      </c>
      <c r="W269">
        <f>Tabla1[[#This Row],[queso_est_kg]]-Tabla1[[#This Row],[queso_mg_kg]]</f>
        <v>159.46118100000001</v>
      </c>
      <c r="X269">
        <f>_xlfn.ISOWEEKNUM(Tabla1[[#This Row],[fecha]])</f>
        <v>39</v>
      </c>
      <c r="Y269">
        <v>39</v>
      </c>
      <c r="Z269" s="7">
        <f>Tabla1[[#This Row],[suero_litros]]*Tabla1[[#This Row],[suero_grasa_g_l]]/1000</f>
        <v>26.17502</v>
      </c>
      <c r="AA269" s="7">
        <f>Tabla1[[#This Row],[suero_litros]]*Tabla1[[#This Row],[suero_prot_g_l]]/1000</f>
        <v>28.690999999999999</v>
      </c>
      <c r="AB269" s="7">
        <f>Tabla1[[#This Row],[suero_est_g_l]]*Tabla1[[#This Row],[suero_litros]]/1000</f>
        <v>275.96328000000005</v>
      </c>
    </row>
    <row r="270" spans="1:28" x14ac:dyDescent="0.25">
      <c r="A270" s="1">
        <v>45559</v>
      </c>
      <c r="B270">
        <v>5294</v>
      </c>
      <c r="C270">
        <v>5140</v>
      </c>
      <c r="D270">
        <v>42.14</v>
      </c>
      <c r="E270">
        <v>35.89</v>
      </c>
      <c r="F270">
        <v>5030</v>
      </c>
      <c r="G270">
        <v>40.18</v>
      </c>
      <c r="H270">
        <v>34.18</v>
      </c>
      <c r="I270">
        <v>4843</v>
      </c>
      <c r="J270">
        <v>609.86</v>
      </c>
      <c r="K270">
        <v>51.95</v>
      </c>
      <c r="L270">
        <v>27.46</v>
      </c>
      <c r="M270">
        <v>4460</v>
      </c>
      <c r="N270">
        <v>7.7</v>
      </c>
      <c r="O270">
        <v>5.88</v>
      </c>
      <c r="P270">
        <v>65.27</v>
      </c>
      <c r="Q270">
        <f>Tabla1[[#This Row],[entrada_litros]]*Tabla1[[#This Row],[entrada_grasa_g_l]]/1000</f>
        <v>216.59960000000001</v>
      </c>
      <c r="R270">
        <f>Tabla1[[#This Row],[entrada_prot_g_l]]*Tabla1[[#This Row],[entrada_litros]]/1000</f>
        <v>184.47460000000001</v>
      </c>
      <c r="S270">
        <f>Tabla1[[#This Row],[cuba_fab_litros]]*Tabla1[[#This Row],[cuba_fab_grasa_g_l]]/1000</f>
        <v>202.1054</v>
      </c>
      <c r="T270">
        <f>Tabla1[[#This Row],[cuba_fab_litros]]*Tabla1[[#This Row],[cuba_fab_prot_g_l]]/1000</f>
        <v>171.9254</v>
      </c>
      <c r="U270">
        <f>Tabla1[[#This Row],[queso_kg]]*Tabla1[[#This Row],[queso_est_pct]]/100</f>
        <v>316.82227</v>
      </c>
      <c r="V270">
        <f>Tabla1[[#This Row],[queso_kg]]*Tabla1[[#This Row],[queso_mg_pct]]/100</f>
        <v>167.467556</v>
      </c>
      <c r="W270">
        <f>Tabla1[[#This Row],[queso_est_kg]]-Tabla1[[#This Row],[queso_mg_kg]]</f>
        <v>149.354714</v>
      </c>
      <c r="X270">
        <f>_xlfn.ISOWEEKNUM(Tabla1[[#This Row],[fecha]])</f>
        <v>39</v>
      </c>
      <c r="Y270">
        <v>39</v>
      </c>
      <c r="Z270" s="7">
        <f>Tabla1[[#This Row],[suero_litros]]*Tabla1[[#This Row],[suero_grasa_g_l]]/1000</f>
        <v>34.341999999999999</v>
      </c>
      <c r="AA270" s="7">
        <f>Tabla1[[#This Row],[suero_litros]]*Tabla1[[#This Row],[suero_prot_g_l]]/1000</f>
        <v>26.224799999999998</v>
      </c>
      <c r="AB270" s="7">
        <f>Tabla1[[#This Row],[suero_est_g_l]]*Tabla1[[#This Row],[suero_litros]]/1000</f>
        <v>291.10419999999993</v>
      </c>
    </row>
    <row r="271" spans="1:28" x14ac:dyDescent="0.25">
      <c r="A271" s="1">
        <v>45560</v>
      </c>
      <c r="B271">
        <v>5061</v>
      </c>
      <c r="C271">
        <v>4914</v>
      </c>
      <c r="D271">
        <v>42.52</v>
      </c>
      <c r="E271">
        <v>35.28</v>
      </c>
      <c r="F271">
        <v>5029</v>
      </c>
      <c r="G271">
        <v>40.340000000000003</v>
      </c>
      <c r="H271">
        <v>34.24</v>
      </c>
      <c r="I271">
        <v>4757</v>
      </c>
      <c r="J271">
        <v>711.29</v>
      </c>
      <c r="K271">
        <v>50.13</v>
      </c>
      <c r="L271">
        <v>26.2</v>
      </c>
      <c r="M271">
        <v>4360</v>
      </c>
      <c r="N271">
        <v>3.72</v>
      </c>
      <c r="O271">
        <v>1.56</v>
      </c>
      <c r="P271">
        <v>57.12</v>
      </c>
      <c r="Q271">
        <f>Tabla1[[#This Row],[entrada_litros]]*Tabla1[[#This Row],[entrada_grasa_g_l]]/1000</f>
        <v>208.94328000000002</v>
      </c>
      <c r="R271">
        <f>Tabla1[[#This Row],[entrada_prot_g_l]]*Tabla1[[#This Row],[entrada_litros]]/1000</f>
        <v>173.36592000000002</v>
      </c>
      <c r="S271">
        <f>Tabla1[[#This Row],[cuba_fab_litros]]*Tabla1[[#This Row],[cuba_fab_grasa_g_l]]/1000</f>
        <v>202.86986000000002</v>
      </c>
      <c r="T271">
        <f>Tabla1[[#This Row],[cuba_fab_litros]]*Tabla1[[#This Row],[cuba_fab_prot_g_l]]/1000</f>
        <v>172.19296000000003</v>
      </c>
      <c r="U271">
        <f>Tabla1[[#This Row],[queso_kg]]*Tabla1[[#This Row],[queso_est_pct]]/100</f>
        <v>356.56967700000001</v>
      </c>
      <c r="V271">
        <f>Tabla1[[#This Row],[queso_kg]]*Tabla1[[#This Row],[queso_mg_pct]]/100</f>
        <v>186.35798</v>
      </c>
      <c r="W271">
        <f>Tabla1[[#This Row],[queso_est_kg]]-Tabla1[[#This Row],[queso_mg_kg]]</f>
        <v>170.21169700000002</v>
      </c>
      <c r="X271">
        <f>_xlfn.ISOWEEKNUM(Tabla1[[#This Row],[fecha]])</f>
        <v>39</v>
      </c>
      <c r="Y271">
        <v>39</v>
      </c>
      <c r="Z271" s="7">
        <f>Tabla1[[#This Row],[suero_litros]]*Tabla1[[#This Row],[suero_grasa_g_l]]/1000</f>
        <v>16.219200000000001</v>
      </c>
      <c r="AA271" s="7">
        <f>Tabla1[[#This Row],[suero_litros]]*Tabla1[[#This Row],[suero_prot_g_l]]/1000</f>
        <v>6.8016000000000005</v>
      </c>
      <c r="AB271" s="7">
        <f>Tabla1[[#This Row],[suero_est_g_l]]*Tabla1[[#This Row],[suero_litros]]/1000</f>
        <v>249.04319999999998</v>
      </c>
    </row>
    <row r="272" spans="1:28" x14ac:dyDescent="0.25">
      <c r="A272" s="1">
        <v>45561</v>
      </c>
      <c r="B272">
        <v>5010</v>
      </c>
      <c r="C272">
        <v>4864</v>
      </c>
      <c r="D272">
        <v>42.95</v>
      </c>
      <c r="E272">
        <v>33.880000000000003</v>
      </c>
      <c r="F272">
        <v>5041</v>
      </c>
      <c r="G272">
        <v>40.67</v>
      </c>
      <c r="H272">
        <v>33.06</v>
      </c>
      <c r="I272">
        <v>4621</v>
      </c>
      <c r="J272">
        <v>635.35</v>
      </c>
      <c r="K272">
        <v>52.05</v>
      </c>
      <c r="L272">
        <v>27.66</v>
      </c>
      <c r="M272">
        <v>4446</v>
      </c>
      <c r="N272">
        <v>6.39</v>
      </c>
      <c r="O272">
        <v>4.42</v>
      </c>
      <c r="P272">
        <v>61.63</v>
      </c>
      <c r="Q272">
        <f>Tabla1[[#This Row],[entrada_litros]]*Tabla1[[#This Row],[entrada_grasa_g_l]]/1000</f>
        <v>208.90880000000001</v>
      </c>
      <c r="R272">
        <f>Tabla1[[#This Row],[entrada_prot_g_l]]*Tabla1[[#This Row],[entrada_litros]]/1000</f>
        <v>164.79232000000002</v>
      </c>
      <c r="S272">
        <f>Tabla1[[#This Row],[cuba_fab_litros]]*Tabla1[[#This Row],[cuba_fab_grasa_g_l]]/1000</f>
        <v>205.01747</v>
      </c>
      <c r="T272">
        <f>Tabla1[[#This Row],[cuba_fab_litros]]*Tabla1[[#This Row],[cuba_fab_prot_g_l]]/1000</f>
        <v>166.65546000000003</v>
      </c>
      <c r="U272">
        <f>Tabla1[[#This Row],[queso_kg]]*Tabla1[[#This Row],[queso_est_pct]]/100</f>
        <v>330.69967500000001</v>
      </c>
      <c r="V272">
        <f>Tabla1[[#This Row],[queso_kg]]*Tabla1[[#This Row],[queso_mg_pct]]/100</f>
        <v>175.73781</v>
      </c>
      <c r="W272">
        <f>Tabla1[[#This Row],[queso_est_kg]]-Tabla1[[#This Row],[queso_mg_kg]]</f>
        <v>154.96186500000002</v>
      </c>
      <c r="X272">
        <f>_xlfn.ISOWEEKNUM(Tabla1[[#This Row],[fecha]])</f>
        <v>39</v>
      </c>
      <c r="Y272">
        <v>39</v>
      </c>
      <c r="Z272" s="7">
        <f>Tabla1[[#This Row],[suero_litros]]*Tabla1[[#This Row],[suero_grasa_g_l]]/1000</f>
        <v>28.409939999999999</v>
      </c>
      <c r="AA272" s="7">
        <f>Tabla1[[#This Row],[suero_litros]]*Tabla1[[#This Row],[suero_prot_g_l]]/1000</f>
        <v>19.651319999999998</v>
      </c>
      <c r="AB272" s="7">
        <f>Tabla1[[#This Row],[suero_est_g_l]]*Tabla1[[#This Row],[suero_litros]]/1000</f>
        <v>274.00698000000006</v>
      </c>
    </row>
    <row r="273" spans="1:28" x14ac:dyDescent="0.25">
      <c r="A273" s="1">
        <v>45562</v>
      </c>
      <c r="B273">
        <v>0</v>
      </c>
      <c r="C273">
        <v>0</v>
      </c>
      <c r="D273">
        <v>0</v>
      </c>
      <c r="E273">
        <v>0</v>
      </c>
      <c r="F273">
        <v>4642</v>
      </c>
      <c r="G273">
        <v>40.89</v>
      </c>
      <c r="H273">
        <v>33.06</v>
      </c>
      <c r="I273">
        <v>0</v>
      </c>
      <c r="J273">
        <v>574.16999999999996</v>
      </c>
      <c r="K273">
        <v>52.86</v>
      </c>
      <c r="L273">
        <v>27.64</v>
      </c>
      <c r="M273">
        <v>4104</v>
      </c>
      <c r="N273">
        <v>7.43</v>
      </c>
      <c r="O273">
        <v>5.0199999999999996</v>
      </c>
      <c r="P273">
        <v>62.66</v>
      </c>
      <c r="Q273">
        <f>Tabla1[[#This Row],[entrada_litros]]*Tabla1[[#This Row],[entrada_grasa_g_l]]/1000</f>
        <v>0</v>
      </c>
      <c r="R273">
        <f>Tabla1[[#This Row],[entrada_prot_g_l]]*Tabla1[[#This Row],[entrada_litros]]/1000</f>
        <v>0</v>
      </c>
      <c r="S273">
        <f>Tabla1[[#This Row],[cuba_fab_litros]]*Tabla1[[#This Row],[cuba_fab_grasa_g_l]]/1000</f>
        <v>189.81138000000001</v>
      </c>
      <c r="T273">
        <f>Tabla1[[#This Row],[cuba_fab_litros]]*Tabla1[[#This Row],[cuba_fab_prot_g_l]]/1000</f>
        <v>153.46452000000002</v>
      </c>
      <c r="U273">
        <f>Tabla1[[#This Row],[queso_kg]]*Tabla1[[#This Row],[queso_est_pct]]/100</f>
        <v>303.50626199999999</v>
      </c>
      <c r="V273">
        <f>Tabla1[[#This Row],[queso_kg]]*Tabla1[[#This Row],[queso_mg_pct]]/100</f>
        <v>158.70058799999998</v>
      </c>
      <c r="W273">
        <f>Tabla1[[#This Row],[queso_est_kg]]-Tabla1[[#This Row],[queso_mg_kg]]</f>
        <v>144.80567400000001</v>
      </c>
      <c r="X273">
        <f>_xlfn.ISOWEEKNUM(Tabla1[[#This Row],[fecha]])</f>
        <v>39</v>
      </c>
      <c r="Y273">
        <v>39</v>
      </c>
      <c r="Z273" s="7">
        <f>Tabla1[[#This Row],[suero_litros]]*Tabla1[[#This Row],[suero_grasa_g_l]]/1000</f>
        <v>30.492719999999998</v>
      </c>
      <c r="AA273" s="7">
        <f>Tabla1[[#This Row],[suero_litros]]*Tabla1[[#This Row],[suero_prot_g_l]]/1000</f>
        <v>20.602079999999997</v>
      </c>
      <c r="AB273" s="7">
        <f>Tabla1[[#This Row],[suero_est_g_l]]*Tabla1[[#This Row],[suero_litros]]/1000</f>
        <v>257.15663999999998</v>
      </c>
    </row>
    <row r="274" spans="1:28" x14ac:dyDescent="0.25">
      <c r="A274" s="1">
        <v>45563</v>
      </c>
      <c r="B274">
        <v>0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f>Tabla1[[#This Row],[entrada_litros]]*Tabla1[[#This Row],[entrada_grasa_g_l]]/1000</f>
        <v>0</v>
      </c>
      <c r="R274">
        <f>Tabla1[[#This Row],[entrada_prot_g_l]]*Tabla1[[#This Row],[entrada_litros]]/1000</f>
        <v>0</v>
      </c>
      <c r="S274">
        <f>Tabla1[[#This Row],[cuba_fab_litros]]*Tabla1[[#This Row],[cuba_fab_grasa_g_l]]/1000</f>
        <v>0</v>
      </c>
      <c r="T274">
        <f>Tabla1[[#This Row],[cuba_fab_litros]]*Tabla1[[#This Row],[cuba_fab_prot_g_l]]/1000</f>
        <v>0</v>
      </c>
      <c r="U274">
        <f>Tabla1[[#This Row],[queso_kg]]*Tabla1[[#This Row],[queso_est_pct]]/100</f>
        <v>0</v>
      </c>
      <c r="V274">
        <f>Tabla1[[#This Row],[queso_kg]]*Tabla1[[#This Row],[queso_mg_pct]]/100</f>
        <v>0</v>
      </c>
      <c r="W274">
        <f>Tabla1[[#This Row],[queso_est_kg]]-Tabla1[[#This Row],[queso_mg_kg]]</f>
        <v>0</v>
      </c>
      <c r="X274">
        <f>_xlfn.ISOWEEKNUM(Tabla1[[#This Row],[fecha]])</f>
        <v>39</v>
      </c>
      <c r="Y274">
        <v>39</v>
      </c>
      <c r="Z274" s="7">
        <f>Tabla1[[#This Row],[suero_litros]]*Tabla1[[#This Row],[suero_grasa_g_l]]/1000</f>
        <v>0</v>
      </c>
      <c r="AA274" s="7">
        <f>Tabla1[[#This Row],[suero_litros]]*Tabla1[[#This Row],[suero_prot_g_l]]/1000</f>
        <v>0</v>
      </c>
      <c r="AB274" s="7">
        <f>Tabla1[[#This Row],[suero_est_g_l]]*Tabla1[[#This Row],[suero_litros]]/1000</f>
        <v>0</v>
      </c>
    </row>
    <row r="275" spans="1:28" x14ac:dyDescent="0.25">
      <c r="A275" s="1">
        <v>45564</v>
      </c>
      <c r="B275">
        <v>5098</v>
      </c>
      <c r="C275">
        <v>4950</v>
      </c>
      <c r="D275">
        <v>41.26</v>
      </c>
      <c r="E275">
        <v>36.53</v>
      </c>
      <c r="F275">
        <v>0</v>
      </c>
      <c r="G275">
        <v>0</v>
      </c>
      <c r="H275">
        <v>0</v>
      </c>
      <c r="I275">
        <v>4950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f>Tabla1[[#This Row],[entrada_litros]]*Tabla1[[#This Row],[entrada_grasa_g_l]]/1000</f>
        <v>204.23699999999999</v>
      </c>
      <c r="R275">
        <f>Tabla1[[#This Row],[entrada_prot_g_l]]*Tabla1[[#This Row],[entrada_litros]]/1000</f>
        <v>180.8235</v>
      </c>
      <c r="S275">
        <f>Tabla1[[#This Row],[cuba_fab_litros]]*Tabla1[[#This Row],[cuba_fab_grasa_g_l]]/1000</f>
        <v>0</v>
      </c>
      <c r="T275">
        <f>Tabla1[[#This Row],[cuba_fab_litros]]*Tabla1[[#This Row],[cuba_fab_prot_g_l]]/1000</f>
        <v>0</v>
      </c>
      <c r="U275">
        <f>Tabla1[[#This Row],[queso_kg]]*Tabla1[[#This Row],[queso_est_pct]]/100</f>
        <v>0</v>
      </c>
      <c r="V275">
        <f>Tabla1[[#This Row],[queso_kg]]*Tabla1[[#This Row],[queso_mg_pct]]/100</f>
        <v>0</v>
      </c>
      <c r="W275">
        <f>Tabla1[[#This Row],[queso_est_kg]]-Tabla1[[#This Row],[queso_mg_kg]]</f>
        <v>0</v>
      </c>
      <c r="X275">
        <f>_xlfn.ISOWEEKNUM(Tabla1[[#This Row],[fecha]])</f>
        <v>39</v>
      </c>
      <c r="Y275">
        <v>40</v>
      </c>
      <c r="Z275" s="7">
        <f>Tabla1[[#This Row],[suero_litros]]*Tabla1[[#This Row],[suero_grasa_g_l]]/1000</f>
        <v>0</v>
      </c>
      <c r="AA275" s="7">
        <f>Tabla1[[#This Row],[suero_litros]]*Tabla1[[#This Row],[suero_prot_g_l]]/1000</f>
        <v>0</v>
      </c>
      <c r="AB275" s="7">
        <f>Tabla1[[#This Row],[suero_est_g_l]]*Tabla1[[#This Row],[suero_litros]]/1000</f>
        <v>0</v>
      </c>
    </row>
    <row r="276" spans="1:28" x14ac:dyDescent="0.25">
      <c r="A276" s="1">
        <v>45565</v>
      </c>
      <c r="B276">
        <v>4643</v>
      </c>
      <c r="C276">
        <v>4508</v>
      </c>
      <c r="D276">
        <v>40.56</v>
      </c>
      <c r="E276">
        <v>35.15</v>
      </c>
      <c r="F276">
        <v>5025</v>
      </c>
      <c r="G276">
        <v>39.21</v>
      </c>
      <c r="H276">
        <v>34.36</v>
      </c>
      <c r="I276">
        <v>4458</v>
      </c>
      <c r="J276">
        <v>646.67999999999995</v>
      </c>
      <c r="K276">
        <v>53.36</v>
      </c>
      <c r="L276">
        <v>27.34</v>
      </c>
      <c r="M276">
        <v>4419</v>
      </c>
      <c r="N276">
        <v>4.5</v>
      </c>
      <c r="O276">
        <v>4.12</v>
      </c>
      <c r="P276">
        <v>59.42</v>
      </c>
      <c r="Q276">
        <f>Tabla1[[#This Row],[entrada_litros]]*Tabla1[[#This Row],[entrada_grasa_g_l]]/1000</f>
        <v>182.84448</v>
      </c>
      <c r="R276">
        <f>Tabla1[[#This Row],[entrada_prot_g_l]]*Tabla1[[#This Row],[entrada_litros]]/1000</f>
        <v>158.4562</v>
      </c>
      <c r="S276">
        <f>Tabla1[[#This Row],[cuba_fab_litros]]*Tabla1[[#This Row],[cuba_fab_grasa_g_l]]/1000</f>
        <v>197.03025</v>
      </c>
      <c r="T276">
        <f>Tabla1[[#This Row],[cuba_fab_litros]]*Tabla1[[#This Row],[cuba_fab_prot_g_l]]/1000</f>
        <v>172.65899999999999</v>
      </c>
      <c r="U276">
        <f>Tabla1[[#This Row],[queso_kg]]*Tabla1[[#This Row],[queso_est_pct]]/100</f>
        <v>345.06844799999999</v>
      </c>
      <c r="V276">
        <f>Tabla1[[#This Row],[queso_kg]]*Tabla1[[#This Row],[queso_mg_pct]]/100</f>
        <v>176.80231199999997</v>
      </c>
      <c r="W276">
        <f>Tabla1[[#This Row],[queso_est_kg]]-Tabla1[[#This Row],[queso_mg_kg]]</f>
        <v>168.26613600000002</v>
      </c>
      <c r="X276">
        <f>_xlfn.ISOWEEKNUM(Tabla1[[#This Row],[fecha]])</f>
        <v>40</v>
      </c>
      <c r="Y276">
        <v>40</v>
      </c>
      <c r="Z276" s="7">
        <f>Tabla1[[#This Row],[suero_litros]]*Tabla1[[#This Row],[suero_grasa_g_l]]/1000</f>
        <v>19.8855</v>
      </c>
      <c r="AA276" s="7">
        <f>Tabla1[[#This Row],[suero_litros]]*Tabla1[[#This Row],[suero_prot_g_l]]/1000</f>
        <v>18.20628</v>
      </c>
      <c r="AB276" s="7">
        <f>Tabla1[[#This Row],[suero_est_g_l]]*Tabla1[[#This Row],[suero_litros]]/1000</f>
        <v>262.57697999999999</v>
      </c>
    </row>
    <row r="277" spans="1:28" x14ac:dyDescent="0.25">
      <c r="A277" s="1">
        <v>45566</v>
      </c>
      <c r="B277">
        <v>5168</v>
      </c>
      <c r="C277">
        <v>5017</v>
      </c>
      <c r="D277">
        <v>41.4</v>
      </c>
      <c r="E277">
        <v>35.49</v>
      </c>
      <c r="F277">
        <v>5027</v>
      </c>
      <c r="G277">
        <v>39.33</v>
      </c>
      <c r="H277">
        <v>33.950000000000003</v>
      </c>
      <c r="I277">
        <v>4475</v>
      </c>
      <c r="J277">
        <v>661.29</v>
      </c>
      <c r="K277">
        <v>51.43</v>
      </c>
      <c r="L277">
        <v>26.74</v>
      </c>
      <c r="M277">
        <v>4406</v>
      </c>
      <c r="N277">
        <v>4.6399999999999997</v>
      </c>
      <c r="O277">
        <v>5.07</v>
      </c>
      <c r="P277">
        <v>60.29</v>
      </c>
      <c r="Q277">
        <f>Tabla1[[#This Row],[entrada_litros]]*Tabla1[[#This Row],[entrada_grasa_g_l]]/1000</f>
        <v>207.7038</v>
      </c>
      <c r="R277">
        <f>Tabla1[[#This Row],[entrada_prot_g_l]]*Tabla1[[#This Row],[entrada_litros]]/1000</f>
        <v>178.05333000000002</v>
      </c>
      <c r="S277">
        <f>Tabla1[[#This Row],[cuba_fab_litros]]*Tabla1[[#This Row],[cuba_fab_grasa_g_l]]/1000</f>
        <v>197.71191000000002</v>
      </c>
      <c r="T277">
        <f>Tabla1[[#This Row],[cuba_fab_litros]]*Tabla1[[#This Row],[cuba_fab_prot_g_l]]/1000</f>
        <v>170.66665000000003</v>
      </c>
      <c r="U277">
        <f>Tabla1[[#This Row],[queso_kg]]*Tabla1[[#This Row],[queso_est_pct]]/100</f>
        <v>340.10144699999995</v>
      </c>
      <c r="V277">
        <f>Tabla1[[#This Row],[queso_kg]]*Tabla1[[#This Row],[queso_mg_pct]]/100</f>
        <v>176.828946</v>
      </c>
      <c r="W277">
        <f>Tabla1[[#This Row],[queso_est_kg]]-Tabla1[[#This Row],[queso_mg_kg]]</f>
        <v>163.27250099999995</v>
      </c>
      <c r="X277">
        <f>_xlfn.ISOWEEKNUM(Tabla1[[#This Row],[fecha]])</f>
        <v>40</v>
      </c>
      <c r="Y277">
        <v>40</v>
      </c>
      <c r="Z277" s="7">
        <f>Tabla1[[#This Row],[suero_litros]]*Tabla1[[#This Row],[suero_grasa_g_l]]/1000</f>
        <v>20.443840000000002</v>
      </c>
      <c r="AA277" s="7">
        <f>Tabla1[[#This Row],[suero_litros]]*Tabla1[[#This Row],[suero_prot_g_l]]/1000</f>
        <v>22.338420000000003</v>
      </c>
      <c r="AB277" s="7">
        <f>Tabla1[[#This Row],[suero_est_g_l]]*Tabla1[[#This Row],[suero_litros]]/1000</f>
        <v>265.63774000000001</v>
      </c>
    </row>
    <row r="278" spans="1:28" x14ac:dyDescent="0.25">
      <c r="A278" s="1">
        <v>45567</v>
      </c>
      <c r="B278">
        <v>5461</v>
      </c>
      <c r="C278">
        <v>5302</v>
      </c>
      <c r="D278">
        <v>43.27</v>
      </c>
      <c r="E278">
        <v>36.78</v>
      </c>
      <c r="F278">
        <v>5026</v>
      </c>
      <c r="G278">
        <v>40.49</v>
      </c>
      <c r="H278">
        <v>34.85</v>
      </c>
      <c r="I278">
        <v>4777</v>
      </c>
      <c r="J278">
        <v>618.72</v>
      </c>
      <c r="K278">
        <v>50.34</v>
      </c>
      <c r="L278">
        <v>25.72</v>
      </c>
      <c r="M278">
        <v>4447</v>
      </c>
      <c r="N278">
        <v>9.75</v>
      </c>
      <c r="O278">
        <v>7.35</v>
      </c>
      <c r="P278">
        <v>67.45</v>
      </c>
      <c r="Q278">
        <f>Tabla1[[#This Row],[entrada_litros]]*Tabla1[[#This Row],[entrada_grasa_g_l]]/1000</f>
        <v>229.41754</v>
      </c>
      <c r="R278">
        <f>Tabla1[[#This Row],[entrada_prot_g_l]]*Tabla1[[#This Row],[entrada_litros]]/1000</f>
        <v>195.00755999999998</v>
      </c>
      <c r="S278">
        <f>Tabla1[[#This Row],[cuba_fab_litros]]*Tabla1[[#This Row],[cuba_fab_grasa_g_l]]/1000</f>
        <v>203.50274000000002</v>
      </c>
      <c r="T278">
        <f>Tabla1[[#This Row],[cuba_fab_litros]]*Tabla1[[#This Row],[cuba_fab_prot_g_l]]/1000</f>
        <v>175.15610000000001</v>
      </c>
      <c r="U278">
        <f>Tabla1[[#This Row],[queso_kg]]*Tabla1[[#This Row],[queso_est_pct]]/100</f>
        <v>311.46364800000003</v>
      </c>
      <c r="V278">
        <f>Tabla1[[#This Row],[queso_kg]]*Tabla1[[#This Row],[queso_mg_pct]]/100</f>
        <v>159.134784</v>
      </c>
      <c r="W278">
        <f>Tabla1[[#This Row],[queso_est_kg]]-Tabla1[[#This Row],[queso_mg_kg]]</f>
        <v>152.32886400000004</v>
      </c>
      <c r="X278">
        <f>_xlfn.ISOWEEKNUM(Tabla1[[#This Row],[fecha]])</f>
        <v>40</v>
      </c>
      <c r="Y278">
        <v>40</v>
      </c>
      <c r="Z278" s="7">
        <f>Tabla1[[#This Row],[suero_litros]]*Tabla1[[#This Row],[suero_grasa_g_l]]/1000</f>
        <v>43.358249999999998</v>
      </c>
      <c r="AA278" s="7">
        <f>Tabla1[[#This Row],[suero_litros]]*Tabla1[[#This Row],[suero_prot_g_l]]/1000</f>
        <v>32.685449999999996</v>
      </c>
      <c r="AB278" s="7">
        <f>Tabla1[[#This Row],[suero_est_g_l]]*Tabla1[[#This Row],[suero_litros]]/1000</f>
        <v>299.95015000000001</v>
      </c>
    </row>
    <row r="279" spans="1:28" x14ac:dyDescent="0.25">
      <c r="A279" s="1">
        <v>45568</v>
      </c>
      <c r="B279">
        <v>5182</v>
      </c>
      <c r="C279">
        <v>5031</v>
      </c>
      <c r="D279">
        <v>41.17</v>
      </c>
      <c r="E279">
        <v>34.39</v>
      </c>
      <c r="F279">
        <v>5021</v>
      </c>
      <c r="G279">
        <v>40.17</v>
      </c>
      <c r="H279">
        <v>33.96</v>
      </c>
      <c r="I279">
        <v>4808</v>
      </c>
      <c r="J279">
        <v>652.41999999999996</v>
      </c>
      <c r="K279">
        <v>51.65</v>
      </c>
      <c r="L279">
        <v>27.47</v>
      </c>
      <c r="M279">
        <v>4409</v>
      </c>
      <c r="N279">
        <v>5</v>
      </c>
      <c r="O279">
        <v>2.65</v>
      </c>
      <c r="P279">
        <v>57.42</v>
      </c>
      <c r="Q279">
        <f>Tabla1[[#This Row],[entrada_litros]]*Tabla1[[#This Row],[entrada_grasa_g_l]]/1000</f>
        <v>207.12627000000001</v>
      </c>
      <c r="R279">
        <f>Tabla1[[#This Row],[entrada_prot_g_l]]*Tabla1[[#This Row],[entrada_litros]]/1000</f>
        <v>173.01608999999999</v>
      </c>
      <c r="S279">
        <f>Tabla1[[#This Row],[cuba_fab_litros]]*Tabla1[[#This Row],[cuba_fab_grasa_g_l]]/1000</f>
        <v>201.69356999999999</v>
      </c>
      <c r="T279">
        <f>Tabla1[[#This Row],[cuba_fab_litros]]*Tabla1[[#This Row],[cuba_fab_prot_g_l]]/1000</f>
        <v>170.51316</v>
      </c>
      <c r="U279">
        <f>Tabla1[[#This Row],[queso_kg]]*Tabla1[[#This Row],[queso_est_pct]]/100</f>
        <v>336.97492999999997</v>
      </c>
      <c r="V279">
        <f>Tabla1[[#This Row],[queso_kg]]*Tabla1[[#This Row],[queso_mg_pct]]/100</f>
        <v>179.219774</v>
      </c>
      <c r="W279">
        <f>Tabla1[[#This Row],[queso_est_kg]]-Tabla1[[#This Row],[queso_mg_kg]]</f>
        <v>157.75515599999997</v>
      </c>
      <c r="X279">
        <f>_xlfn.ISOWEEKNUM(Tabla1[[#This Row],[fecha]])</f>
        <v>40</v>
      </c>
      <c r="Y279">
        <v>40</v>
      </c>
      <c r="Z279" s="7">
        <f>Tabla1[[#This Row],[suero_litros]]*Tabla1[[#This Row],[suero_grasa_g_l]]/1000</f>
        <v>22.045000000000002</v>
      </c>
      <c r="AA279" s="7">
        <f>Tabla1[[#This Row],[suero_litros]]*Tabla1[[#This Row],[suero_prot_g_l]]/1000</f>
        <v>11.68385</v>
      </c>
      <c r="AB279" s="7">
        <f>Tabla1[[#This Row],[suero_est_g_l]]*Tabla1[[#This Row],[suero_litros]]/1000</f>
        <v>253.16478000000001</v>
      </c>
    </row>
    <row r="280" spans="1:28" x14ac:dyDescent="0.25">
      <c r="A280" s="1">
        <v>45569</v>
      </c>
      <c r="B280">
        <v>0</v>
      </c>
      <c r="C280">
        <v>0</v>
      </c>
      <c r="D280">
        <v>0</v>
      </c>
      <c r="E280">
        <v>0</v>
      </c>
      <c r="F280">
        <v>4826</v>
      </c>
      <c r="G280">
        <v>40</v>
      </c>
      <c r="H280">
        <v>33.590000000000003</v>
      </c>
      <c r="I280">
        <v>0</v>
      </c>
      <c r="J280">
        <v>588.54</v>
      </c>
      <c r="K280">
        <v>51.89</v>
      </c>
      <c r="L280">
        <v>26.76</v>
      </c>
      <c r="M280">
        <v>4275</v>
      </c>
      <c r="N280">
        <v>8.1300000000000008</v>
      </c>
      <c r="O280">
        <v>7.6</v>
      </c>
      <c r="P280">
        <v>65.400000000000006</v>
      </c>
      <c r="Q280">
        <f>Tabla1[[#This Row],[entrada_litros]]*Tabla1[[#This Row],[entrada_grasa_g_l]]/1000</f>
        <v>0</v>
      </c>
      <c r="R280">
        <f>Tabla1[[#This Row],[entrada_prot_g_l]]*Tabla1[[#This Row],[entrada_litros]]/1000</f>
        <v>0</v>
      </c>
      <c r="S280">
        <f>Tabla1[[#This Row],[cuba_fab_litros]]*Tabla1[[#This Row],[cuba_fab_grasa_g_l]]/1000</f>
        <v>193.04</v>
      </c>
      <c r="T280">
        <f>Tabla1[[#This Row],[cuba_fab_litros]]*Tabla1[[#This Row],[cuba_fab_prot_g_l]]/1000</f>
        <v>162.10534000000001</v>
      </c>
      <c r="U280">
        <f>Tabla1[[#This Row],[queso_kg]]*Tabla1[[#This Row],[queso_est_pct]]/100</f>
        <v>305.39340599999997</v>
      </c>
      <c r="V280">
        <f>Tabla1[[#This Row],[queso_kg]]*Tabla1[[#This Row],[queso_mg_pct]]/100</f>
        <v>157.49330399999999</v>
      </c>
      <c r="W280">
        <f>Tabla1[[#This Row],[queso_est_kg]]-Tabla1[[#This Row],[queso_mg_kg]]</f>
        <v>147.90010199999998</v>
      </c>
      <c r="X280">
        <f>_xlfn.ISOWEEKNUM(Tabla1[[#This Row],[fecha]])</f>
        <v>40</v>
      </c>
      <c r="Y280">
        <v>40</v>
      </c>
      <c r="Z280" s="7">
        <f>Tabla1[[#This Row],[suero_litros]]*Tabla1[[#This Row],[suero_grasa_g_l]]/1000</f>
        <v>34.755749999999999</v>
      </c>
      <c r="AA280" s="7">
        <f>Tabla1[[#This Row],[suero_litros]]*Tabla1[[#This Row],[suero_prot_g_l]]/1000</f>
        <v>32.49</v>
      </c>
      <c r="AB280" s="7">
        <f>Tabla1[[#This Row],[suero_est_g_l]]*Tabla1[[#This Row],[suero_litros]]/1000</f>
        <v>279.58499999999998</v>
      </c>
    </row>
    <row r="281" spans="1:28" x14ac:dyDescent="0.25">
      <c r="A281" s="1">
        <v>45570</v>
      </c>
      <c r="B281">
        <v>0</v>
      </c>
      <c r="C281">
        <v>0</v>
      </c>
      <c r="D281">
        <v>0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f>Tabla1[[#This Row],[entrada_litros]]*Tabla1[[#This Row],[entrada_grasa_g_l]]/1000</f>
        <v>0</v>
      </c>
      <c r="R281">
        <f>Tabla1[[#This Row],[entrada_prot_g_l]]*Tabla1[[#This Row],[entrada_litros]]/1000</f>
        <v>0</v>
      </c>
      <c r="S281">
        <f>Tabla1[[#This Row],[cuba_fab_litros]]*Tabla1[[#This Row],[cuba_fab_grasa_g_l]]/1000</f>
        <v>0</v>
      </c>
      <c r="T281">
        <f>Tabla1[[#This Row],[cuba_fab_litros]]*Tabla1[[#This Row],[cuba_fab_prot_g_l]]/1000</f>
        <v>0</v>
      </c>
      <c r="U281">
        <f>Tabla1[[#This Row],[queso_kg]]*Tabla1[[#This Row],[queso_est_pct]]/100</f>
        <v>0</v>
      </c>
      <c r="V281">
        <f>Tabla1[[#This Row],[queso_kg]]*Tabla1[[#This Row],[queso_mg_pct]]/100</f>
        <v>0</v>
      </c>
      <c r="W281">
        <f>Tabla1[[#This Row],[queso_est_kg]]-Tabla1[[#This Row],[queso_mg_kg]]</f>
        <v>0</v>
      </c>
      <c r="X281">
        <f>_xlfn.ISOWEEKNUM(Tabla1[[#This Row],[fecha]])</f>
        <v>40</v>
      </c>
      <c r="Y281">
        <v>40</v>
      </c>
      <c r="Z281" s="7">
        <f>Tabla1[[#This Row],[suero_litros]]*Tabla1[[#This Row],[suero_grasa_g_l]]/1000</f>
        <v>0</v>
      </c>
      <c r="AA281" s="7">
        <f>Tabla1[[#This Row],[suero_litros]]*Tabla1[[#This Row],[suero_prot_g_l]]/1000</f>
        <v>0</v>
      </c>
      <c r="AB281" s="7">
        <f>Tabla1[[#This Row],[suero_est_g_l]]*Tabla1[[#This Row],[suero_litros]]/1000</f>
        <v>0</v>
      </c>
    </row>
    <row r="282" spans="1:28" x14ac:dyDescent="0.25">
      <c r="A282" s="1">
        <v>45571</v>
      </c>
      <c r="B282">
        <v>5325</v>
      </c>
      <c r="C282">
        <v>5170</v>
      </c>
      <c r="D282">
        <v>44.5</v>
      </c>
      <c r="E282">
        <v>34.11</v>
      </c>
      <c r="F282">
        <v>0</v>
      </c>
      <c r="G282">
        <v>0</v>
      </c>
      <c r="H282">
        <v>0</v>
      </c>
      <c r="I282">
        <v>5170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f>Tabla1[[#This Row],[entrada_litros]]*Tabla1[[#This Row],[entrada_grasa_g_l]]/1000</f>
        <v>230.065</v>
      </c>
      <c r="R282">
        <f>Tabla1[[#This Row],[entrada_prot_g_l]]*Tabla1[[#This Row],[entrada_litros]]/1000</f>
        <v>176.34869999999998</v>
      </c>
      <c r="S282">
        <f>Tabla1[[#This Row],[cuba_fab_litros]]*Tabla1[[#This Row],[cuba_fab_grasa_g_l]]/1000</f>
        <v>0</v>
      </c>
      <c r="T282">
        <f>Tabla1[[#This Row],[cuba_fab_litros]]*Tabla1[[#This Row],[cuba_fab_prot_g_l]]/1000</f>
        <v>0</v>
      </c>
      <c r="U282">
        <f>Tabla1[[#This Row],[queso_kg]]*Tabla1[[#This Row],[queso_est_pct]]/100</f>
        <v>0</v>
      </c>
      <c r="V282">
        <f>Tabla1[[#This Row],[queso_kg]]*Tabla1[[#This Row],[queso_mg_pct]]/100</f>
        <v>0</v>
      </c>
      <c r="W282">
        <f>Tabla1[[#This Row],[queso_est_kg]]-Tabla1[[#This Row],[queso_mg_kg]]</f>
        <v>0</v>
      </c>
      <c r="X282">
        <f>_xlfn.ISOWEEKNUM(Tabla1[[#This Row],[fecha]])</f>
        <v>40</v>
      </c>
      <c r="Y282">
        <v>41</v>
      </c>
      <c r="Z282" s="7">
        <f>Tabla1[[#This Row],[suero_litros]]*Tabla1[[#This Row],[suero_grasa_g_l]]/1000</f>
        <v>0</v>
      </c>
      <c r="AA282" s="7">
        <f>Tabla1[[#This Row],[suero_litros]]*Tabla1[[#This Row],[suero_prot_g_l]]/1000</f>
        <v>0</v>
      </c>
      <c r="AB282" s="7">
        <f>Tabla1[[#This Row],[suero_est_g_l]]*Tabla1[[#This Row],[suero_litros]]/1000</f>
        <v>0</v>
      </c>
    </row>
    <row r="283" spans="1:28" x14ac:dyDescent="0.25">
      <c r="A283" s="1">
        <v>45572</v>
      </c>
      <c r="B283">
        <v>4903</v>
      </c>
      <c r="C283">
        <v>4760</v>
      </c>
      <c r="D283">
        <v>43.45</v>
      </c>
      <c r="E283">
        <v>36.799999999999997</v>
      </c>
      <c r="F283">
        <v>5025</v>
      </c>
      <c r="G283">
        <v>42.16</v>
      </c>
      <c r="H283">
        <v>33.53</v>
      </c>
      <c r="I283">
        <v>4930</v>
      </c>
      <c r="J283">
        <v>628.13</v>
      </c>
      <c r="K283">
        <v>52.87</v>
      </c>
      <c r="L283">
        <v>27.1</v>
      </c>
      <c r="M283">
        <v>4437</v>
      </c>
      <c r="N283">
        <v>9.18</v>
      </c>
      <c r="O283">
        <v>5.35</v>
      </c>
      <c r="P283">
        <v>65.77</v>
      </c>
      <c r="Q283">
        <f>Tabla1[[#This Row],[entrada_litros]]*Tabla1[[#This Row],[entrada_grasa_g_l]]/1000</f>
        <v>206.822</v>
      </c>
      <c r="R283">
        <f>Tabla1[[#This Row],[entrada_prot_g_l]]*Tabla1[[#This Row],[entrada_litros]]/1000</f>
        <v>175.16800000000001</v>
      </c>
      <c r="S283">
        <f>Tabla1[[#This Row],[cuba_fab_litros]]*Tabla1[[#This Row],[cuba_fab_grasa_g_l]]/1000</f>
        <v>211.85399999999998</v>
      </c>
      <c r="T283">
        <f>Tabla1[[#This Row],[cuba_fab_litros]]*Tabla1[[#This Row],[cuba_fab_prot_g_l]]/1000</f>
        <v>168.48824999999999</v>
      </c>
      <c r="U283">
        <f>Tabla1[[#This Row],[queso_kg]]*Tabla1[[#This Row],[queso_est_pct]]/100</f>
        <v>332.092331</v>
      </c>
      <c r="V283">
        <f>Tabla1[[#This Row],[queso_kg]]*Tabla1[[#This Row],[queso_mg_pct]]/100</f>
        <v>170.22323</v>
      </c>
      <c r="W283">
        <f>Tabla1[[#This Row],[queso_est_kg]]-Tabla1[[#This Row],[queso_mg_kg]]</f>
        <v>161.869101</v>
      </c>
      <c r="X283">
        <f>_xlfn.ISOWEEKNUM(Tabla1[[#This Row],[fecha]])</f>
        <v>41</v>
      </c>
      <c r="Y283">
        <v>41</v>
      </c>
      <c r="Z283" s="7">
        <f>Tabla1[[#This Row],[suero_litros]]*Tabla1[[#This Row],[suero_grasa_g_l]]/1000</f>
        <v>40.731659999999998</v>
      </c>
      <c r="AA283" s="7">
        <f>Tabla1[[#This Row],[suero_litros]]*Tabla1[[#This Row],[suero_prot_g_l]]/1000</f>
        <v>23.737949999999998</v>
      </c>
      <c r="AB283" s="7">
        <f>Tabla1[[#This Row],[suero_est_g_l]]*Tabla1[[#This Row],[suero_litros]]/1000</f>
        <v>291.82148999999998</v>
      </c>
    </row>
    <row r="284" spans="1:28" x14ac:dyDescent="0.25">
      <c r="A284" s="1">
        <v>45573</v>
      </c>
      <c r="B284">
        <v>5087</v>
      </c>
      <c r="C284">
        <v>4939</v>
      </c>
      <c r="D284">
        <v>44.11</v>
      </c>
      <c r="E284">
        <v>35.75</v>
      </c>
      <c r="F284">
        <v>5030</v>
      </c>
      <c r="G284">
        <v>41.91</v>
      </c>
      <c r="H284">
        <v>34.08</v>
      </c>
      <c r="I284">
        <v>4869</v>
      </c>
      <c r="J284">
        <v>580.20000000000005</v>
      </c>
      <c r="K284">
        <v>53.75</v>
      </c>
      <c r="L284">
        <v>28.15</v>
      </c>
      <c r="M284">
        <v>4488</v>
      </c>
      <c r="N284">
        <v>10.39</v>
      </c>
      <c r="O284">
        <v>7.57</v>
      </c>
      <c r="P284">
        <v>69.42</v>
      </c>
      <c r="Q284">
        <f>Tabla1[[#This Row],[entrada_litros]]*Tabla1[[#This Row],[entrada_grasa_g_l]]/1000</f>
        <v>217.85929000000002</v>
      </c>
      <c r="R284">
        <f>Tabla1[[#This Row],[entrada_prot_g_l]]*Tabla1[[#This Row],[entrada_litros]]/1000</f>
        <v>176.56925000000001</v>
      </c>
      <c r="S284">
        <f>Tabla1[[#This Row],[cuba_fab_litros]]*Tabla1[[#This Row],[cuba_fab_grasa_g_l]]/1000</f>
        <v>210.8073</v>
      </c>
      <c r="T284">
        <f>Tabla1[[#This Row],[cuba_fab_litros]]*Tabla1[[#This Row],[cuba_fab_prot_g_l]]/1000</f>
        <v>171.42239999999998</v>
      </c>
      <c r="U284">
        <f>Tabla1[[#This Row],[queso_kg]]*Tabla1[[#This Row],[queso_est_pct]]/100</f>
        <v>311.85750000000002</v>
      </c>
      <c r="V284">
        <f>Tabla1[[#This Row],[queso_kg]]*Tabla1[[#This Row],[queso_mg_pct]]/100</f>
        <v>163.3263</v>
      </c>
      <c r="W284">
        <f>Tabla1[[#This Row],[queso_est_kg]]-Tabla1[[#This Row],[queso_mg_kg]]</f>
        <v>148.53120000000001</v>
      </c>
      <c r="X284">
        <f>_xlfn.ISOWEEKNUM(Tabla1[[#This Row],[fecha]])</f>
        <v>41</v>
      </c>
      <c r="Y284">
        <v>41</v>
      </c>
      <c r="Z284" s="7">
        <f>Tabla1[[#This Row],[suero_litros]]*Tabla1[[#This Row],[suero_grasa_g_l]]/1000</f>
        <v>46.630319999999998</v>
      </c>
      <c r="AA284" s="7">
        <f>Tabla1[[#This Row],[suero_litros]]*Tabla1[[#This Row],[suero_prot_g_l]]/1000</f>
        <v>33.974160000000005</v>
      </c>
      <c r="AB284" s="7">
        <f>Tabla1[[#This Row],[suero_est_g_l]]*Tabla1[[#This Row],[suero_litros]]/1000</f>
        <v>311.55696</v>
      </c>
    </row>
    <row r="285" spans="1:28" x14ac:dyDescent="0.25">
      <c r="A285" s="1">
        <v>45574</v>
      </c>
      <c r="B285">
        <v>4945</v>
      </c>
      <c r="C285">
        <v>4801</v>
      </c>
      <c r="D285">
        <v>43.75</v>
      </c>
      <c r="E285">
        <v>36.520000000000003</v>
      </c>
      <c r="F285">
        <v>5028</v>
      </c>
      <c r="G285">
        <v>41.37</v>
      </c>
      <c r="H285">
        <v>34.31</v>
      </c>
      <c r="I285">
        <v>4670</v>
      </c>
      <c r="J285">
        <v>617.77</v>
      </c>
      <c r="K285">
        <v>52.6</v>
      </c>
      <c r="L285">
        <v>27.67</v>
      </c>
      <c r="M285">
        <v>4450</v>
      </c>
      <c r="N285">
        <v>8.18</v>
      </c>
      <c r="O285">
        <v>5.94</v>
      </c>
      <c r="P285">
        <v>65.7</v>
      </c>
      <c r="Q285">
        <f>Tabla1[[#This Row],[entrada_litros]]*Tabla1[[#This Row],[entrada_grasa_g_l]]/1000</f>
        <v>210.04374999999999</v>
      </c>
      <c r="R285">
        <f>Tabla1[[#This Row],[entrada_prot_g_l]]*Tabla1[[#This Row],[entrada_litros]]/1000</f>
        <v>175.33252000000002</v>
      </c>
      <c r="S285">
        <f>Tabla1[[#This Row],[cuba_fab_litros]]*Tabla1[[#This Row],[cuba_fab_grasa_g_l]]/1000</f>
        <v>208.00835999999998</v>
      </c>
      <c r="T285">
        <f>Tabla1[[#This Row],[cuba_fab_litros]]*Tabla1[[#This Row],[cuba_fab_prot_g_l]]/1000</f>
        <v>172.51068000000004</v>
      </c>
      <c r="U285">
        <f>Tabla1[[#This Row],[queso_kg]]*Tabla1[[#This Row],[queso_est_pct]]/100</f>
        <v>324.94702000000001</v>
      </c>
      <c r="V285">
        <f>Tabla1[[#This Row],[queso_kg]]*Tabla1[[#This Row],[queso_mg_pct]]/100</f>
        <v>170.936959</v>
      </c>
      <c r="W285">
        <f>Tabla1[[#This Row],[queso_est_kg]]-Tabla1[[#This Row],[queso_mg_kg]]</f>
        <v>154.01006100000001</v>
      </c>
      <c r="X285">
        <f>_xlfn.ISOWEEKNUM(Tabla1[[#This Row],[fecha]])</f>
        <v>41</v>
      </c>
      <c r="Y285">
        <v>41</v>
      </c>
      <c r="Z285" s="7">
        <f>Tabla1[[#This Row],[suero_litros]]*Tabla1[[#This Row],[suero_grasa_g_l]]/1000</f>
        <v>36.401000000000003</v>
      </c>
      <c r="AA285" s="7">
        <f>Tabla1[[#This Row],[suero_litros]]*Tabla1[[#This Row],[suero_prot_g_l]]/1000</f>
        <v>26.433</v>
      </c>
      <c r="AB285" s="7">
        <f>Tabla1[[#This Row],[suero_est_g_l]]*Tabla1[[#This Row],[suero_litros]]/1000</f>
        <v>292.36500000000001</v>
      </c>
    </row>
    <row r="286" spans="1:28" x14ac:dyDescent="0.25">
      <c r="A286" s="1">
        <v>45575</v>
      </c>
      <c r="B286">
        <v>5147</v>
      </c>
      <c r="C286">
        <v>4997</v>
      </c>
      <c r="D286">
        <v>42.98</v>
      </c>
      <c r="E286">
        <v>35.4</v>
      </c>
      <c r="F286">
        <v>5028</v>
      </c>
      <c r="G286">
        <v>41.51</v>
      </c>
      <c r="H286">
        <v>34.42</v>
      </c>
      <c r="I286">
        <v>4667</v>
      </c>
      <c r="J286">
        <v>651.76</v>
      </c>
      <c r="K286">
        <v>52.52</v>
      </c>
      <c r="L286">
        <v>26.36</v>
      </c>
      <c r="M286">
        <v>4417</v>
      </c>
      <c r="N286">
        <v>8.19</v>
      </c>
      <c r="O286">
        <v>4.9800000000000004</v>
      </c>
      <c r="P286">
        <v>65.13</v>
      </c>
      <c r="Q286">
        <f>Tabla1[[#This Row],[entrada_litros]]*Tabla1[[#This Row],[entrada_grasa_g_l]]/1000</f>
        <v>214.77106000000001</v>
      </c>
      <c r="R286">
        <f>Tabla1[[#This Row],[entrada_prot_g_l]]*Tabla1[[#This Row],[entrada_litros]]/1000</f>
        <v>176.8938</v>
      </c>
      <c r="S286">
        <f>Tabla1[[#This Row],[cuba_fab_litros]]*Tabla1[[#This Row],[cuba_fab_grasa_g_l]]/1000</f>
        <v>208.71227999999999</v>
      </c>
      <c r="T286">
        <f>Tabla1[[#This Row],[cuba_fab_litros]]*Tabla1[[#This Row],[cuba_fab_prot_g_l]]/1000</f>
        <v>173.06376</v>
      </c>
      <c r="U286">
        <f>Tabla1[[#This Row],[queso_kg]]*Tabla1[[#This Row],[queso_est_pct]]/100</f>
        <v>342.30435199999999</v>
      </c>
      <c r="V286">
        <f>Tabla1[[#This Row],[queso_kg]]*Tabla1[[#This Row],[queso_mg_pct]]/100</f>
        <v>171.80393599999999</v>
      </c>
      <c r="W286">
        <f>Tabla1[[#This Row],[queso_est_kg]]-Tabla1[[#This Row],[queso_mg_kg]]</f>
        <v>170.500416</v>
      </c>
      <c r="X286">
        <f>_xlfn.ISOWEEKNUM(Tabla1[[#This Row],[fecha]])</f>
        <v>41</v>
      </c>
      <c r="Y286">
        <v>41</v>
      </c>
      <c r="Z286" s="7">
        <f>Tabla1[[#This Row],[suero_litros]]*Tabla1[[#This Row],[suero_grasa_g_l]]/1000</f>
        <v>36.175229999999999</v>
      </c>
      <c r="AA286" s="7">
        <f>Tabla1[[#This Row],[suero_litros]]*Tabla1[[#This Row],[suero_prot_g_l]]/1000</f>
        <v>21.996660000000002</v>
      </c>
      <c r="AB286" s="7">
        <f>Tabla1[[#This Row],[suero_est_g_l]]*Tabla1[[#This Row],[suero_litros]]/1000</f>
        <v>287.67920999999996</v>
      </c>
    </row>
    <row r="287" spans="1:28" x14ac:dyDescent="0.25">
      <c r="A287" s="1">
        <v>45576</v>
      </c>
      <c r="B287">
        <v>0</v>
      </c>
      <c r="C287">
        <v>0</v>
      </c>
      <c r="D287">
        <v>0</v>
      </c>
      <c r="E287">
        <v>0</v>
      </c>
      <c r="F287">
        <v>4696</v>
      </c>
      <c r="G287">
        <v>41.25</v>
      </c>
      <c r="H287">
        <v>34.04</v>
      </c>
      <c r="I287">
        <v>0</v>
      </c>
      <c r="J287">
        <v>580.13</v>
      </c>
      <c r="K287">
        <v>52.39</v>
      </c>
      <c r="L287">
        <v>27.49</v>
      </c>
      <c r="M287">
        <v>4153</v>
      </c>
      <c r="N287">
        <v>8.0500000000000007</v>
      </c>
      <c r="O287">
        <v>5.91</v>
      </c>
      <c r="P287">
        <v>64.53</v>
      </c>
      <c r="Q287">
        <f>Tabla1[[#This Row],[entrada_litros]]*Tabla1[[#This Row],[entrada_grasa_g_l]]/1000</f>
        <v>0</v>
      </c>
      <c r="R287">
        <f>Tabla1[[#This Row],[entrada_prot_g_l]]*Tabla1[[#This Row],[entrada_litros]]/1000</f>
        <v>0</v>
      </c>
      <c r="S287">
        <f>Tabla1[[#This Row],[cuba_fab_litros]]*Tabla1[[#This Row],[cuba_fab_grasa_g_l]]/1000</f>
        <v>193.71</v>
      </c>
      <c r="T287">
        <f>Tabla1[[#This Row],[cuba_fab_litros]]*Tabla1[[#This Row],[cuba_fab_prot_g_l]]/1000</f>
        <v>159.85184000000001</v>
      </c>
      <c r="U287">
        <f>Tabla1[[#This Row],[queso_kg]]*Tabla1[[#This Row],[queso_est_pct]]/100</f>
        <v>303.93010699999996</v>
      </c>
      <c r="V287">
        <f>Tabla1[[#This Row],[queso_kg]]*Tabla1[[#This Row],[queso_mg_pct]]/100</f>
        <v>159.47773699999999</v>
      </c>
      <c r="W287">
        <f>Tabla1[[#This Row],[queso_est_kg]]-Tabla1[[#This Row],[queso_mg_kg]]</f>
        <v>144.45236999999997</v>
      </c>
      <c r="X287">
        <f>_xlfn.ISOWEEKNUM(Tabla1[[#This Row],[fecha]])</f>
        <v>41</v>
      </c>
      <c r="Y287">
        <v>41</v>
      </c>
      <c r="Z287" s="7">
        <f>Tabla1[[#This Row],[suero_litros]]*Tabla1[[#This Row],[suero_grasa_g_l]]/1000</f>
        <v>33.431650000000005</v>
      </c>
      <c r="AA287" s="7">
        <f>Tabla1[[#This Row],[suero_litros]]*Tabla1[[#This Row],[suero_prot_g_l]]/1000</f>
        <v>24.544229999999999</v>
      </c>
      <c r="AB287" s="7">
        <f>Tabla1[[#This Row],[suero_est_g_l]]*Tabla1[[#This Row],[suero_litros]]/1000</f>
        <v>267.99309000000005</v>
      </c>
    </row>
    <row r="288" spans="1:28" x14ac:dyDescent="0.25">
      <c r="A288" s="1">
        <v>45577</v>
      </c>
      <c r="B288">
        <v>0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f>Tabla1[[#This Row],[entrada_litros]]*Tabla1[[#This Row],[entrada_grasa_g_l]]/1000</f>
        <v>0</v>
      </c>
      <c r="R288">
        <f>Tabla1[[#This Row],[entrada_prot_g_l]]*Tabla1[[#This Row],[entrada_litros]]/1000</f>
        <v>0</v>
      </c>
      <c r="S288">
        <f>Tabla1[[#This Row],[cuba_fab_litros]]*Tabla1[[#This Row],[cuba_fab_grasa_g_l]]/1000</f>
        <v>0</v>
      </c>
      <c r="T288">
        <f>Tabla1[[#This Row],[cuba_fab_litros]]*Tabla1[[#This Row],[cuba_fab_prot_g_l]]/1000</f>
        <v>0</v>
      </c>
      <c r="U288">
        <f>Tabla1[[#This Row],[queso_kg]]*Tabla1[[#This Row],[queso_est_pct]]/100</f>
        <v>0</v>
      </c>
      <c r="V288">
        <f>Tabla1[[#This Row],[queso_kg]]*Tabla1[[#This Row],[queso_mg_pct]]/100</f>
        <v>0</v>
      </c>
      <c r="W288">
        <f>Tabla1[[#This Row],[queso_est_kg]]-Tabla1[[#This Row],[queso_mg_kg]]</f>
        <v>0</v>
      </c>
      <c r="X288">
        <f>_xlfn.ISOWEEKNUM(Tabla1[[#This Row],[fecha]])</f>
        <v>41</v>
      </c>
      <c r="Y288">
        <v>41</v>
      </c>
      <c r="Z288" s="7">
        <f>Tabla1[[#This Row],[suero_litros]]*Tabla1[[#This Row],[suero_grasa_g_l]]/1000</f>
        <v>0</v>
      </c>
      <c r="AA288" s="7">
        <f>Tabla1[[#This Row],[suero_litros]]*Tabla1[[#This Row],[suero_prot_g_l]]/1000</f>
        <v>0</v>
      </c>
      <c r="AB288" s="7">
        <f>Tabla1[[#This Row],[suero_est_g_l]]*Tabla1[[#This Row],[suero_litros]]/1000</f>
        <v>0</v>
      </c>
    </row>
    <row r="289" spans="1:28" x14ac:dyDescent="0.25">
      <c r="A289" s="1">
        <v>45578</v>
      </c>
      <c r="B289">
        <v>5841</v>
      </c>
      <c r="C289">
        <v>5671</v>
      </c>
      <c r="D289">
        <v>40.25</v>
      </c>
      <c r="E289">
        <v>34.479999999999997</v>
      </c>
      <c r="F289">
        <v>0</v>
      </c>
      <c r="G289">
        <v>0</v>
      </c>
      <c r="H289">
        <v>0</v>
      </c>
      <c r="I289">
        <v>5671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f>Tabla1[[#This Row],[entrada_litros]]*Tabla1[[#This Row],[entrada_grasa_g_l]]/1000</f>
        <v>228.25774999999999</v>
      </c>
      <c r="R289">
        <f>Tabla1[[#This Row],[entrada_prot_g_l]]*Tabla1[[#This Row],[entrada_litros]]/1000</f>
        <v>195.53608</v>
      </c>
      <c r="S289">
        <f>Tabla1[[#This Row],[cuba_fab_litros]]*Tabla1[[#This Row],[cuba_fab_grasa_g_l]]/1000</f>
        <v>0</v>
      </c>
      <c r="T289">
        <f>Tabla1[[#This Row],[cuba_fab_litros]]*Tabla1[[#This Row],[cuba_fab_prot_g_l]]/1000</f>
        <v>0</v>
      </c>
      <c r="U289">
        <f>Tabla1[[#This Row],[queso_kg]]*Tabla1[[#This Row],[queso_est_pct]]/100</f>
        <v>0</v>
      </c>
      <c r="V289">
        <f>Tabla1[[#This Row],[queso_kg]]*Tabla1[[#This Row],[queso_mg_pct]]/100</f>
        <v>0</v>
      </c>
      <c r="W289">
        <f>Tabla1[[#This Row],[queso_est_kg]]-Tabla1[[#This Row],[queso_mg_kg]]</f>
        <v>0</v>
      </c>
      <c r="X289">
        <f>_xlfn.ISOWEEKNUM(Tabla1[[#This Row],[fecha]])</f>
        <v>41</v>
      </c>
      <c r="Y289">
        <v>42</v>
      </c>
      <c r="Z289" s="7">
        <f>Tabla1[[#This Row],[suero_litros]]*Tabla1[[#This Row],[suero_grasa_g_l]]/1000</f>
        <v>0</v>
      </c>
      <c r="AA289" s="7">
        <f>Tabla1[[#This Row],[suero_litros]]*Tabla1[[#This Row],[suero_prot_g_l]]/1000</f>
        <v>0</v>
      </c>
      <c r="AB289" s="7">
        <f>Tabla1[[#This Row],[suero_est_g_l]]*Tabla1[[#This Row],[suero_litros]]/1000</f>
        <v>0</v>
      </c>
    </row>
    <row r="290" spans="1:28" x14ac:dyDescent="0.25">
      <c r="A290" s="1">
        <v>45579</v>
      </c>
      <c r="B290">
        <v>5286</v>
      </c>
      <c r="C290">
        <v>5132</v>
      </c>
      <c r="D290">
        <v>40.92</v>
      </c>
      <c r="E290">
        <v>35.46</v>
      </c>
      <c r="F290">
        <v>5023</v>
      </c>
      <c r="G290">
        <v>38.880000000000003</v>
      </c>
      <c r="H290">
        <v>33.299999999999997</v>
      </c>
      <c r="I290">
        <v>5803</v>
      </c>
      <c r="J290">
        <v>605.66</v>
      </c>
      <c r="K290">
        <v>51.2</v>
      </c>
      <c r="L290">
        <v>26.05</v>
      </c>
      <c r="M290">
        <v>4457</v>
      </c>
      <c r="N290">
        <v>8.3000000000000007</v>
      </c>
      <c r="O290">
        <v>5.65</v>
      </c>
      <c r="P290">
        <v>64.34</v>
      </c>
      <c r="Q290">
        <f>Tabla1[[#This Row],[entrada_litros]]*Tabla1[[#This Row],[entrada_grasa_g_l]]/1000</f>
        <v>210.00144</v>
      </c>
      <c r="R290">
        <f>Tabla1[[#This Row],[entrada_prot_g_l]]*Tabla1[[#This Row],[entrada_litros]]/1000</f>
        <v>181.98071999999999</v>
      </c>
      <c r="S290">
        <f>Tabla1[[#This Row],[cuba_fab_litros]]*Tabla1[[#This Row],[cuba_fab_grasa_g_l]]/1000</f>
        <v>195.29424000000003</v>
      </c>
      <c r="T290">
        <f>Tabla1[[#This Row],[cuba_fab_litros]]*Tabla1[[#This Row],[cuba_fab_prot_g_l]]/1000</f>
        <v>167.26589999999999</v>
      </c>
      <c r="U290">
        <f>Tabla1[[#This Row],[queso_kg]]*Tabla1[[#This Row],[queso_est_pct]]/100</f>
        <v>310.09791999999999</v>
      </c>
      <c r="V290">
        <f>Tabla1[[#This Row],[queso_kg]]*Tabla1[[#This Row],[queso_mg_pct]]/100</f>
        <v>157.77443</v>
      </c>
      <c r="W290">
        <f>Tabla1[[#This Row],[queso_est_kg]]-Tabla1[[#This Row],[queso_mg_kg]]</f>
        <v>152.32348999999999</v>
      </c>
      <c r="X290">
        <f>_xlfn.ISOWEEKNUM(Tabla1[[#This Row],[fecha]])</f>
        <v>42</v>
      </c>
      <c r="Y290">
        <v>42</v>
      </c>
      <c r="Z290" s="7">
        <f>Tabla1[[#This Row],[suero_litros]]*Tabla1[[#This Row],[suero_grasa_g_l]]/1000</f>
        <v>36.993100000000005</v>
      </c>
      <c r="AA290" s="7">
        <f>Tabla1[[#This Row],[suero_litros]]*Tabla1[[#This Row],[suero_prot_g_l]]/1000</f>
        <v>25.182050000000004</v>
      </c>
      <c r="AB290" s="7">
        <f>Tabla1[[#This Row],[suero_est_g_l]]*Tabla1[[#This Row],[suero_litros]]/1000</f>
        <v>286.76337999999998</v>
      </c>
    </row>
    <row r="291" spans="1:28" x14ac:dyDescent="0.25">
      <c r="A291" s="1">
        <v>45580</v>
      </c>
      <c r="B291">
        <v>5596</v>
      </c>
      <c r="C291">
        <v>5433</v>
      </c>
      <c r="D291">
        <v>41.44</v>
      </c>
      <c r="E291">
        <v>34.479999999999997</v>
      </c>
      <c r="F291">
        <v>5025</v>
      </c>
      <c r="G291">
        <v>39.03</v>
      </c>
      <c r="H291">
        <v>33.39</v>
      </c>
      <c r="I291">
        <v>6236</v>
      </c>
      <c r="J291">
        <v>615.1</v>
      </c>
      <c r="K291">
        <v>52.16</v>
      </c>
      <c r="L291">
        <v>27.69</v>
      </c>
      <c r="M291">
        <v>4449</v>
      </c>
      <c r="N291">
        <v>5.67</v>
      </c>
      <c r="O291">
        <v>6.24</v>
      </c>
      <c r="P291">
        <v>64.849999999999994</v>
      </c>
      <c r="Q291">
        <f>Tabla1[[#This Row],[entrada_litros]]*Tabla1[[#This Row],[entrada_grasa_g_l]]/1000</f>
        <v>225.14352</v>
      </c>
      <c r="R291">
        <f>Tabla1[[#This Row],[entrada_prot_g_l]]*Tabla1[[#This Row],[entrada_litros]]/1000</f>
        <v>187.32983999999999</v>
      </c>
      <c r="S291">
        <f>Tabla1[[#This Row],[cuba_fab_litros]]*Tabla1[[#This Row],[cuba_fab_grasa_g_l]]/1000</f>
        <v>196.12575000000001</v>
      </c>
      <c r="T291">
        <f>Tabla1[[#This Row],[cuba_fab_litros]]*Tabla1[[#This Row],[cuba_fab_prot_g_l]]/1000</f>
        <v>167.78475</v>
      </c>
      <c r="U291">
        <f>Tabla1[[#This Row],[queso_kg]]*Tabla1[[#This Row],[queso_est_pct]]/100</f>
        <v>320.83616000000001</v>
      </c>
      <c r="V291">
        <f>Tabla1[[#This Row],[queso_kg]]*Tabla1[[#This Row],[queso_mg_pct]]/100</f>
        <v>170.32119000000003</v>
      </c>
      <c r="W291">
        <f>Tabla1[[#This Row],[queso_est_kg]]-Tabla1[[#This Row],[queso_mg_kg]]</f>
        <v>150.51496999999998</v>
      </c>
      <c r="X291">
        <f>_xlfn.ISOWEEKNUM(Tabla1[[#This Row],[fecha]])</f>
        <v>42</v>
      </c>
      <c r="Y291">
        <v>42</v>
      </c>
      <c r="Z291" s="7">
        <f>Tabla1[[#This Row],[suero_litros]]*Tabla1[[#This Row],[suero_grasa_g_l]]/1000</f>
        <v>25.225829999999998</v>
      </c>
      <c r="AA291" s="7">
        <f>Tabla1[[#This Row],[suero_litros]]*Tabla1[[#This Row],[suero_prot_g_l]]/1000</f>
        <v>27.761760000000002</v>
      </c>
      <c r="AB291" s="7">
        <f>Tabla1[[#This Row],[suero_est_g_l]]*Tabla1[[#This Row],[suero_litros]]/1000</f>
        <v>288.51764999999995</v>
      </c>
    </row>
    <row r="292" spans="1:28" x14ac:dyDescent="0.25">
      <c r="A292" s="1">
        <v>45581</v>
      </c>
      <c r="B292">
        <v>5894</v>
      </c>
      <c r="C292">
        <v>5722</v>
      </c>
      <c r="D292">
        <v>42.79</v>
      </c>
      <c r="E292">
        <v>36.01</v>
      </c>
      <c r="F292">
        <v>5031</v>
      </c>
      <c r="G292">
        <v>40.020000000000003</v>
      </c>
      <c r="H292">
        <v>33.71</v>
      </c>
      <c r="I292">
        <v>6958</v>
      </c>
      <c r="J292">
        <v>665.25</v>
      </c>
      <c r="K292">
        <v>49.98</v>
      </c>
      <c r="L292">
        <v>26.29</v>
      </c>
      <c r="M292">
        <v>4407</v>
      </c>
      <c r="N292">
        <v>5.9</v>
      </c>
      <c r="O292">
        <v>3.07</v>
      </c>
      <c r="P292">
        <v>59.56</v>
      </c>
      <c r="Q292">
        <f>Tabla1[[#This Row],[entrada_litros]]*Tabla1[[#This Row],[entrada_grasa_g_l]]/1000</f>
        <v>244.84438</v>
      </c>
      <c r="R292">
        <f>Tabla1[[#This Row],[entrada_prot_g_l]]*Tabla1[[#This Row],[entrada_litros]]/1000</f>
        <v>206.04921999999999</v>
      </c>
      <c r="S292">
        <f>Tabla1[[#This Row],[cuba_fab_litros]]*Tabla1[[#This Row],[cuba_fab_grasa_g_l]]/1000</f>
        <v>201.34062000000003</v>
      </c>
      <c r="T292">
        <f>Tabla1[[#This Row],[cuba_fab_litros]]*Tabla1[[#This Row],[cuba_fab_prot_g_l]]/1000</f>
        <v>169.59501</v>
      </c>
      <c r="U292">
        <f>Tabla1[[#This Row],[queso_kg]]*Tabla1[[#This Row],[queso_est_pct]]/100</f>
        <v>332.49194999999997</v>
      </c>
      <c r="V292">
        <f>Tabla1[[#This Row],[queso_kg]]*Tabla1[[#This Row],[queso_mg_pct]]/100</f>
        <v>174.89422500000001</v>
      </c>
      <c r="W292">
        <f>Tabla1[[#This Row],[queso_est_kg]]-Tabla1[[#This Row],[queso_mg_kg]]</f>
        <v>157.59772499999997</v>
      </c>
      <c r="X292">
        <f>_xlfn.ISOWEEKNUM(Tabla1[[#This Row],[fecha]])</f>
        <v>42</v>
      </c>
      <c r="Y292">
        <v>42</v>
      </c>
      <c r="Z292" s="7">
        <f>Tabla1[[#This Row],[suero_litros]]*Tabla1[[#This Row],[suero_grasa_g_l]]/1000</f>
        <v>26.001300000000004</v>
      </c>
      <c r="AA292" s="7">
        <f>Tabla1[[#This Row],[suero_litros]]*Tabla1[[#This Row],[suero_prot_g_l]]/1000</f>
        <v>13.529489999999999</v>
      </c>
      <c r="AB292" s="7">
        <f>Tabla1[[#This Row],[suero_est_g_l]]*Tabla1[[#This Row],[suero_litros]]/1000</f>
        <v>262.48091999999997</v>
      </c>
    </row>
    <row r="293" spans="1:28" x14ac:dyDescent="0.25">
      <c r="A293" s="1">
        <v>45582</v>
      </c>
      <c r="B293">
        <v>5273</v>
      </c>
      <c r="C293">
        <v>5119</v>
      </c>
      <c r="D293">
        <v>43.73</v>
      </c>
      <c r="E293">
        <v>36.74</v>
      </c>
      <c r="F293">
        <v>5034</v>
      </c>
      <c r="G293">
        <v>40.85</v>
      </c>
      <c r="H293">
        <v>34.24</v>
      </c>
      <c r="I293">
        <v>7077</v>
      </c>
      <c r="J293">
        <v>647.27</v>
      </c>
      <c r="K293">
        <v>52.35</v>
      </c>
      <c r="L293">
        <v>27.03</v>
      </c>
      <c r="M293">
        <v>4427</v>
      </c>
      <c r="N293">
        <v>6.77</v>
      </c>
      <c r="O293">
        <v>5.63</v>
      </c>
      <c r="P293">
        <v>62.69</v>
      </c>
      <c r="Q293">
        <f>Tabla1[[#This Row],[entrada_litros]]*Tabla1[[#This Row],[entrada_grasa_g_l]]/1000</f>
        <v>223.85387</v>
      </c>
      <c r="R293">
        <f>Tabla1[[#This Row],[entrada_prot_g_l]]*Tabla1[[#This Row],[entrada_litros]]/1000</f>
        <v>188.07205999999999</v>
      </c>
      <c r="S293">
        <f>Tabla1[[#This Row],[cuba_fab_litros]]*Tabla1[[#This Row],[cuba_fab_grasa_g_l]]/1000</f>
        <v>205.63890000000001</v>
      </c>
      <c r="T293">
        <f>Tabla1[[#This Row],[cuba_fab_litros]]*Tabla1[[#This Row],[cuba_fab_prot_g_l]]/1000</f>
        <v>172.36416</v>
      </c>
      <c r="U293">
        <f>Tabla1[[#This Row],[queso_kg]]*Tabla1[[#This Row],[queso_est_pct]]/100</f>
        <v>338.845845</v>
      </c>
      <c r="V293">
        <f>Tabla1[[#This Row],[queso_kg]]*Tabla1[[#This Row],[queso_mg_pct]]/100</f>
        <v>174.95708099999999</v>
      </c>
      <c r="W293">
        <f>Tabla1[[#This Row],[queso_est_kg]]-Tabla1[[#This Row],[queso_mg_kg]]</f>
        <v>163.88876400000001</v>
      </c>
      <c r="X293">
        <f>_xlfn.ISOWEEKNUM(Tabla1[[#This Row],[fecha]])</f>
        <v>42</v>
      </c>
      <c r="Y293">
        <v>42</v>
      </c>
      <c r="Z293" s="7">
        <f>Tabla1[[#This Row],[suero_litros]]*Tabla1[[#This Row],[suero_grasa_g_l]]/1000</f>
        <v>29.970789999999997</v>
      </c>
      <c r="AA293" s="7">
        <f>Tabla1[[#This Row],[suero_litros]]*Tabla1[[#This Row],[suero_prot_g_l]]/1000</f>
        <v>24.924009999999999</v>
      </c>
      <c r="AB293" s="7">
        <f>Tabla1[[#This Row],[suero_est_g_l]]*Tabla1[[#This Row],[suero_litros]]/1000</f>
        <v>277.52863000000002</v>
      </c>
    </row>
    <row r="294" spans="1:28" x14ac:dyDescent="0.25">
      <c r="A294" s="1">
        <v>45583</v>
      </c>
      <c r="B294">
        <v>0</v>
      </c>
      <c r="C294">
        <v>0</v>
      </c>
      <c r="D294">
        <v>0</v>
      </c>
      <c r="E294">
        <v>0</v>
      </c>
      <c r="F294">
        <v>7107</v>
      </c>
      <c r="G294">
        <v>40.46</v>
      </c>
      <c r="H294">
        <v>34.65</v>
      </c>
      <c r="I294">
        <v>0</v>
      </c>
      <c r="J294">
        <v>864.66</v>
      </c>
      <c r="K294">
        <v>52.41</v>
      </c>
      <c r="L294">
        <v>27.02</v>
      </c>
      <c r="M294">
        <v>6298</v>
      </c>
      <c r="N294">
        <v>8.42</v>
      </c>
      <c r="O294">
        <v>8.36</v>
      </c>
      <c r="P294">
        <v>67.8</v>
      </c>
      <c r="Q294">
        <f>Tabla1[[#This Row],[entrada_litros]]*Tabla1[[#This Row],[entrada_grasa_g_l]]/1000</f>
        <v>0</v>
      </c>
      <c r="R294">
        <f>Tabla1[[#This Row],[entrada_prot_g_l]]*Tabla1[[#This Row],[entrada_litros]]/1000</f>
        <v>0</v>
      </c>
      <c r="S294">
        <f>Tabla1[[#This Row],[cuba_fab_litros]]*Tabla1[[#This Row],[cuba_fab_grasa_g_l]]/1000</f>
        <v>287.54922000000005</v>
      </c>
      <c r="T294">
        <f>Tabla1[[#This Row],[cuba_fab_litros]]*Tabla1[[#This Row],[cuba_fab_prot_g_l]]/1000</f>
        <v>246.25754999999998</v>
      </c>
      <c r="U294">
        <f>Tabla1[[#This Row],[queso_kg]]*Tabla1[[#This Row],[queso_est_pct]]/100</f>
        <v>453.16830599999992</v>
      </c>
      <c r="V294">
        <f>Tabla1[[#This Row],[queso_kg]]*Tabla1[[#This Row],[queso_mg_pct]]/100</f>
        <v>233.63113200000001</v>
      </c>
      <c r="W294">
        <f>Tabla1[[#This Row],[queso_est_kg]]-Tabla1[[#This Row],[queso_mg_kg]]</f>
        <v>219.53717399999991</v>
      </c>
      <c r="X294">
        <f>_xlfn.ISOWEEKNUM(Tabla1[[#This Row],[fecha]])</f>
        <v>42</v>
      </c>
      <c r="Y294">
        <v>42</v>
      </c>
      <c r="Z294" s="7">
        <f>Tabla1[[#This Row],[suero_litros]]*Tabla1[[#This Row],[suero_grasa_g_l]]/1000</f>
        <v>53.029159999999997</v>
      </c>
      <c r="AA294" s="7">
        <f>Tabla1[[#This Row],[suero_litros]]*Tabla1[[#This Row],[suero_prot_g_l]]/1000</f>
        <v>52.65128</v>
      </c>
      <c r="AB294" s="7">
        <f>Tabla1[[#This Row],[suero_est_g_l]]*Tabla1[[#This Row],[suero_litros]]/1000</f>
        <v>427.00439999999998</v>
      </c>
    </row>
    <row r="295" spans="1:28" x14ac:dyDescent="0.25">
      <c r="A295" s="1">
        <v>45584</v>
      </c>
      <c r="B295">
        <v>0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f>Tabla1[[#This Row],[entrada_litros]]*Tabla1[[#This Row],[entrada_grasa_g_l]]/1000</f>
        <v>0</v>
      </c>
      <c r="R295">
        <f>Tabla1[[#This Row],[entrada_prot_g_l]]*Tabla1[[#This Row],[entrada_litros]]/1000</f>
        <v>0</v>
      </c>
      <c r="S295">
        <f>Tabla1[[#This Row],[cuba_fab_litros]]*Tabla1[[#This Row],[cuba_fab_grasa_g_l]]/1000</f>
        <v>0</v>
      </c>
      <c r="T295">
        <f>Tabla1[[#This Row],[cuba_fab_litros]]*Tabla1[[#This Row],[cuba_fab_prot_g_l]]/1000</f>
        <v>0</v>
      </c>
      <c r="U295">
        <f>Tabla1[[#This Row],[queso_kg]]*Tabla1[[#This Row],[queso_est_pct]]/100</f>
        <v>0</v>
      </c>
      <c r="V295">
        <f>Tabla1[[#This Row],[queso_kg]]*Tabla1[[#This Row],[queso_mg_pct]]/100</f>
        <v>0</v>
      </c>
      <c r="W295">
        <f>Tabla1[[#This Row],[queso_est_kg]]-Tabla1[[#This Row],[queso_mg_kg]]</f>
        <v>0</v>
      </c>
      <c r="X295">
        <f>_xlfn.ISOWEEKNUM(Tabla1[[#This Row],[fecha]])</f>
        <v>42</v>
      </c>
      <c r="Y295">
        <v>42</v>
      </c>
      <c r="Z295" s="7">
        <f>Tabla1[[#This Row],[suero_litros]]*Tabla1[[#This Row],[suero_grasa_g_l]]/1000</f>
        <v>0</v>
      </c>
      <c r="AA295" s="7">
        <f>Tabla1[[#This Row],[suero_litros]]*Tabla1[[#This Row],[suero_prot_g_l]]/1000</f>
        <v>0</v>
      </c>
      <c r="AB295" s="7">
        <f>Tabla1[[#This Row],[suero_est_g_l]]*Tabla1[[#This Row],[suero_litros]]/1000</f>
        <v>0</v>
      </c>
    </row>
    <row r="296" spans="1:28" x14ac:dyDescent="0.25">
      <c r="A296" s="1">
        <v>45585</v>
      </c>
      <c r="B296">
        <v>5318</v>
      </c>
      <c r="C296">
        <v>5163</v>
      </c>
      <c r="D296">
        <v>44.53</v>
      </c>
      <c r="E296">
        <v>34.06</v>
      </c>
      <c r="F296">
        <v>0</v>
      </c>
      <c r="G296">
        <v>0</v>
      </c>
      <c r="H296">
        <v>0</v>
      </c>
      <c r="I296">
        <v>5163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f>Tabla1[[#This Row],[entrada_litros]]*Tabla1[[#This Row],[entrada_grasa_g_l]]/1000</f>
        <v>229.90839000000003</v>
      </c>
      <c r="R296">
        <f>Tabla1[[#This Row],[entrada_prot_g_l]]*Tabla1[[#This Row],[entrada_litros]]/1000</f>
        <v>175.85177999999999</v>
      </c>
      <c r="S296">
        <f>Tabla1[[#This Row],[cuba_fab_litros]]*Tabla1[[#This Row],[cuba_fab_grasa_g_l]]/1000</f>
        <v>0</v>
      </c>
      <c r="T296">
        <f>Tabla1[[#This Row],[cuba_fab_litros]]*Tabla1[[#This Row],[cuba_fab_prot_g_l]]/1000</f>
        <v>0</v>
      </c>
      <c r="U296">
        <f>Tabla1[[#This Row],[queso_kg]]*Tabla1[[#This Row],[queso_est_pct]]/100</f>
        <v>0</v>
      </c>
      <c r="V296">
        <f>Tabla1[[#This Row],[queso_kg]]*Tabla1[[#This Row],[queso_mg_pct]]/100</f>
        <v>0</v>
      </c>
      <c r="W296">
        <f>Tabla1[[#This Row],[queso_est_kg]]-Tabla1[[#This Row],[queso_mg_kg]]</f>
        <v>0</v>
      </c>
      <c r="X296">
        <f>_xlfn.ISOWEEKNUM(Tabla1[[#This Row],[fecha]])</f>
        <v>42</v>
      </c>
      <c r="Y296">
        <v>43</v>
      </c>
      <c r="Z296" s="7">
        <f>Tabla1[[#This Row],[suero_litros]]*Tabla1[[#This Row],[suero_grasa_g_l]]/1000</f>
        <v>0</v>
      </c>
      <c r="AA296" s="7">
        <f>Tabla1[[#This Row],[suero_litros]]*Tabla1[[#This Row],[suero_prot_g_l]]/1000</f>
        <v>0</v>
      </c>
      <c r="AB296" s="7">
        <f>Tabla1[[#This Row],[suero_est_g_l]]*Tabla1[[#This Row],[suero_litros]]/1000</f>
        <v>0</v>
      </c>
    </row>
    <row r="297" spans="1:28" x14ac:dyDescent="0.25">
      <c r="A297" s="1">
        <v>45586</v>
      </c>
      <c r="B297">
        <v>4809</v>
      </c>
      <c r="C297">
        <v>4669</v>
      </c>
      <c r="D297">
        <v>42.06</v>
      </c>
      <c r="E297">
        <v>34.92</v>
      </c>
      <c r="F297">
        <v>5023</v>
      </c>
      <c r="G297">
        <v>41.04</v>
      </c>
      <c r="H297">
        <v>32.93</v>
      </c>
      <c r="I297">
        <v>4832</v>
      </c>
      <c r="J297">
        <v>618.65</v>
      </c>
      <c r="K297">
        <v>54.12</v>
      </c>
      <c r="L297">
        <v>27.68</v>
      </c>
      <c r="M297">
        <v>4444</v>
      </c>
      <c r="N297">
        <v>7.73</v>
      </c>
      <c r="O297">
        <v>4.38</v>
      </c>
      <c r="P297">
        <v>64.48</v>
      </c>
      <c r="Q297">
        <f>Tabla1[[#This Row],[entrada_litros]]*Tabla1[[#This Row],[entrada_grasa_g_l]]/1000</f>
        <v>196.37814</v>
      </c>
      <c r="R297">
        <f>Tabla1[[#This Row],[entrada_prot_g_l]]*Tabla1[[#This Row],[entrada_litros]]/1000</f>
        <v>163.04148000000001</v>
      </c>
      <c r="S297">
        <f>Tabla1[[#This Row],[cuba_fab_litros]]*Tabla1[[#This Row],[cuba_fab_grasa_g_l]]/1000</f>
        <v>206.14391999999998</v>
      </c>
      <c r="T297">
        <f>Tabla1[[#This Row],[cuba_fab_litros]]*Tabla1[[#This Row],[cuba_fab_prot_g_l]]/1000</f>
        <v>165.40738999999999</v>
      </c>
      <c r="U297">
        <f>Tabla1[[#This Row],[queso_kg]]*Tabla1[[#This Row],[queso_est_pct]]/100</f>
        <v>334.81337999999994</v>
      </c>
      <c r="V297">
        <f>Tabla1[[#This Row],[queso_kg]]*Tabla1[[#This Row],[queso_mg_pct]]/100</f>
        <v>171.24232000000001</v>
      </c>
      <c r="W297">
        <f>Tabla1[[#This Row],[queso_est_kg]]-Tabla1[[#This Row],[queso_mg_kg]]</f>
        <v>163.57105999999993</v>
      </c>
      <c r="X297">
        <f>_xlfn.ISOWEEKNUM(Tabla1[[#This Row],[fecha]])</f>
        <v>43</v>
      </c>
      <c r="Y297">
        <v>43</v>
      </c>
      <c r="Z297" s="7">
        <f>Tabla1[[#This Row],[suero_litros]]*Tabla1[[#This Row],[suero_grasa_g_l]]/1000</f>
        <v>34.352119999999999</v>
      </c>
      <c r="AA297" s="7">
        <f>Tabla1[[#This Row],[suero_litros]]*Tabla1[[#This Row],[suero_prot_g_l]]/1000</f>
        <v>19.46472</v>
      </c>
      <c r="AB297" s="7">
        <f>Tabla1[[#This Row],[suero_est_g_l]]*Tabla1[[#This Row],[suero_litros]]/1000</f>
        <v>286.54912000000002</v>
      </c>
    </row>
    <row r="298" spans="1:28" x14ac:dyDescent="0.25">
      <c r="A298" s="1">
        <v>45587</v>
      </c>
      <c r="B298">
        <v>5799</v>
      </c>
      <c r="C298">
        <v>5630</v>
      </c>
      <c r="D298">
        <v>41.26</v>
      </c>
      <c r="E298">
        <v>36.24</v>
      </c>
      <c r="F298">
        <v>5020</v>
      </c>
      <c r="G298">
        <v>40.119999999999997</v>
      </c>
      <c r="H298">
        <v>33.85</v>
      </c>
      <c r="I298">
        <v>5462</v>
      </c>
      <c r="J298">
        <v>673.59</v>
      </c>
      <c r="K298">
        <v>50.45</v>
      </c>
      <c r="L298">
        <v>26.34</v>
      </c>
      <c r="M298">
        <v>4387</v>
      </c>
      <c r="N298">
        <v>5.39</v>
      </c>
      <c r="O298">
        <v>3.39</v>
      </c>
      <c r="P298">
        <v>60.21</v>
      </c>
      <c r="Q298">
        <f>Tabla1[[#This Row],[entrada_litros]]*Tabla1[[#This Row],[entrada_grasa_g_l]]/1000</f>
        <v>232.29379999999998</v>
      </c>
      <c r="R298">
        <f>Tabla1[[#This Row],[entrada_prot_g_l]]*Tabla1[[#This Row],[entrada_litros]]/1000</f>
        <v>204.03120000000001</v>
      </c>
      <c r="S298">
        <f>Tabla1[[#This Row],[cuba_fab_litros]]*Tabla1[[#This Row],[cuba_fab_grasa_g_l]]/1000</f>
        <v>201.4024</v>
      </c>
      <c r="T298">
        <f>Tabla1[[#This Row],[cuba_fab_litros]]*Tabla1[[#This Row],[cuba_fab_prot_g_l]]/1000</f>
        <v>169.92699999999999</v>
      </c>
      <c r="U298">
        <f>Tabla1[[#This Row],[queso_kg]]*Tabla1[[#This Row],[queso_est_pct]]/100</f>
        <v>339.82615499999997</v>
      </c>
      <c r="V298">
        <f>Tabla1[[#This Row],[queso_kg]]*Tabla1[[#This Row],[queso_mg_pct]]/100</f>
        <v>177.42360600000001</v>
      </c>
      <c r="W298">
        <f>Tabla1[[#This Row],[queso_est_kg]]-Tabla1[[#This Row],[queso_mg_kg]]</f>
        <v>162.40254899999996</v>
      </c>
      <c r="X298">
        <f>_xlfn.ISOWEEKNUM(Tabla1[[#This Row],[fecha]])</f>
        <v>43</v>
      </c>
      <c r="Y298">
        <v>43</v>
      </c>
      <c r="Z298" s="7">
        <f>Tabla1[[#This Row],[suero_litros]]*Tabla1[[#This Row],[suero_grasa_g_l]]/1000</f>
        <v>23.64593</v>
      </c>
      <c r="AA298" s="7">
        <f>Tabla1[[#This Row],[suero_litros]]*Tabla1[[#This Row],[suero_prot_g_l]]/1000</f>
        <v>14.871930000000001</v>
      </c>
      <c r="AB298" s="7">
        <f>Tabla1[[#This Row],[suero_est_g_l]]*Tabla1[[#This Row],[suero_litros]]/1000</f>
        <v>264.14127000000002</v>
      </c>
    </row>
    <row r="299" spans="1:28" x14ac:dyDescent="0.25">
      <c r="A299" s="1">
        <v>45588</v>
      </c>
      <c r="B299">
        <v>5330</v>
      </c>
      <c r="C299">
        <v>5175</v>
      </c>
      <c r="D299">
        <v>42.4</v>
      </c>
      <c r="E299">
        <v>34.090000000000003</v>
      </c>
      <c r="F299">
        <v>5027</v>
      </c>
      <c r="G299">
        <v>40.270000000000003</v>
      </c>
      <c r="H299">
        <v>33.28</v>
      </c>
      <c r="I299">
        <v>5637</v>
      </c>
      <c r="J299">
        <v>671.22</v>
      </c>
      <c r="K299">
        <v>51.65</v>
      </c>
      <c r="L299">
        <v>26.89</v>
      </c>
      <c r="M299">
        <v>4397</v>
      </c>
      <c r="N299">
        <v>4.88</v>
      </c>
      <c r="O299">
        <v>2.66</v>
      </c>
      <c r="P299">
        <v>57.79</v>
      </c>
      <c r="Q299">
        <f>Tabla1[[#This Row],[entrada_litros]]*Tabla1[[#This Row],[entrada_grasa_g_l]]/1000</f>
        <v>219.42</v>
      </c>
      <c r="R299">
        <f>Tabla1[[#This Row],[entrada_prot_g_l]]*Tabla1[[#This Row],[entrada_litros]]/1000</f>
        <v>176.41575000000003</v>
      </c>
      <c r="S299">
        <f>Tabla1[[#This Row],[cuba_fab_litros]]*Tabla1[[#This Row],[cuba_fab_grasa_g_l]]/1000</f>
        <v>202.43729000000002</v>
      </c>
      <c r="T299">
        <f>Tabla1[[#This Row],[cuba_fab_litros]]*Tabla1[[#This Row],[cuba_fab_prot_g_l]]/1000</f>
        <v>167.29856000000001</v>
      </c>
      <c r="U299">
        <f>Tabla1[[#This Row],[queso_kg]]*Tabla1[[#This Row],[queso_est_pct]]/100</f>
        <v>346.68513000000002</v>
      </c>
      <c r="V299">
        <f>Tabla1[[#This Row],[queso_kg]]*Tabla1[[#This Row],[queso_mg_pct]]/100</f>
        <v>180.49105800000001</v>
      </c>
      <c r="W299">
        <f>Tabla1[[#This Row],[queso_est_kg]]-Tabla1[[#This Row],[queso_mg_kg]]</f>
        <v>166.19407200000001</v>
      </c>
      <c r="X299">
        <f>_xlfn.ISOWEEKNUM(Tabla1[[#This Row],[fecha]])</f>
        <v>43</v>
      </c>
      <c r="Y299">
        <v>43</v>
      </c>
      <c r="Z299" s="7">
        <f>Tabla1[[#This Row],[suero_litros]]*Tabla1[[#This Row],[suero_grasa_g_l]]/1000</f>
        <v>21.457360000000001</v>
      </c>
      <c r="AA299" s="7">
        <f>Tabla1[[#This Row],[suero_litros]]*Tabla1[[#This Row],[suero_prot_g_l]]/1000</f>
        <v>11.696020000000001</v>
      </c>
      <c r="AB299" s="7">
        <f>Tabla1[[#This Row],[suero_est_g_l]]*Tabla1[[#This Row],[suero_litros]]/1000</f>
        <v>254.10263</v>
      </c>
    </row>
    <row r="300" spans="1:28" x14ac:dyDescent="0.25">
      <c r="A300" s="1">
        <v>45589</v>
      </c>
      <c r="B300">
        <v>5221</v>
      </c>
      <c r="C300">
        <v>5069</v>
      </c>
      <c r="D300">
        <v>44.49</v>
      </c>
      <c r="E300">
        <v>34.65</v>
      </c>
      <c r="F300">
        <v>5025</v>
      </c>
      <c r="G300">
        <v>41.36</v>
      </c>
      <c r="H300">
        <v>32.89</v>
      </c>
      <c r="I300">
        <v>5706</v>
      </c>
      <c r="J300">
        <v>600.25</v>
      </c>
      <c r="K300">
        <v>51.54</v>
      </c>
      <c r="L300">
        <v>26.46</v>
      </c>
      <c r="M300">
        <v>4464</v>
      </c>
      <c r="N300">
        <v>10.73</v>
      </c>
      <c r="O300">
        <v>5.39</v>
      </c>
      <c r="P300">
        <v>68.099999999999994</v>
      </c>
      <c r="Q300">
        <f>Tabla1[[#This Row],[entrada_litros]]*Tabla1[[#This Row],[entrada_grasa_g_l]]/1000</f>
        <v>225.51981000000001</v>
      </c>
      <c r="R300">
        <f>Tabla1[[#This Row],[entrada_prot_g_l]]*Tabla1[[#This Row],[entrada_litros]]/1000</f>
        <v>175.64085</v>
      </c>
      <c r="S300">
        <f>Tabla1[[#This Row],[cuba_fab_litros]]*Tabla1[[#This Row],[cuba_fab_grasa_g_l]]/1000</f>
        <v>207.834</v>
      </c>
      <c r="T300">
        <f>Tabla1[[#This Row],[cuba_fab_litros]]*Tabla1[[#This Row],[cuba_fab_prot_g_l]]/1000</f>
        <v>165.27225000000001</v>
      </c>
      <c r="U300">
        <f>Tabla1[[#This Row],[queso_kg]]*Tabla1[[#This Row],[queso_est_pct]]/100</f>
        <v>309.36885000000001</v>
      </c>
      <c r="V300">
        <f>Tabla1[[#This Row],[queso_kg]]*Tabla1[[#This Row],[queso_mg_pct]]/100</f>
        <v>158.82614999999998</v>
      </c>
      <c r="W300">
        <f>Tabla1[[#This Row],[queso_est_kg]]-Tabla1[[#This Row],[queso_mg_kg]]</f>
        <v>150.54270000000002</v>
      </c>
      <c r="X300">
        <f>_xlfn.ISOWEEKNUM(Tabla1[[#This Row],[fecha]])</f>
        <v>43</v>
      </c>
      <c r="Y300">
        <v>43</v>
      </c>
      <c r="Z300" s="7">
        <f>Tabla1[[#This Row],[suero_litros]]*Tabla1[[#This Row],[suero_grasa_g_l]]/1000</f>
        <v>47.898720000000004</v>
      </c>
      <c r="AA300" s="7">
        <f>Tabla1[[#This Row],[suero_litros]]*Tabla1[[#This Row],[suero_prot_g_l]]/1000</f>
        <v>24.060959999999998</v>
      </c>
      <c r="AB300" s="7">
        <f>Tabla1[[#This Row],[suero_est_g_l]]*Tabla1[[#This Row],[suero_litros]]/1000</f>
        <v>303.99839999999995</v>
      </c>
    </row>
    <row r="301" spans="1:28" x14ac:dyDescent="0.25">
      <c r="A301" s="1">
        <v>45590</v>
      </c>
      <c r="B301">
        <v>0</v>
      </c>
      <c r="C301">
        <v>0</v>
      </c>
      <c r="D301">
        <v>0</v>
      </c>
      <c r="E301">
        <v>0</v>
      </c>
      <c r="F301">
        <v>5730</v>
      </c>
      <c r="G301">
        <v>41.38</v>
      </c>
      <c r="H301">
        <v>33</v>
      </c>
      <c r="I301">
        <v>0</v>
      </c>
      <c r="J301">
        <v>704.15</v>
      </c>
      <c r="K301">
        <v>53.89</v>
      </c>
      <c r="L301">
        <v>27.99</v>
      </c>
      <c r="M301">
        <v>5071</v>
      </c>
      <c r="N301">
        <v>7.82</v>
      </c>
      <c r="O301">
        <v>5.19</v>
      </c>
      <c r="P301">
        <v>64.040000000000006</v>
      </c>
      <c r="Q301">
        <f>Tabla1[[#This Row],[entrada_litros]]*Tabla1[[#This Row],[entrada_grasa_g_l]]/1000</f>
        <v>0</v>
      </c>
      <c r="R301">
        <f>Tabla1[[#This Row],[entrada_prot_g_l]]*Tabla1[[#This Row],[entrada_litros]]/1000</f>
        <v>0</v>
      </c>
      <c r="S301">
        <f>Tabla1[[#This Row],[cuba_fab_litros]]*Tabla1[[#This Row],[cuba_fab_grasa_g_l]]/1000</f>
        <v>237.10740000000001</v>
      </c>
      <c r="T301">
        <f>Tabla1[[#This Row],[cuba_fab_litros]]*Tabla1[[#This Row],[cuba_fab_prot_g_l]]/1000</f>
        <v>189.09</v>
      </c>
      <c r="U301">
        <f>Tabla1[[#This Row],[queso_kg]]*Tabla1[[#This Row],[queso_est_pct]]/100</f>
        <v>379.46643499999999</v>
      </c>
      <c r="V301">
        <f>Tabla1[[#This Row],[queso_kg]]*Tabla1[[#This Row],[queso_mg_pct]]/100</f>
        <v>197.09158499999998</v>
      </c>
      <c r="W301">
        <f>Tabla1[[#This Row],[queso_est_kg]]-Tabla1[[#This Row],[queso_mg_kg]]</f>
        <v>182.37485000000001</v>
      </c>
      <c r="X301">
        <f>_xlfn.ISOWEEKNUM(Tabla1[[#This Row],[fecha]])</f>
        <v>43</v>
      </c>
      <c r="Y301">
        <v>43</v>
      </c>
      <c r="Z301" s="7">
        <f>Tabla1[[#This Row],[suero_litros]]*Tabla1[[#This Row],[suero_grasa_g_l]]/1000</f>
        <v>39.65522</v>
      </c>
      <c r="AA301" s="7">
        <f>Tabla1[[#This Row],[suero_litros]]*Tabla1[[#This Row],[suero_prot_g_l]]/1000</f>
        <v>26.318490000000001</v>
      </c>
      <c r="AB301" s="7">
        <f>Tabla1[[#This Row],[suero_est_g_l]]*Tabla1[[#This Row],[suero_litros]]/1000</f>
        <v>324.74684000000002</v>
      </c>
    </row>
    <row r="302" spans="1:28" x14ac:dyDescent="0.25">
      <c r="A302" s="1">
        <v>45591</v>
      </c>
      <c r="B302">
        <v>0</v>
      </c>
      <c r="C302">
        <v>0</v>
      </c>
      <c r="D302">
        <v>0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f>Tabla1[[#This Row],[entrada_litros]]*Tabla1[[#This Row],[entrada_grasa_g_l]]/1000</f>
        <v>0</v>
      </c>
      <c r="R302">
        <f>Tabla1[[#This Row],[entrada_prot_g_l]]*Tabla1[[#This Row],[entrada_litros]]/1000</f>
        <v>0</v>
      </c>
      <c r="S302">
        <f>Tabla1[[#This Row],[cuba_fab_litros]]*Tabla1[[#This Row],[cuba_fab_grasa_g_l]]/1000</f>
        <v>0</v>
      </c>
      <c r="T302">
        <f>Tabla1[[#This Row],[cuba_fab_litros]]*Tabla1[[#This Row],[cuba_fab_prot_g_l]]/1000</f>
        <v>0</v>
      </c>
      <c r="U302">
        <f>Tabla1[[#This Row],[queso_kg]]*Tabla1[[#This Row],[queso_est_pct]]/100</f>
        <v>0</v>
      </c>
      <c r="V302">
        <f>Tabla1[[#This Row],[queso_kg]]*Tabla1[[#This Row],[queso_mg_pct]]/100</f>
        <v>0</v>
      </c>
      <c r="W302">
        <f>Tabla1[[#This Row],[queso_est_kg]]-Tabla1[[#This Row],[queso_mg_kg]]</f>
        <v>0</v>
      </c>
      <c r="X302">
        <f>_xlfn.ISOWEEKNUM(Tabla1[[#This Row],[fecha]])</f>
        <v>43</v>
      </c>
      <c r="Y302">
        <v>43</v>
      </c>
      <c r="Z302" s="7">
        <f>Tabla1[[#This Row],[suero_litros]]*Tabla1[[#This Row],[suero_grasa_g_l]]/1000</f>
        <v>0</v>
      </c>
      <c r="AA302" s="7">
        <f>Tabla1[[#This Row],[suero_litros]]*Tabla1[[#This Row],[suero_prot_g_l]]/1000</f>
        <v>0</v>
      </c>
      <c r="AB302" s="7">
        <f>Tabla1[[#This Row],[suero_est_g_l]]*Tabla1[[#This Row],[suero_litros]]/1000</f>
        <v>0</v>
      </c>
    </row>
    <row r="303" spans="1:28" x14ac:dyDescent="0.25">
      <c r="A303" s="1">
        <v>45592</v>
      </c>
      <c r="B303">
        <v>4714</v>
      </c>
      <c r="C303">
        <v>4577</v>
      </c>
      <c r="D303">
        <v>42.57</v>
      </c>
      <c r="E303">
        <v>36.03</v>
      </c>
      <c r="F303">
        <v>0</v>
      </c>
      <c r="G303">
        <v>0</v>
      </c>
      <c r="H303">
        <v>0</v>
      </c>
      <c r="I303">
        <v>4577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f>Tabla1[[#This Row],[entrada_litros]]*Tabla1[[#This Row],[entrada_grasa_g_l]]/1000</f>
        <v>194.84289000000001</v>
      </c>
      <c r="R303">
        <f>Tabla1[[#This Row],[entrada_prot_g_l]]*Tabla1[[#This Row],[entrada_litros]]/1000</f>
        <v>164.90931</v>
      </c>
      <c r="S303">
        <f>Tabla1[[#This Row],[cuba_fab_litros]]*Tabla1[[#This Row],[cuba_fab_grasa_g_l]]/1000</f>
        <v>0</v>
      </c>
      <c r="T303">
        <f>Tabla1[[#This Row],[cuba_fab_litros]]*Tabla1[[#This Row],[cuba_fab_prot_g_l]]/1000</f>
        <v>0</v>
      </c>
      <c r="U303">
        <f>Tabla1[[#This Row],[queso_kg]]*Tabla1[[#This Row],[queso_est_pct]]/100</f>
        <v>0</v>
      </c>
      <c r="V303">
        <f>Tabla1[[#This Row],[queso_kg]]*Tabla1[[#This Row],[queso_mg_pct]]/100</f>
        <v>0</v>
      </c>
      <c r="W303">
        <f>Tabla1[[#This Row],[queso_est_kg]]-Tabla1[[#This Row],[queso_mg_kg]]</f>
        <v>0</v>
      </c>
      <c r="X303">
        <f>_xlfn.ISOWEEKNUM(Tabla1[[#This Row],[fecha]])</f>
        <v>43</v>
      </c>
      <c r="Y303">
        <v>44</v>
      </c>
      <c r="Z303" s="7">
        <f>Tabla1[[#This Row],[suero_litros]]*Tabla1[[#This Row],[suero_grasa_g_l]]/1000</f>
        <v>0</v>
      </c>
      <c r="AA303" s="7">
        <f>Tabla1[[#This Row],[suero_litros]]*Tabla1[[#This Row],[suero_prot_g_l]]/1000</f>
        <v>0</v>
      </c>
      <c r="AB303" s="7">
        <f>Tabla1[[#This Row],[suero_est_g_l]]*Tabla1[[#This Row],[suero_litros]]/1000</f>
        <v>0</v>
      </c>
    </row>
    <row r="304" spans="1:28" x14ac:dyDescent="0.25">
      <c r="A304" s="1">
        <v>45593</v>
      </c>
      <c r="B304">
        <v>5418</v>
      </c>
      <c r="C304">
        <v>5260</v>
      </c>
      <c r="D304">
        <v>40.75</v>
      </c>
      <c r="E304">
        <v>35.6</v>
      </c>
      <c r="F304">
        <v>5020</v>
      </c>
      <c r="G304">
        <v>39.659999999999997</v>
      </c>
      <c r="H304">
        <v>34.15</v>
      </c>
      <c r="I304">
        <v>4837</v>
      </c>
      <c r="J304">
        <v>623.25</v>
      </c>
      <c r="K304">
        <v>52.86</v>
      </c>
      <c r="L304">
        <v>26.87</v>
      </c>
      <c r="M304">
        <v>4436</v>
      </c>
      <c r="N304">
        <v>7.01</v>
      </c>
      <c r="O304">
        <v>5.94</v>
      </c>
      <c r="P304">
        <v>63.73</v>
      </c>
      <c r="Q304">
        <f>Tabla1[[#This Row],[entrada_litros]]*Tabla1[[#This Row],[entrada_grasa_g_l]]/1000</f>
        <v>214.345</v>
      </c>
      <c r="R304">
        <f>Tabla1[[#This Row],[entrada_prot_g_l]]*Tabla1[[#This Row],[entrada_litros]]/1000</f>
        <v>187.256</v>
      </c>
      <c r="S304">
        <f>Tabla1[[#This Row],[cuba_fab_litros]]*Tabla1[[#This Row],[cuba_fab_grasa_g_l]]/1000</f>
        <v>199.0932</v>
      </c>
      <c r="T304">
        <f>Tabla1[[#This Row],[cuba_fab_litros]]*Tabla1[[#This Row],[cuba_fab_prot_g_l]]/1000</f>
        <v>171.43299999999999</v>
      </c>
      <c r="U304">
        <f>Tabla1[[#This Row],[queso_kg]]*Tabla1[[#This Row],[queso_est_pct]]/100</f>
        <v>329.44995</v>
      </c>
      <c r="V304">
        <f>Tabla1[[#This Row],[queso_kg]]*Tabla1[[#This Row],[queso_mg_pct]]/100</f>
        <v>167.467275</v>
      </c>
      <c r="W304">
        <f>Tabla1[[#This Row],[queso_est_kg]]-Tabla1[[#This Row],[queso_mg_kg]]</f>
        <v>161.982675</v>
      </c>
      <c r="X304">
        <f>_xlfn.ISOWEEKNUM(Tabla1[[#This Row],[fecha]])</f>
        <v>44</v>
      </c>
      <c r="Y304">
        <v>44</v>
      </c>
      <c r="Z304" s="7">
        <f>Tabla1[[#This Row],[suero_litros]]*Tabla1[[#This Row],[suero_grasa_g_l]]/1000</f>
        <v>31.096360000000001</v>
      </c>
      <c r="AA304" s="7">
        <f>Tabla1[[#This Row],[suero_litros]]*Tabla1[[#This Row],[suero_prot_g_l]]/1000</f>
        <v>26.34984</v>
      </c>
      <c r="AB304" s="7">
        <f>Tabla1[[#This Row],[suero_est_g_l]]*Tabla1[[#This Row],[suero_litros]]/1000</f>
        <v>282.70627999999999</v>
      </c>
    </row>
    <row r="305" spans="1:28" x14ac:dyDescent="0.25">
      <c r="A305" s="1">
        <v>45594</v>
      </c>
      <c r="B305">
        <v>5326</v>
      </c>
      <c r="C305">
        <v>5171</v>
      </c>
      <c r="D305">
        <v>42.69</v>
      </c>
      <c r="E305">
        <v>35.04</v>
      </c>
      <c r="F305">
        <v>5027</v>
      </c>
      <c r="G305">
        <v>40.270000000000003</v>
      </c>
      <c r="H305">
        <v>34.08</v>
      </c>
      <c r="I305">
        <v>5008</v>
      </c>
      <c r="J305">
        <v>629.85</v>
      </c>
      <c r="K305">
        <v>52.47</v>
      </c>
      <c r="L305">
        <v>26.2</v>
      </c>
      <c r="M305">
        <v>4437</v>
      </c>
      <c r="N305">
        <v>8.33</v>
      </c>
      <c r="O305">
        <v>5.77</v>
      </c>
      <c r="P305">
        <v>65.78</v>
      </c>
      <c r="Q305">
        <f>Tabla1[[#This Row],[entrada_litros]]*Tabla1[[#This Row],[entrada_grasa_g_l]]/1000</f>
        <v>220.74999</v>
      </c>
      <c r="R305">
        <f>Tabla1[[#This Row],[entrada_prot_g_l]]*Tabla1[[#This Row],[entrada_litros]]/1000</f>
        <v>181.19183999999998</v>
      </c>
      <c r="S305">
        <f>Tabla1[[#This Row],[cuba_fab_litros]]*Tabla1[[#This Row],[cuba_fab_grasa_g_l]]/1000</f>
        <v>202.43729000000002</v>
      </c>
      <c r="T305">
        <f>Tabla1[[#This Row],[cuba_fab_litros]]*Tabla1[[#This Row],[cuba_fab_prot_g_l]]/1000</f>
        <v>171.32016000000002</v>
      </c>
      <c r="U305">
        <f>Tabla1[[#This Row],[queso_kg]]*Tabla1[[#This Row],[queso_est_pct]]/100</f>
        <v>330.48229500000002</v>
      </c>
      <c r="V305">
        <f>Tabla1[[#This Row],[queso_kg]]*Tabla1[[#This Row],[queso_mg_pct]]/100</f>
        <v>165.02070000000001</v>
      </c>
      <c r="W305">
        <f>Tabla1[[#This Row],[queso_est_kg]]-Tabla1[[#This Row],[queso_mg_kg]]</f>
        <v>165.46159500000002</v>
      </c>
      <c r="X305">
        <f>_xlfn.ISOWEEKNUM(Tabla1[[#This Row],[fecha]])</f>
        <v>44</v>
      </c>
      <c r="Y305">
        <v>44</v>
      </c>
      <c r="Z305" s="7">
        <f>Tabla1[[#This Row],[suero_litros]]*Tabla1[[#This Row],[suero_grasa_g_l]]/1000</f>
        <v>36.960209999999996</v>
      </c>
      <c r="AA305" s="7">
        <f>Tabla1[[#This Row],[suero_litros]]*Tabla1[[#This Row],[suero_prot_g_l]]/1000</f>
        <v>25.601489999999998</v>
      </c>
      <c r="AB305" s="7">
        <f>Tabla1[[#This Row],[suero_est_g_l]]*Tabla1[[#This Row],[suero_litros]]/1000</f>
        <v>291.86586</v>
      </c>
    </row>
    <row r="306" spans="1:28" x14ac:dyDescent="0.25">
      <c r="A306" s="1">
        <v>45595</v>
      </c>
      <c r="B306">
        <v>5150</v>
      </c>
      <c r="C306">
        <v>5000</v>
      </c>
      <c r="D306">
        <v>37.36</v>
      </c>
      <c r="E306">
        <v>35.200000000000003</v>
      </c>
      <c r="F306">
        <v>5031</v>
      </c>
      <c r="G306">
        <v>37.99</v>
      </c>
      <c r="H306">
        <v>33.92</v>
      </c>
      <c r="I306">
        <v>5008</v>
      </c>
      <c r="J306">
        <v>637.97</v>
      </c>
      <c r="K306">
        <v>50.92</v>
      </c>
      <c r="L306">
        <v>26.47</v>
      </c>
      <c r="M306">
        <v>4433</v>
      </c>
      <c r="N306">
        <v>4.91</v>
      </c>
      <c r="O306">
        <v>6.2</v>
      </c>
      <c r="P306">
        <v>62.74</v>
      </c>
      <c r="Q306">
        <f>Tabla1[[#This Row],[entrada_litros]]*Tabla1[[#This Row],[entrada_grasa_g_l]]/1000</f>
        <v>186.8</v>
      </c>
      <c r="R306">
        <f>Tabla1[[#This Row],[entrada_prot_g_l]]*Tabla1[[#This Row],[entrada_litros]]/1000</f>
        <v>176</v>
      </c>
      <c r="S306">
        <f>Tabla1[[#This Row],[cuba_fab_litros]]*Tabla1[[#This Row],[cuba_fab_grasa_g_l]]/1000</f>
        <v>191.12769</v>
      </c>
      <c r="T306">
        <f>Tabla1[[#This Row],[cuba_fab_litros]]*Tabla1[[#This Row],[cuba_fab_prot_g_l]]/1000</f>
        <v>170.65152</v>
      </c>
      <c r="U306">
        <f>Tabla1[[#This Row],[queso_kg]]*Tabla1[[#This Row],[queso_est_pct]]/100</f>
        <v>324.85432400000002</v>
      </c>
      <c r="V306">
        <f>Tabla1[[#This Row],[queso_kg]]*Tabla1[[#This Row],[queso_mg_pct]]/100</f>
        <v>168.87065900000002</v>
      </c>
      <c r="W306">
        <f>Tabla1[[#This Row],[queso_est_kg]]-Tabla1[[#This Row],[queso_mg_kg]]</f>
        <v>155.983665</v>
      </c>
      <c r="X306">
        <f>_xlfn.ISOWEEKNUM(Tabla1[[#This Row],[fecha]])</f>
        <v>44</v>
      </c>
      <c r="Y306">
        <v>44</v>
      </c>
      <c r="Z306" s="7">
        <f>Tabla1[[#This Row],[suero_litros]]*Tabla1[[#This Row],[suero_grasa_g_l]]/1000</f>
        <v>21.766029999999997</v>
      </c>
      <c r="AA306" s="7">
        <f>Tabla1[[#This Row],[suero_litros]]*Tabla1[[#This Row],[suero_prot_g_l]]/1000</f>
        <v>27.484600000000004</v>
      </c>
      <c r="AB306" s="7">
        <f>Tabla1[[#This Row],[suero_est_g_l]]*Tabla1[[#This Row],[suero_litros]]/1000</f>
        <v>278.12642</v>
      </c>
    </row>
    <row r="307" spans="1:28" x14ac:dyDescent="0.25">
      <c r="A307" s="1">
        <v>45596</v>
      </c>
      <c r="B307">
        <v>5034</v>
      </c>
      <c r="C307">
        <v>4887</v>
      </c>
      <c r="D307">
        <v>42.64</v>
      </c>
      <c r="E307">
        <v>33.659999999999997</v>
      </c>
      <c r="F307">
        <v>5031</v>
      </c>
      <c r="G307">
        <v>39.11</v>
      </c>
      <c r="H307">
        <v>32.94</v>
      </c>
      <c r="I307">
        <v>4895</v>
      </c>
      <c r="J307">
        <v>642.36</v>
      </c>
      <c r="K307">
        <v>50.89</v>
      </c>
      <c r="L307">
        <v>26.89</v>
      </c>
      <c r="M307">
        <v>4429</v>
      </c>
      <c r="N307">
        <v>5.28</v>
      </c>
      <c r="O307">
        <v>4.08</v>
      </c>
      <c r="P307">
        <v>58.18</v>
      </c>
      <c r="Q307">
        <f>Tabla1[[#This Row],[entrada_litros]]*Tabla1[[#This Row],[entrada_grasa_g_l]]/1000</f>
        <v>208.38167999999999</v>
      </c>
      <c r="R307">
        <f>Tabla1[[#This Row],[entrada_prot_g_l]]*Tabla1[[#This Row],[entrada_litros]]/1000</f>
        <v>164.49641999999997</v>
      </c>
      <c r="S307">
        <f>Tabla1[[#This Row],[cuba_fab_litros]]*Tabla1[[#This Row],[cuba_fab_grasa_g_l]]/1000</f>
        <v>196.76241000000002</v>
      </c>
      <c r="T307">
        <f>Tabla1[[#This Row],[cuba_fab_litros]]*Tabla1[[#This Row],[cuba_fab_prot_g_l]]/1000</f>
        <v>165.72113999999999</v>
      </c>
      <c r="U307">
        <f>Tabla1[[#This Row],[queso_kg]]*Tabla1[[#This Row],[queso_est_pct]]/100</f>
        <v>326.89700400000004</v>
      </c>
      <c r="V307">
        <f>Tabla1[[#This Row],[queso_kg]]*Tabla1[[#This Row],[queso_mg_pct]]/100</f>
        <v>172.73060400000003</v>
      </c>
      <c r="W307">
        <f>Tabla1[[#This Row],[queso_est_kg]]-Tabla1[[#This Row],[queso_mg_kg]]</f>
        <v>154.16640000000001</v>
      </c>
      <c r="X307">
        <f>_xlfn.ISOWEEKNUM(Tabla1[[#This Row],[fecha]])</f>
        <v>44</v>
      </c>
      <c r="Y307">
        <v>44</v>
      </c>
      <c r="Z307" s="7">
        <f>Tabla1[[#This Row],[suero_litros]]*Tabla1[[#This Row],[suero_grasa_g_l]]/1000</f>
        <v>23.385120000000004</v>
      </c>
      <c r="AA307" s="7">
        <f>Tabla1[[#This Row],[suero_litros]]*Tabla1[[#This Row],[suero_prot_g_l]]/1000</f>
        <v>18.070319999999999</v>
      </c>
      <c r="AB307" s="7">
        <f>Tabla1[[#This Row],[suero_est_g_l]]*Tabla1[[#This Row],[suero_litros]]/1000</f>
        <v>257.67921999999999</v>
      </c>
    </row>
    <row r="308" spans="1:28" x14ac:dyDescent="0.25">
      <c r="A308" s="1">
        <v>45597</v>
      </c>
      <c r="B308">
        <v>0</v>
      </c>
      <c r="C308">
        <v>0</v>
      </c>
      <c r="D308">
        <v>0</v>
      </c>
      <c r="E308">
        <v>0</v>
      </c>
      <c r="F308">
        <v>4926</v>
      </c>
      <c r="G308">
        <v>39.03</v>
      </c>
      <c r="H308">
        <v>32.82</v>
      </c>
      <c r="I308">
        <v>0</v>
      </c>
      <c r="J308">
        <v>596.36</v>
      </c>
      <c r="K308">
        <v>50.41</v>
      </c>
      <c r="L308">
        <v>26.01</v>
      </c>
      <c r="M308">
        <v>4368</v>
      </c>
      <c r="N308">
        <v>8.3800000000000008</v>
      </c>
      <c r="O308">
        <v>4.0599999999999996</v>
      </c>
      <c r="P308">
        <v>63.27</v>
      </c>
      <c r="Q308">
        <f>Tabla1[[#This Row],[entrada_litros]]*Tabla1[[#This Row],[entrada_grasa_g_l]]/1000</f>
        <v>0</v>
      </c>
      <c r="R308">
        <f>Tabla1[[#This Row],[entrada_prot_g_l]]*Tabla1[[#This Row],[entrada_litros]]/1000</f>
        <v>0</v>
      </c>
      <c r="S308">
        <f>Tabla1[[#This Row],[cuba_fab_litros]]*Tabla1[[#This Row],[cuba_fab_grasa_g_l]]/1000</f>
        <v>192.26177999999999</v>
      </c>
      <c r="T308">
        <f>Tabla1[[#This Row],[cuba_fab_litros]]*Tabla1[[#This Row],[cuba_fab_prot_g_l]]/1000</f>
        <v>161.67132000000001</v>
      </c>
      <c r="U308">
        <f>Tabla1[[#This Row],[queso_kg]]*Tabla1[[#This Row],[queso_est_pct]]/100</f>
        <v>300.62507599999998</v>
      </c>
      <c r="V308">
        <f>Tabla1[[#This Row],[queso_kg]]*Tabla1[[#This Row],[queso_mg_pct]]/100</f>
        <v>155.11323600000003</v>
      </c>
      <c r="W308">
        <f>Tabla1[[#This Row],[queso_est_kg]]-Tabla1[[#This Row],[queso_mg_kg]]</f>
        <v>145.51183999999995</v>
      </c>
      <c r="X308">
        <f>_xlfn.ISOWEEKNUM(Tabla1[[#This Row],[fecha]])</f>
        <v>44</v>
      </c>
      <c r="Y308">
        <v>44</v>
      </c>
      <c r="Z308" s="7">
        <f>Tabla1[[#This Row],[suero_litros]]*Tabla1[[#This Row],[suero_grasa_g_l]]/1000</f>
        <v>36.603840000000005</v>
      </c>
      <c r="AA308" s="7">
        <f>Tabla1[[#This Row],[suero_litros]]*Tabla1[[#This Row],[suero_prot_g_l]]/1000</f>
        <v>17.734079999999999</v>
      </c>
      <c r="AB308" s="7">
        <f>Tabla1[[#This Row],[suero_est_g_l]]*Tabla1[[#This Row],[suero_litros]]/1000</f>
        <v>276.36336</v>
      </c>
    </row>
    <row r="309" spans="1:28" x14ac:dyDescent="0.25">
      <c r="A309" s="1">
        <v>45598</v>
      </c>
      <c r="B309">
        <v>0</v>
      </c>
      <c r="C309">
        <v>0</v>
      </c>
      <c r="D309">
        <v>0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f>Tabla1[[#This Row],[entrada_litros]]*Tabla1[[#This Row],[entrada_grasa_g_l]]/1000</f>
        <v>0</v>
      </c>
      <c r="R309">
        <f>Tabla1[[#This Row],[entrada_prot_g_l]]*Tabla1[[#This Row],[entrada_litros]]/1000</f>
        <v>0</v>
      </c>
      <c r="S309">
        <f>Tabla1[[#This Row],[cuba_fab_litros]]*Tabla1[[#This Row],[cuba_fab_grasa_g_l]]/1000</f>
        <v>0</v>
      </c>
      <c r="T309">
        <f>Tabla1[[#This Row],[cuba_fab_litros]]*Tabla1[[#This Row],[cuba_fab_prot_g_l]]/1000</f>
        <v>0</v>
      </c>
      <c r="U309">
        <f>Tabla1[[#This Row],[queso_kg]]*Tabla1[[#This Row],[queso_est_pct]]/100</f>
        <v>0</v>
      </c>
      <c r="V309">
        <f>Tabla1[[#This Row],[queso_kg]]*Tabla1[[#This Row],[queso_mg_pct]]/100</f>
        <v>0</v>
      </c>
      <c r="W309">
        <f>Tabla1[[#This Row],[queso_est_kg]]-Tabla1[[#This Row],[queso_mg_kg]]</f>
        <v>0</v>
      </c>
      <c r="X309">
        <f>_xlfn.ISOWEEKNUM(Tabla1[[#This Row],[fecha]])</f>
        <v>44</v>
      </c>
      <c r="Y309">
        <v>44</v>
      </c>
      <c r="Z309" s="7">
        <f>Tabla1[[#This Row],[suero_litros]]*Tabla1[[#This Row],[suero_grasa_g_l]]/1000</f>
        <v>0</v>
      </c>
      <c r="AA309" s="7">
        <f>Tabla1[[#This Row],[suero_litros]]*Tabla1[[#This Row],[suero_prot_g_l]]/1000</f>
        <v>0</v>
      </c>
      <c r="AB309" s="7">
        <f>Tabla1[[#This Row],[suero_est_g_l]]*Tabla1[[#This Row],[suero_litros]]/1000</f>
        <v>0</v>
      </c>
    </row>
    <row r="310" spans="1:28" x14ac:dyDescent="0.25">
      <c r="A310" s="1">
        <v>45599</v>
      </c>
      <c r="B310">
        <v>5186</v>
      </c>
      <c r="C310">
        <v>5035</v>
      </c>
      <c r="D310">
        <v>40.5</v>
      </c>
      <c r="E310">
        <v>34.229999999999997</v>
      </c>
      <c r="F310">
        <v>0</v>
      </c>
      <c r="G310">
        <v>0</v>
      </c>
      <c r="H310">
        <v>0</v>
      </c>
      <c r="I310">
        <v>5035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f>Tabla1[[#This Row],[entrada_litros]]*Tabla1[[#This Row],[entrada_grasa_g_l]]/1000</f>
        <v>203.91749999999999</v>
      </c>
      <c r="R310">
        <f>Tabla1[[#This Row],[entrada_prot_g_l]]*Tabla1[[#This Row],[entrada_litros]]/1000</f>
        <v>172.34805</v>
      </c>
      <c r="S310">
        <f>Tabla1[[#This Row],[cuba_fab_litros]]*Tabla1[[#This Row],[cuba_fab_grasa_g_l]]/1000</f>
        <v>0</v>
      </c>
      <c r="T310">
        <f>Tabla1[[#This Row],[cuba_fab_litros]]*Tabla1[[#This Row],[cuba_fab_prot_g_l]]/1000</f>
        <v>0</v>
      </c>
      <c r="U310">
        <f>Tabla1[[#This Row],[queso_kg]]*Tabla1[[#This Row],[queso_est_pct]]/100</f>
        <v>0</v>
      </c>
      <c r="V310">
        <f>Tabla1[[#This Row],[queso_kg]]*Tabla1[[#This Row],[queso_mg_pct]]/100</f>
        <v>0</v>
      </c>
      <c r="W310">
        <f>Tabla1[[#This Row],[queso_est_kg]]-Tabla1[[#This Row],[queso_mg_kg]]</f>
        <v>0</v>
      </c>
      <c r="X310">
        <f>_xlfn.ISOWEEKNUM(Tabla1[[#This Row],[fecha]])</f>
        <v>44</v>
      </c>
      <c r="Y310">
        <v>45</v>
      </c>
      <c r="Z310" s="7">
        <f>Tabla1[[#This Row],[suero_litros]]*Tabla1[[#This Row],[suero_grasa_g_l]]/1000</f>
        <v>0</v>
      </c>
      <c r="AA310" s="7">
        <f>Tabla1[[#This Row],[suero_litros]]*Tabla1[[#This Row],[suero_prot_g_l]]/1000</f>
        <v>0</v>
      </c>
      <c r="AB310" s="7">
        <f>Tabla1[[#This Row],[suero_est_g_l]]*Tabla1[[#This Row],[suero_litros]]/1000</f>
        <v>0</v>
      </c>
    </row>
    <row r="311" spans="1:28" x14ac:dyDescent="0.25">
      <c r="A311" s="1">
        <v>45600</v>
      </c>
      <c r="B311">
        <v>5391</v>
      </c>
      <c r="C311">
        <v>5234</v>
      </c>
      <c r="D311">
        <v>41.88</v>
      </c>
      <c r="E311">
        <v>37</v>
      </c>
      <c r="F311">
        <v>5013</v>
      </c>
      <c r="G311">
        <v>39.479999999999997</v>
      </c>
      <c r="H311">
        <v>34.020000000000003</v>
      </c>
      <c r="I311">
        <v>5269</v>
      </c>
      <c r="J311">
        <v>678.01</v>
      </c>
      <c r="K311">
        <v>49.66</v>
      </c>
      <c r="L311">
        <v>26.29</v>
      </c>
      <c r="M311">
        <v>4376</v>
      </c>
      <c r="N311">
        <v>4.4400000000000004</v>
      </c>
      <c r="O311">
        <v>3.7</v>
      </c>
      <c r="P311">
        <v>59.41</v>
      </c>
      <c r="Q311">
        <f>Tabla1[[#This Row],[entrada_litros]]*Tabla1[[#This Row],[entrada_grasa_g_l]]/1000</f>
        <v>219.19992000000002</v>
      </c>
      <c r="R311">
        <f>Tabla1[[#This Row],[entrada_prot_g_l]]*Tabla1[[#This Row],[entrada_litros]]/1000</f>
        <v>193.65799999999999</v>
      </c>
      <c r="S311">
        <f>Tabla1[[#This Row],[cuba_fab_litros]]*Tabla1[[#This Row],[cuba_fab_grasa_g_l]]/1000</f>
        <v>197.91324</v>
      </c>
      <c r="T311">
        <f>Tabla1[[#This Row],[cuba_fab_litros]]*Tabla1[[#This Row],[cuba_fab_prot_g_l]]/1000</f>
        <v>170.54226</v>
      </c>
      <c r="U311">
        <f>Tabla1[[#This Row],[queso_kg]]*Tabla1[[#This Row],[queso_est_pct]]/100</f>
        <v>336.69976599999995</v>
      </c>
      <c r="V311">
        <f>Tabla1[[#This Row],[queso_kg]]*Tabla1[[#This Row],[queso_mg_pct]]/100</f>
        <v>178.248829</v>
      </c>
      <c r="W311">
        <f>Tabla1[[#This Row],[queso_est_kg]]-Tabla1[[#This Row],[queso_mg_kg]]</f>
        <v>158.45093699999995</v>
      </c>
      <c r="X311">
        <f>_xlfn.ISOWEEKNUM(Tabla1[[#This Row],[fecha]])</f>
        <v>45</v>
      </c>
      <c r="Y311">
        <v>45</v>
      </c>
      <c r="Z311" s="7">
        <f>Tabla1[[#This Row],[suero_litros]]*Tabla1[[#This Row],[suero_grasa_g_l]]/1000</f>
        <v>19.429440000000003</v>
      </c>
      <c r="AA311" s="7">
        <f>Tabla1[[#This Row],[suero_litros]]*Tabla1[[#This Row],[suero_prot_g_l]]/1000</f>
        <v>16.191200000000002</v>
      </c>
      <c r="AB311" s="7">
        <f>Tabla1[[#This Row],[suero_est_g_l]]*Tabla1[[#This Row],[suero_litros]]/1000</f>
        <v>259.97816</v>
      </c>
    </row>
    <row r="312" spans="1:28" x14ac:dyDescent="0.25">
      <c r="A312" s="1">
        <v>45601</v>
      </c>
      <c r="B312">
        <v>5754</v>
      </c>
      <c r="C312">
        <v>5586</v>
      </c>
      <c r="D312">
        <v>42.44</v>
      </c>
      <c r="E312">
        <v>35.869999999999997</v>
      </c>
      <c r="F312">
        <v>5029</v>
      </c>
      <c r="G312">
        <v>39.96</v>
      </c>
      <c r="H312">
        <v>34.01</v>
      </c>
      <c r="I312">
        <v>5855</v>
      </c>
      <c r="J312">
        <v>629.32000000000005</v>
      </c>
      <c r="K312">
        <v>49.14</v>
      </c>
      <c r="L312">
        <v>26.47</v>
      </c>
      <c r="M312">
        <v>4440</v>
      </c>
      <c r="N312">
        <v>7.59</v>
      </c>
      <c r="O312">
        <v>6.02</v>
      </c>
      <c r="P312">
        <v>64.33</v>
      </c>
      <c r="Q312">
        <f>Tabla1[[#This Row],[entrada_litros]]*Tabla1[[#This Row],[entrada_grasa_g_l]]/1000</f>
        <v>237.06984</v>
      </c>
      <c r="R312">
        <f>Tabla1[[#This Row],[entrada_prot_g_l]]*Tabla1[[#This Row],[entrada_litros]]/1000</f>
        <v>200.36981999999998</v>
      </c>
      <c r="S312">
        <f>Tabla1[[#This Row],[cuba_fab_litros]]*Tabla1[[#This Row],[cuba_fab_grasa_g_l]]/1000</f>
        <v>200.95884000000001</v>
      </c>
      <c r="T312">
        <f>Tabla1[[#This Row],[cuba_fab_litros]]*Tabla1[[#This Row],[cuba_fab_prot_g_l]]/1000</f>
        <v>171.03628999999998</v>
      </c>
      <c r="U312">
        <f>Tabla1[[#This Row],[queso_kg]]*Tabla1[[#This Row],[queso_est_pct]]/100</f>
        <v>309.24784800000003</v>
      </c>
      <c r="V312">
        <f>Tabla1[[#This Row],[queso_kg]]*Tabla1[[#This Row],[queso_mg_pct]]/100</f>
        <v>166.58100400000001</v>
      </c>
      <c r="W312">
        <f>Tabla1[[#This Row],[queso_est_kg]]-Tabla1[[#This Row],[queso_mg_kg]]</f>
        <v>142.66684400000003</v>
      </c>
      <c r="X312">
        <f>_xlfn.ISOWEEKNUM(Tabla1[[#This Row],[fecha]])</f>
        <v>45</v>
      </c>
      <c r="Y312">
        <v>45</v>
      </c>
      <c r="Z312" s="7">
        <f>Tabla1[[#This Row],[suero_litros]]*Tabla1[[#This Row],[suero_grasa_g_l]]/1000</f>
        <v>33.699599999999997</v>
      </c>
      <c r="AA312" s="7">
        <f>Tabla1[[#This Row],[suero_litros]]*Tabla1[[#This Row],[suero_prot_g_l]]/1000</f>
        <v>26.7288</v>
      </c>
      <c r="AB312" s="7">
        <f>Tabla1[[#This Row],[suero_est_g_l]]*Tabla1[[#This Row],[suero_litros]]/1000</f>
        <v>285.62520000000001</v>
      </c>
    </row>
    <row r="313" spans="1:28" x14ac:dyDescent="0.25">
      <c r="A313" s="1">
        <v>45602</v>
      </c>
      <c r="B313">
        <v>5180</v>
      </c>
      <c r="C313">
        <v>5029</v>
      </c>
      <c r="D313">
        <v>42.98</v>
      </c>
      <c r="E313">
        <v>35.25</v>
      </c>
      <c r="F313">
        <v>5018</v>
      </c>
      <c r="G313">
        <v>40.49</v>
      </c>
      <c r="H313">
        <v>33.85</v>
      </c>
      <c r="I313">
        <v>5884</v>
      </c>
      <c r="J313">
        <v>612.58000000000004</v>
      </c>
      <c r="K313">
        <v>52.52</v>
      </c>
      <c r="L313">
        <v>27.19</v>
      </c>
      <c r="M313">
        <v>4445</v>
      </c>
      <c r="N313">
        <v>8.08</v>
      </c>
      <c r="O313">
        <v>7.43</v>
      </c>
      <c r="P313">
        <v>66.459999999999994</v>
      </c>
      <c r="Q313">
        <f>Tabla1[[#This Row],[entrada_litros]]*Tabla1[[#This Row],[entrada_grasa_g_l]]/1000</f>
        <v>216.14641999999998</v>
      </c>
      <c r="R313">
        <f>Tabla1[[#This Row],[entrada_prot_g_l]]*Tabla1[[#This Row],[entrada_litros]]/1000</f>
        <v>177.27225000000001</v>
      </c>
      <c r="S313">
        <f>Tabla1[[#This Row],[cuba_fab_litros]]*Tabla1[[#This Row],[cuba_fab_grasa_g_l]]/1000</f>
        <v>203.17882</v>
      </c>
      <c r="T313">
        <f>Tabla1[[#This Row],[cuba_fab_litros]]*Tabla1[[#This Row],[cuba_fab_prot_g_l]]/1000</f>
        <v>169.85930000000002</v>
      </c>
      <c r="U313">
        <f>Tabla1[[#This Row],[queso_kg]]*Tabla1[[#This Row],[queso_est_pct]]/100</f>
        <v>321.72701600000005</v>
      </c>
      <c r="V313">
        <f>Tabla1[[#This Row],[queso_kg]]*Tabla1[[#This Row],[queso_mg_pct]]/100</f>
        <v>166.56050200000001</v>
      </c>
      <c r="W313">
        <f>Tabla1[[#This Row],[queso_est_kg]]-Tabla1[[#This Row],[queso_mg_kg]]</f>
        <v>155.16651400000003</v>
      </c>
      <c r="X313">
        <f>_xlfn.ISOWEEKNUM(Tabla1[[#This Row],[fecha]])</f>
        <v>45</v>
      </c>
      <c r="Y313">
        <v>45</v>
      </c>
      <c r="Z313" s="7">
        <f>Tabla1[[#This Row],[suero_litros]]*Tabla1[[#This Row],[suero_grasa_g_l]]/1000</f>
        <v>35.915599999999998</v>
      </c>
      <c r="AA313" s="7">
        <f>Tabla1[[#This Row],[suero_litros]]*Tabla1[[#This Row],[suero_prot_g_l]]/1000</f>
        <v>33.026350000000001</v>
      </c>
      <c r="AB313" s="7">
        <f>Tabla1[[#This Row],[suero_est_g_l]]*Tabla1[[#This Row],[suero_litros]]/1000</f>
        <v>295.41469999999993</v>
      </c>
    </row>
    <row r="314" spans="1:28" x14ac:dyDescent="0.25">
      <c r="A314" s="1">
        <v>45603</v>
      </c>
      <c r="B314">
        <v>5096</v>
      </c>
      <c r="C314">
        <v>4948</v>
      </c>
      <c r="D314">
        <v>41.43</v>
      </c>
      <c r="E314">
        <v>34.9</v>
      </c>
      <c r="F314">
        <v>5017</v>
      </c>
      <c r="G314">
        <v>40.01</v>
      </c>
      <c r="H314">
        <v>33.9</v>
      </c>
      <c r="I314">
        <v>5832</v>
      </c>
      <c r="J314">
        <v>669.31</v>
      </c>
      <c r="K314">
        <v>52.11</v>
      </c>
      <c r="L314">
        <v>27.37</v>
      </c>
      <c r="M314">
        <v>4388</v>
      </c>
      <c r="N314">
        <v>3.96</v>
      </c>
      <c r="O314">
        <v>3.69</v>
      </c>
      <c r="P314">
        <v>58.75</v>
      </c>
      <c r="Q314">
        <f>Tabla1[[#This Row],[entrada_litros]]*Tabla1[[#This Row],[entrada_grasa_g_l]]/1000</f>
        <v>204.99563999999998</v>
      </c>
      <c r="R314">
        <f>Tabla1[[#This Row],[entrada_prot_g_l]]*Tabla1[[#This Row],[entrada_litros]]/1000</f>
        <v>172.68519999999998</v>
      </c>
      <c r="S314">
        <f>Tabla1[[#This Row],[cuba_fab_litros]]*Tabla1[[#This Row],[cuba_fab_grasa_g_l]]/1000</f>
        <v>200.73016999999999</v>
      </c>
      <c r="T314">
        <f>Tabla1[[#This Row],[cuba_fab_litros]]*Tabla1[[#This Row],[cuba_fab_prot_g_l]]/1000</f>
        <v>170.07629999999997</v>
      </c>
      <c r="U314">
        <f>Tabla1[[#This Row],[queso_kg]]*Tabla1[[#This Row],[queso_est_pct]]/100</f>
        <v>348.77744099999995</v>
      </c>
      <c r="V314">
        <f>Tabla1[[#This Row],[queso_kg]]*Tabla1[[#This Row],[queso_mg_pct]]/100</f>
        <v>183.190147</v>
      </c>
      <c r="W314">
        <f>Tabla1[[#This Row],[queso_est_kg]]-Tabla1[[#This Row],[queso_mg_kg]]</f>
        <v>165.58729399999996</v>
      </c>
      <c r="X314">
        <f>_xlfn.ISOWEEKNUM(Tabla1[[#This Row],[fecha]])</f>
        <v>45</v>
      </c>
      <c r="Y314">
        <v>45</v>
      </c>
      <c r="Z314" s="7">
        <f>Tabla1[[#This Row],[suero_litros]]*Tabla1[[#This Row],[suero_grasa_g_l]]/1000</f>
        <v>17.376480000000001</v>
      </c>
      <c r="AA314" s="7">
        <f>Tabla1[[#This Row],[suero_litros]]*Tabla1[[#This Row],[suero_prot_g_l]]/1000</f>
        <v>16.19172</v>
      </c>
      <c r="AB314" s="7">
        <f>Tabla1[[#This Row],[suero_est_g_l]]*Tabla1[[#This Row],[suero_litros]]/1000</f>
        <v>257.79500000000002</v>
      </c>
    </row>
    <row r="315" spans="1:28" x14ac:dyDescent="0.25">
      <c r="A315" s="1">
        <v>45604</v>
      </c>
      <c r="B315">
        <v>0</v>
      </c>
      <c r="C315">
        <v>0</v>
      </c>
      <c r="D315">
        <v>0</v>
      </c>
      <c r="E315">
        <v>0</v>
      </c>
      <c r="F315">
        <v>5856</v>
      </c>
      <c r="G315">
        <v>40.25</v>
      </c>
      <c r="H315">
        <v>33.96</v>
      </c>
      <c r="I315">
        <v>0</v>
      </c>
      <c r="J315">
        <v>725.74</v>
      </c>
      <c r="K315">
        <v>50.33</v>
      </c>
      <c r="L315">
        <v>26.18</v>
      </c>
      <c r="M315">
        <v>5177</v>
      </c>
      <c r="N315">
        <v>8.66</v>
      </c>
      <c r="O315">
        <v>6.09</v>
      </c>
      <c r="P315">
        <v>66.22</v>
      </c>
      <c r="Q315">
        <f>Tabla1[[#This Row],[entrada_litros]]*Tabla1[[#This Row],[entrada_grasa_g_l]]/1000</f>
        <v>0</v>
      </c>
      <c r="R315">
        <f>Tabla1[[#This Row],[entrada_prot_g_l]]*Tabla1[[#This Row],[entrada_litros]]/1000</f>
        <v>0</v>
      </c>
      <c r="S315">
        <f>Tabla1[[#This Row],[cuba_fab_litros]]*Tabla1[[#This Row],[cuba_fab_grasa_g_l]]/1000</f>
        <v>235.70400000000001</v>
      </c>
      <c r="T315">
        <f>Tabla1[[#This Row],[cuba_fab_litros]]*Tabla1[[#This Row],[cuba_fab_prot_g_l]]/1000</f>
        <v>198.86976000000001</v>
      </c>
      <c r="U315">
        <f>Tabla1[[#This Row],[queso_kg]]*Tabla1[[#This Row],[queso_est_pct]]/100</f>
        <v>365.26494200000002</v>
      </c>
      <c r="V315">
        <f>Tabla1[[#This Row],[queso_kg]]*Tabla1[[#This Row],[queso_mg_pct]]/100</f>
        <v>189.99873200000002</v>
      </c>
      <c r="W315">
        <f>Tabla1[[#This Row],[queso_est_kg]]-Tabla1[[#This Row],[queso_mg_kg]]</f>
        <v>175.26621</v>
      </c>
      <c r="X315">
        <f>_xlfn.ISOWEEKNUM(Tabla1[[#This Row],[fecha]])</f>
        <v>45</v>
      </c>
      <c r="Y315">
        <v>45</v>
      </c>
      <c r="Z315" s="7">
        <f>Tabla1[[#This Row],[suero_litros]]*Tabla1[[#This Row],[suero_grasa_g_l]]/1000</f>
        <v>44.832819999999998</v>
      </c>
      <c r="AA315" s="7">
        <f>Tabla1[[#This Row],[suero_litros]]*Tabla1[[#This Row],[suero_prot_g_l]]/1000</f>
        <v>31.527930000000001</v>
      </c>
      <c r="AB315" s="7">
        <f>Tabla1[[#This Row],[suero_est_g_l]]*Tabla1[[#This Row],[suero_litros]]/1000</f>
        <v>342.82094000000001</v>
      </c>
    </row>
    <row r="316" spans="1:28" x14ac:dyDescent="0.25">
      <c r="A316" s="1">
        <v>45605</v>
      </c>
      <c r="B316">
        <v>0</v>
      </c>
      <c r="C316">
        <v>0</v>
      </c>
      <c r="D316">
        <v>0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f>Tabla1[[#This Row],[entrada_litros]]*Tabla1[[#This Row],[entrada_grasa_g_l]]/1000</f>
        <v>0</v>
      </c>
      <c r="R316">
        <f>Tabla1[[#This Row],[entrada_prot_g_l]]*Tabla1[[#This Row],[entrada_litros]]/1000</f>
        <v>0</v>
      </c>
      <c r="S316">
        <f>Tabla1[[#This Row],[cuba_fab_litros]]*Tabla1[[#This Row],[cuba_fab_grasa_g_l]]/1000</f>
        <v>0</v>
      </c>
      <c r="T316">
        <f>Tabla1[[#This Row],[cuba_fab_litros]]*Tabla1[[#This Row],[cuba_fab_prot_g_l]]/1000</f>
        <v>0</v>
      </c>
      <c r="U316">
        <f>Tabla1[[#This Row],[queso_kg]]*Tabla1[[#This Row],[queso_est_pct]]/100</f>
        <v>0</v>
      </c>
      <c r="V316">
        <f>Tabla1[[#This Row],[queso_kg]]*Tabla1[[#This Row],[queso_mg_pct]]/100</f>
        <v>0</v>
      </c>
      <c r="W316">
        <f>Tabla1[[#This Row],[queso_est_kg]]-Tabla1[[#This Row],[queso_mg_kg]]</f>
        <v>0</v>
      </c>
      <c r="X316">
        <f>_xlfn.ISOWEEKNUM(Tabla1[[#This Row],[fecha]])</f>
        <v>45</v>
      </c>
      <c r="Y316">
        <v>45</v>
      </c>
      <c r="Z316" s="7">
        <f>Tabla1[[#This Row],[suero_litros]]*Tabla1[[#This Row],[suero_grasa_g_l]]/1000</f>
        <v>0</v>
      </c>
      <c r="AA316" s="7">
        <f>Tabla1[[#This Row],[suero_litros]]*Tabla1[[#This Row],[suero_prot_g_l]]/1000</f>
        <v>0</v>
      </c>
      <c r="AB316" s="7">
        <f>Tabla1[[#This Row],[suero_est_g_l]]*Tabla1[[#This Row],[suero_litros]]/1000</f>
        <v>0</v>
      </c>
    </row>
    <row r="317" spans="1:28" x14ac:dyDescent="0.25">
      <c r="A317" s="1">
        <v>45606</v>
      </c>
      <c r="B317">
        <v>5233</v>
      </c>
      <c r="C317">
        <v>5081</v>
      </c>
      <c r="D317">
        <v>40.479999999999997</v>
      </c>
      <c r="E317">
        <v>34.619999999999997</v>
      </c>
      <c r="F317">
        <v>0</v>
      </c>
      <c r="G317">
        <v>0</v>
      </c>
      <c r="H317">
        <v>0</v>
      </c>
      <c r="I317">
        <v>5081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f>Tabla1[[#This Row],[entrada_litros]]*Tabla1[[#This Row],[entrada_grasa_g_l]]/1000</f>
        <v>205.67887999999996</v>
      </c>
      <c r="R317">
        <f>Tabla1[[#This Row],[entrada_prot_g_l]]*Tabla1[[#This Row],[entrada_litros]]/1000</f>
        <v>175.90422000000001</v>
      </c>
      <c r="S317">
        <f>Tabla1[[#This Row],[cuba_fab_litros]]*Tabla1[[#This Row],[cuba_fab_grasa_g_l]]/1000</f>
        <v>0</v>
      </c>
      <c r="T317">
        <f>Tabla1[[#This Row],[cuba_fab_litros]]*Tabla1[[#This Row],[cuba_fab_prot_g_l]]/1000</f>
        <v>0</v>
      </c>
      <c r="U317">
        <f>Tabla1[[#This Row],[queso_kg]]*Tabla1[[#This Row],[queso_est_pct]]/100</f>
        <v>0</v>
      </c>
      <c r="V317">
        <f>Tabla1[[#This Row],[queso_kg]]*Tabla1[[#This Row],[queso_mg_pct]]/100</f>
        <v>0</v>
      </c>
      <c r="W317">
        <f>Tabla1[[#This Row],[queso_est_kg]]-Tabla1[[#This Row],[queso_mg_kg]]</f>
        <v>0</v>
      </c>
      <c r="X317">
        <f>_xlfn.ISOWEEKNUM(Tabla1[[#This Row],[fecha]])</f>
        <v>45</v>
      </c>
      <c r="Y317">
        <v>46</v>
      </c>
      <c r="Z317" s="7">
        <f>Tabla1[[#This Row],[suero_litros]]*Tabla1[[#This Row],[suero_grasa_g_l]]/1000</f>
        <v>0</v>
      </c>
      <c r="AA317" s="7">
        <f>Tabla1[[#This Row],[suero_litros]]*Tabla1[[#This Row],[suero_prot_g_l]]/1000</f>
        <v>0</v>
      </c>
      <c r="AB317" s="7">
        <f>Tabla1[[#This Row],[suero_est_g_l]]*Tabla1[[#This Row],[suero_litros]]/1000</f>
        <v>0</v>
      </c>
    </row>
    <row r="318" spans="1:28" x14ac:dyDescent="0.25">
      <c r="A318" s="1">
        <v>45607</v>
      </c>
      <c r="B318">
        <v>5475</v>
      </c>
      <c r="C318">
        <v>5316</v>
      </c>
      <c r="D318">
        <v>42.48</v>
      </c>
      <c r="E318">
        <v>34.520000000000003</v>
      </c>
      <c r="F318">
        <v>5031</v>
      </c>
      <c r="G318">
        <v>39.68</v>
      </c>
      <c r="H318">
        <v>32.93</v>
      </c>
      <c r="I318">
        <v>5397</v>
      </c>
      <c r="J318">
        <v>601.66</v>
      </c>
      <c r="K318">
        <v>50.97</v>
      </c>
      <c r="L318">
        <v>25.91</v>
      </c>
      <c r="M318">
        <v>4469</v>
      </c>
      <c r="N318">
        <v>9.58</v>
      </c>
      <c r="O318">
        <v>5.07</v>
      </c>
      <c r="P318">
        <v>66.27</v>
      </c>
      <c r="Q318">
        <f>Tabla1[[#This Row],[entrada_litros]]*Tabla1[[#This Row],[entrada_grasa_g_l]]/1000</f>
        <v>225.82368</v>
      </c>
      <c r="R318">
        <f>Tabla1[[#This Row],[entrada_prot_g_l]]*Tabla1[[#This Row],[entrada_litros]]/1000</f>
        <v>183.50832</v>
      </c>
      <c r="S318">
        <f>Tabla1[[#This Row],[cuba_fab_litros]]*Tabla1[[#This Row],[cuba_fab_grasa_g_l]]/1000</f>
        <v>199.63007999999999</v>
      </c>
      <c r="T318">
        <f>Tabla1[[#This Row],[cuba_fab_litros]]*Tabla1[[#This Row],[cuba_fab_prot_g_l]]/1000</f>
        <v>165.67083</v>
      </c>
      <c r="U318">
        <f>Tabla1[[#This Row],[queso_kg]]*Tabla1[[#This Row],[queso_est_pct]]/100</f>
        <v>306.66610199999997</v>
      </c>
      <c r="V318">
        <f>Tabla1[[#This Row],[queso_kg]]*Tabla1[[#This Row],[queso_mg_pct]]/100</f>
        <v>155.890106</v>
      </c>
      <c r="W318">
        <f>Tabla1[[#This Row],[queso_est_kg]]-Tabla1[[#This Row],[queso_mg_kg]]</f>
        <v>150.77599599999996</v>
      </c>
      <c r="X318">
        <f>_xlfn.ISOWEEKNUM(Tabla1[[#This Row],[fecha]])</f>
        <v>46</v>
      </c>
      <c r="Y318">
        <v>46</v>
      </c>
      <c r="Z318" s="7">
        <f>Tabla1[[#This Row],[suero_litros]]*Tabla1[[#This Row],[suero_grasa_g_l]]/1000</f>
        <v>42.813019999999995</v>
      </c>
      <c r="AA318" s="7">
        <f>Tabla1[[#This Row],[suero_litros]]*Tabla1[[#This Row],[suero_prot_g_l]]/1000</f>
        <v>22.657830000000001</v>
      </c>
      <c r="AB318" s="7">
        <f>Tabla1[[#This Row],[suero_est_g_l]]*Tabla1[[#This Row],[suero_litros]]/1000</f>
        <v>296.16063000000003</v>
      </c>
    </row>
    <row r="319" spans="1:28" x14ac:dyDescent="0.25">
      <c r="A319" s="1">
        <v>45608</v>
      </c>
      <c r="B319">
        <v>5508</v>
      </c>
      <c r="C319">
        <v>5348</v>
      </c>
      <c r="D319">
        <v>40.770000000000003</v>
      </c>
      <c r="E319">
        <v>35.85</v>
      </c>
      <c r="F319">
        <v>5019</v>
      </c>
      <c r="G319">
        <v>39.35</v>
      </c>
      <c r="H319">
        <v>33.94</v>
      </c>
      <c r="I319">
        <v>5745</v>
      </c>
      <c r="J319">
        <v>616.52</v>
      </c>
      <c r="K319">
        <v>52.79</v>
      </c>
      <c r="L319">
        <v>27.81</v>
      </c>
      <c r="M319">
        <v>4442</v>
      </c>
      <c r="N319">
        <v>5.76</v>
      </c>
      <c r="O319">
        <v>6.83</v>
      </c>
      <c r="P319">
        <v>63.78</v>
      </c>
      <c r="Q319">
        <f>Tabla1[[#This Row],[entrada_litros]]*Tabla1[[#This Row],[entrada_grasa_g_l]]/1000</f>
        <v>218.03796000000003</v>
      </c>
      <c r="R319">
        <f>Tabla1[[#This Row],[entrada_prot_g_l]]*Tabla1[[#This Row],[entrada_litros]]/1000</f>
        <v>191.72580000000002</v>
      </c>
      <c r="S319">
        <f>Tabla1[[#This Row],[cuba_fab_litros]]*Tabla1[[#This Row],[cuba_fab_grasa_g_l]]/1000</f>
        <v>197.49764999999999</v>
      </c>
      <c r="T319">
        <f>Tabla1[[#This Row],[cuba_fab_litros]]*Tabla1[[#This Row],[cuba_fab_prot_g_l]]/1000</f>
        <v>170.34485999999998</v>
      </c>
      <c r="U319">
        <f>Tabla1[[#This Row],[queso_kg]]*Tabla1[[#This Row],[queso_est_pct]]/100</f>
        <v>325.46090799999996</v>
      </c>
      <c r="V319">
        <f>Tabla1[[#This Row],[queso_kg]]*Tabla1[[#This Row],[queso_mg_pct]]/100</f>
        <v>171.45421199999998</v>
      </c>
      <c r="W319">
        <f>Tabla1[[#This Row],[queso_est_kg]]-Tabla1[[#This Row],[queso_mg_kg]]</f>
        <v>154.00669599999998</v>
      </c>
      <c r="X319">
        <f>_xlfn.ISOWEEKNUM(Tabla1[[#This Row],[fecha]])</f>
        <v>46</v>
      </c>
      <c r="Y319">
        <v>46</v>
      </c>
      <c r="Z319" s="7">
        <f>Tabla1[[#This Row],[suero_litros]]*Tabla1[[#This Row],[suero_grasa_g_l]]/1000</f>
        <v>25.585919999999998</v>
      </c>
      <c r="AA319" s="7">
        <f>Tabla1[[#This Row],[suero_litros]]*Tabla1[[#This Row],[suero_prot_g_l]]/1000</f>
        <v>30.33886</v>
      </c>
      <c r="AB319" s="7">
        <f>Tabla1[[#This Row],[suero_est_g_l]]*Tabla1[[#This Row],[suero_litros]]/1000</f>
        <v>283.31076000000002</v>
      </c>
    </row>
    <row r="320" spans="1:28" x14ac:dyDescent="0.25">
      <c r="A320" s="1">
        <v>45609</v>
      </c>
      <c r="B320">
        <v>5505</v>
      </c>
      <c r="C320">
        <v>5345</v>
      </c>
      <c r="D320">
        <v>39.97</v>
      </c>
      <c r="E320">
        <v>35.19</v>
      </c>
      <c r="F320">
        <v>5025</v>
      </c>
      <c r="G320">
        <v>38.61</v>
      </c>
      <c r="H320">
        <v>33.47</v>
      </c>
      <c r="I320">
        <v>6090</v>
      </c>
      <c r="J320">
        <v>612.72</v>
      </c>
      <c r="K320">
        <v>52.2</v>
      </c>
      <c r="L320">
        <v>27.41</v>
      </c>
      <c r="M320">
        <v>4452</v>
      </c>
      <c r="N320">
        <v>5.77</v>
      </c>
      <c r="O320">
        <v>5.82</v>
      </c>
      <c r="P320">
        <v>61.21</v>
      </c>
      <c r="Q320">
        <f>Tabla1[[#This Row],[entrada_litros]]*Tabla1[[#This Row],[entrada_grasa_g_l]]/1000</f>
        <v>213.63964999999999</v>
      </c>
      <c r="R320">
        <f>Tabla1[[#This Row],[entrada_prot_g_l]]*Tabla1[[#This Row],[entrada_litros]]/1000</f>
        <v>188.09054999999998</v>
      </c>
      <c r="S320">
        <f>Tabla1[[#This Row],[cuba_fab_litros]]*Tabla1[[#This Row],[cuba_fab_grasa_g_l]]/1000</f>
        <v>194.01525000000001</v>
      </c>
      <c r="T320">
        <f>Tabla1[[#This Row],[cuba_fab_litros]]*Tabla1[[#This Row],[cuba_fab_prot_g_l]]/1000</f>
        <v>168.18674999999999</v>
      </c>
      <c r="U320">
        <f>Tabla1[[#This Row],[queso_kg]]*Tabla1[[#This Row],[queso_est_pct]]/100</f>
        <v>319.83984000000004</v>
      </c>
      <c r="V320">
        <f>Tabla1[[#This Row],[queso_kg]]*Tabla1[[#This Row],[queso_mg_pct]]/100</f>
        <v>167.946552</v>
      </c>
      <c r="W320">
        <f>Tabla1[[#This Row],[queso_est_kg]]-Tabla1[[#This Row],[queso_mg_kg]]</f>
        <v>151.89328800000004</v>
      </c>
      <c r="X320">
        <f>_xlfn.ISOWEEKNUM(Tabla1[[#This Row],[fecha]])</f>
        <v>46</v>
      </c>
      <c r="Y320">
        <v>46</v>
      </c>
      <c r="Z320" s="7">
        <f>Tabla1[[#This Row],[suero_litros]]*Tabla1[[#This Row],[suero_grasa_g_l]]/1000</f>
        <v>25.688039999999997</v>
      </c>
      <c r="AA320" s="7">
        <f>Tabla1[[#This Row],[suero_litros]]*Tabla1[[#This Row],[suero_prot_g_l]]/1000</f>
        <v>25.910640000000004</v>
      </c>
      <c r="AB320" s="7">
        <f>Tabla1[[#This Row],[suero_est_g_l]]*Tabla1[[#This Row],[suero_litros]]/1000</f>
        <v>272.50691999999998</v>
      </c>
    </row>
    <row r="321" spans="1:28" x14ac:dyDescent="0.25">
      <c r="A321" s="1">
        <v>45610</v>
      </c>
      <c r="B321">
        <v>5356</v>
      </c>
      <c r="C321">
        <v>5200</v>
      </c>
      <c r="D321">
        <v>43.54</v>
      </c>
      <c r="E321">
        <v>36.25</v>
      </c>
      <c r="F321">
        <v>5020</v>
      </c>
      <c r="G321">
        <v>40.4</v>
      </c>
      <c r="H321">
        <v>33.840000000000003</v>
      </c>
      <c r="I321">
        <v>6290</v>
      </c>
      <c r="J321">
        <v>616.65</v>
      </c>
      <c r="K321">
        <v>53.65</v>
      </c>
      <c r="L321">
        <v>28.43</v>
      </c>
      <c r="M321">
        <v>4443</v>
      </c>
      <c r="N321">
        <v>6.04</v>
      </c>
      <c r="O321">
        <v>5.07</v>
      </c>
      <c r="P321">
        <v>62.3</v>
      </c>
      <c r="Q321">
        <f>Tabla1[[#This Row],[entrada_litros]]*Tabla1[[#This Row],[entrada_grasa_g_l]]/1000</f>
        <v>226.40799999999999</v>
      </c>
      <c r="R321">
        <f>Tabla1[[#This Row],[entrada_prot_g_l]]*Tabla1[[#This Row],[entrada_litros]]/1000</f>
        <v>188.5</v>
      </c>
      <c r="S321">
        <f>Tabla1[[#This Row],[cuba_fab_litros]]*Tabla1[[#This Row],[cuba_fab_grasa_g_l]]/1000</f>
        <v>202.80799999999999</v>
      </c>
      <c r="T321">
        <f>Tabla1[[#This Row],[cuba_fab_litros]]*Tabla1[[#This Row],[cuba_fab_prot_g_l]]/1000</f>
        <v>169.87680000000003</v>
      </c>
      <c r="U321">
        <f>Tabla1[[#This Row],[queso_kg]]*Tabla1[[#This Row],[queso_est_pct]]/100</f>
        <v>330.83272499999998</v>
      </c>
      <c r="V321">
        <f>Tabla1[[#This Row],[queso_kg]]*Tabla1[[#This Row],[queso_mg_pct]]/100</f>
        <v>175.31359499999999</v>
      </c>
      <c r="W321">
        <f>Tabla1[[#This Row],[queso_est_kg]]-Tabla1[[#This Row],[queso_mg_kg]]</f>
        <v>155.51912999999999</v>
      </c>
      <c r="X321">
        <f>_xlfn.ISOWEEKNUM(Tabla1[[#This Row],[fecha]])</f>
        <v>46</v>
      </c>
      <c r="Y321">
        <v>46</v>
      </c>
      <c r="Z321" s="7">
        <f>Tabla1[[#This Row],[suero_litros]]*Tabla1[[#This Row],[suero_grasa_g_l]]/1000</f>
        <v>26.835720000000002</v>
      </c>
      <c r="AA321" s="7">
        <f>Tabla1[[#This Row],[suero_litros]]*Tabla1[[#This Row],[suero_prot_g_l]]/1000</f>
        <v>22.526010000000003</v>
      </c>
      <c r="AB321" s="7">
        <f>Tabla1[[#This Row],[suero_est_g_l]]*Tabla1[[#This Row],[suero_litros]]/1000</f>
        <v>276.79889999999995</v>
      </c>
    </row>
    <row r="322" spans="1:28" x14ac:dyDescent="0.25">
      <c r="A322" s="1">
        <v>45611</v>
      </c>
      <c r="B322">
        <v>0</v>
      </c>
      <c r="C322">
        <v>0</v>
      </c>
      <c r="D322">
        <v>0</v>
      </c>
      <c r="E322">
        <v>0</v>
      </c>
      <c r="F322">
        <v>6316</v>
      </c>
      <c r="G322">
        <v>39.99</v>
      </c>
      <c r="H322">
        <v>33.770000000000003</v>
      </c>
      <c r="I322">
        <v>0</v>
      </c>
      <c r="J322">
        <v>805.09</v>
      </c>
      <c r="K322">
        <v>53.98</v>
      </c>
      <c r="L322">
        <v>27.29</v>
      </c>
      <c r="M322">
        <v>5561</v>
      </c>
      <c r="N322">
        <v>5.78</v>
      </c>
      <c r="O322">
        <v>4.5199999999999996</v>
      </c>
      <c r="P322">
        <v>61.87</v>
      </c>
      <c r="Q322">
        <f>Tabla1[[#This Row],[entrada_litros]]*Tabla1[[#This Row],[entrada_grasa_g_l]]/1000</f>
        <v>0</v>
      </c>
      <c r="R322">
        <f>Tabla1[[#This Row],[entrada_prot_g_l]]*Tabla1[[#This Row],[entrada_litros]]/1000</f>
        <v>0</v>
      </c>
      <c r="S322">
        <f>Tabla1[[#This Row],[cuba_fab_litros]]*Tabla1[[#This Row],[cuba_fab_grasa_g_l]]/1000</f>
        <v>252.57684000000003</v>
      </c>
      <c r="T322">
        <f>Tabla1[[#This Row],[cuba_fab_litros]]*Tabla1[[#This Row],[cuba_fab_prot_g_l]]/1000</f>
        <v>213.29132000000001</v>
      </c>
      <c r="U322">
        <f>Tabla1[[#This Row],[queso_kg]]*Tabla1[[#This Row],[queso_est_pct]]/100</f>
        <v>434.58758199999994</v>
      </c>
      <c r="V322">
        <f>Tabla1[[#This Row],[queso_kg]]*Tabla1[[#This Row],[queso_mg_pct]]/100</f>
        <v>219.70906099999999</v>
      </c>
      <c r="W322">
        <f>Tabla1[[#This Row],[queso_est_kg]]-Tabla1[[#This Row],[queso_mg_kg]]</f>
        <v>214.87852099999995</v>
      </c>
      <c r="X322">
        <f>_xlfn.ISOWEEKNUM(Tabla1[[#This Row],[fecha]])</f>
        <v>46</v>
      </c>
      <c r="Y322">
        <v>46</v>
      </c>
      <c r="Z322" s="7">
        <f>Tabla1[[#This Row],[suero_litros]]*Tabla1[[#This Row],[suero_grasa_g_l]]/1000</f>
        <v>32.142580000000002</v>
      </c>
      <c r="AA322" s="7">
        <f>Tabla1[[#This Row],[suero_litros]]*Tabla1[[#This Row],[suero_prot_g_l]]/1000</f>
        <v>25.135719999999999</v>
      </c>
      <c r="AB322" s="7">
        <f>Tabla1[[#This Row],[suero_est_g_l]]*Tabla1[[#This Row],[suero_litros]]/1000</f>
        <v>344.05907000000002</v>
      </c>
    </row>
    <row r="323" spans="1:28" x14ac:dyDescent="0.25">
      <c r="A323" s="1">
        <v>45612</v>
      </c>
      <c r="B323">
        <v>0</v>
      </c>
      <c r="C323">
        <v>0</v>
      </c>
      <c r="D323">
        <v>0</v>
      </c>
      <c r="E323">
        <v>0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f>Tabla1[[#This Row],[entrada_litros]]*Tabla1[[#This Row],[entrada_grasa_g_l]]/1000</f>
        <v>0</v>
      </c>
      <c r="R323">
        <f>Tabla1[[#This Row],[entrada_prot_g_l]]*Tabla1[[#This Row],[entrada_litros]]/1000</f>
        <v>0</v>
      </c>
      <c r="S323">
        <f>Tabla1[[#This Row],[cuba_fab_litros]]*Tabla1[[#This Row],[cuba_fab_grasa_g_l]]/1000</f>
        <v>0</v>
      </c>
      <c r="T323">
        <f>Tabla1[[#This Row],[cuba_fab_litros]]*Tabla1[[#This Row],[cuba_fab_prot_g_l]]/1000</f>
        <v>0</v>
      </c>
      <c r="U323">
        <f>Tabla1[[#This Row],[queso_kg]]*Tabla1[[#This Row],[queso_est_pct]]/100</f>
        <v>0</v>
      </c>
      <c r="V323">
        <f>Tabla1[[#This Row],[queso_kg]]*Tabla1[[#This Row],[queso_mg_pct]]/100</f>
        <v>0</v>
      </c>
      <c r="W323">
        <f>Tabla1[[#This Row],[queso_est_kg]]-Tabla1[[#This Row],[queso_mg_kg]]</f>
        <v>0</v>
      </c>
      <c r="X323">
        <f>_xlfn.ISOWEEKNUM(Tabla1[[#This Row],[fecha]])</f>
        <v>46</v>
      </c>
      <c r="Y323">
        <v>46</v>
      </c>
      <c r="Z323" s="7">
        <f>Tabla1[[#This Row],[suero_litros]]*Tabla1[[#This Row],[suero_grasa_g_l]]/1000</f>
        <v>0</v>
      </c>
      <c r="AA323" s="7">
        <f>Tabla1[[#This Row],[suero_litros]]*Tabla1[[#This Row],[suero_prot_g_l]]/1000</f>
        <v>0</v>
      </c>
      <c r="AB323" s="7">
        <f>Tabla1[[#This Row],[suero_est_g_l]]*Tabla1[[#This Row],[suero_litros]]/1000</f>
        <v>0</v>
      </c>
    </row>
    <row r="324" spans="1:28" x14ac:dyDescent="0.25">
      <c r="A324" s="1">
        <v>45613</v>
      </c>
      <c r="B324">
        <v>5024</v>
      </c>
      <c r="C324">
        <v>4878</v>
      </c>
      <c r="D324">
        <v>41.15</v>
      </c>
      <c r="E324">
        <v>35.35</v>
      </c>
      <c r="F324">
        <v>0</v>
      </c>
      <c r="G324">
        <v>0</v>
      </c>
      <c r="H324">
        <v>0</v>
      </c>
      <c r="I324">
        <v>4878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f>Tabla1[[#This Row],[entrada_litros]]*Tabla1[[#This Row],[entrada_grasa_g_l]]/1000</f>
        <v>200.72969999999998</v>
      </c>
      <c r="R324">
        <f>Tabla1[[#This Row],[entrada_prot_g_l]]*Tabla1[[#This Row],[entrada_litros]]/1000</f>
        <v>172.43730000000002</v>
      </c>
      <c r="S324">
        <f>Tabla1[[#This Row],[cuba_fab_litros]]*Tabla1[[#This Row],[cuba_fab_grasa_g_l]]/1000</f>
        <v>0</v>
      </c>
      <c r="T324">
        <f>Tabla1[[#This Row],[cuba_fab_litros]]*Tabla1[[#This Row],[cuba_fab_prot_g_l]]/1000</f>
        <v>0</v>
      </c>
      <c r="U324">
        <f>Tabla1[[#This Row],[queso_kg]]*Tabla1[[#This Row],[queso_est_pct]]/100</f>
        <v>0</v>
      </c>
      <c r="V324">
        <f>Tabla1[[#This Row],[queso_kg]]*Tabla1[[#This Row],[queso_mg_pct]]/100</f>
        <v>0</v>
      </c>
      <c r="W324">
        <f>Tabla1[[#This Row],[queso_est_kg]]-Tabla1[[#This Row],[queso_mg_kg]]</f>
        <v>0</v>
      </c>
      <c r="X324">
        <f>_xlfn.ISOWEEKNUM(Tabla1[[#This Row],[fecha]])</f>
        <v>46</v>
      </c>
      <c r="Y324">
        <v>47</v>
      </c>
      <c r="Z324" s="7">
        <f>Tabla1[[#This Row],[suero_litros]]*Tabla1[[#This Row],[suero_grasa_g_l]]/1000</f>
        <v>0</v>
      </c>
      <c r="AA324" s="7">
        <f>Tabla1[[#This Row],[suero_litros]]*Tabla1[[#This Row],[suero_prot_g_l]]/1000</f>
        <v>0</v>
      </c>
      <c r="AB324" s="7">
        <f>Tabla1[[#This Row],[suero_est_g_l]]*Tabla1[[#This Row],[suero_litros]]/1000</f>
        <v>0</v>
      </c>
    </row>
    <row r="325" spans="1:28" x14ac:dyDescent="0.25">
      <c r="A325" s="1">
        <v>45614</v>
      </c>
      <c r="B325">
        <v>5024</v>
      </c>
      <c r="C325">
        <v>4878</v>
      </c>
      <c r="D325">
        <v>40.909999999999997</v>
      </c>
      <c r="E325">
        <v>34.85</v>
      </c>
      <c r="F325">
        <v>5032</v>
      </c>
      <c r="G325">
        <v>38.880000000000003</v>
      </c>
      <c r="H325">
        <v>33.549999999999997</v>
      </c>
      <c r="I325">
        <v>4756</v>
      </c>
      <c r="J325">
        <v>618.24</v>
      </c>
      <c r="K325">
        <v>51.16</v>
      </c>
      <c r="L325">
        <v>27.19</v>
      </c>
      <c r="M325">
        <v>4453</v>
      </c>
      <c r="N325">
        <v>6.08</v>
      </c>
      <c r="O325">
        <v>6.36</v>
      </c>
      <c r="P325">
        <v>63.84</v>
      </c>
      <c r="Q325">
        <f>Tabla1[[#This Row],[entrada_litros]]*Tabla1[[#This Row],[entrada_grasa_g_l]]/1000</f>
        <v>199.55897999999999</v>
      </c>
      <c r="R325">
        <f>Tabla1[[#This Row],[entrada_prot_g_l]]*Tabla1[[#This Row],[entrada_litros]]/1000</f>
        <v>169.99830000000003</v>
      </c>
      <c r="S325">
        <f>Tabla1[[#This Row],[cuba_fab_litros]]*Tabla1[[#This Row],[cuba_fab_grasa_g_l]]/1000</f>
        <v>195.64416</v>
      </c>
      <c r="T325">
        <f>Tabla1[[#This Row],[cuba_fab_litros]]*Tabla1[[#This Row],[cuba_fab_prot_g_l]]/1000</f>
        <v>168.82359999999997</v>
      </c>
      <c r="U325">
        <f>Tabla1[[#This Row],[queso_kg]]*Tabla1[[#This Row],[queso_est_pct]]/100</f>
        <v>316.29158399999994</v>
      </c>
      <c r="V325">
        <f>Tabla1[[#This Row],[queso_kg]]*Tabla1[[#This Row],[queso_mg_pct]]/100</f>
        <v>168.09945600000003</v>
      </c>
      <c r="W325">
        <f>Tabla1[[#This Row],[queso_est_kg]]-Tabla1[[#This Row],[queso_mg_kg]]</f>
        <v>148.19212799999991</v>
      </c>
      <c r="X325">
        <f>_xlfn.ISOWEEKNUM(Tabla1[[#This Row],[fecha]])</f>
        <v>47</v>
      </c>
      <c r="Y325">
        <v>47</v>
      </c>
      <c r="Z325" s="7">
        <f>Tabla1[[#This Row],[suero_litros]]*Tabla1[[#This Row],[suero_grasa_g_l]]/1000</f>
        <v>27.074240000000003</v>
      </c>
      <c r="AA325" s="7">
        <f>Tabla1[[#This Row],[suero_litros]]*Tabla1[[#This Row],[suero_prot_g_l]]/1000</f>
        <v>28.321080000000002</v>
      </c>
      <c r="AB325" s="7">
        <f>Tabla1[[#This Row],[suero_est_g_l]]*Tabla1[[#This Row],[suero_litros]]/1000</f>
        <v>284.27951999999999</v>
      </c>
    </row>
    <row r="326" spans="1:28" x14ac:dyDescent="0.25">
      <c r="A326" s="1">
        <v>45615</v>
      </c>
      <c r="B326">
        <v>4825</v>
      </c>
      <c r="C326">
        <v>4684</v>
      </c>
      <c r="D326">
        <v>41.83</v>
      </c>
      <c r="E326">
        <v>34.799999999999997</v>
      </c>
      <c r="F326">
        <v>5028</v>
      </c>
      <c r="G326">
        <v>39.47</v>
      </c>
      <c r="H326">
        <v>33.49</v>
      </c>
      <c r="I326">
        <v>4440</v>
      </c>
      <c r="J326">
        <v>603.72</v>
      </c>
      <c r="K326">
        <v>54.61</v>
      </c>
      <c r="L326">
        <v>28.75</v>
      </c>
      <c r="M326">
        <v>4464</v>
      </c>
      <c r="N326">
        <v>5.49</v>
      </c>
      <c r="O326">
        <v>6.58</v>
      </c>
      <c r="P326">
        <v>62.62</v>
      </c>
      <c r="Q326">
        <f>Tabla1[[#This Row],[entrada_litros]]*Tabla1[[#This Row],[entrada_grasa_g_l]]/1000</f>
        <v>195.93172000000001</v>
      </c>
      <c r="R326">
        <f>Tabla1[[#This Row],[entrada_prot_g_l]]*Tabla1[[#This Row],[entrada_litros]]/1000</f>
        <v>163.00319999999999</v>
      </c>
      <c r="S326">
        <f>Tabla1[[#This Row],[cuba_fab_litros]]*Tabla1[[#This Row],[cuba_fab_grasa_g_l]]/1000</f>
        <v>198.45516000000001</v>
      </c>
      <c r="T326">
        <f>Tabla1[[#This Row],[cuba_fab_litros]]*Tabla1[[#This Row],[cuba_fab_prot_g_l]]/1000</f>
        <v>168.38772</v>
      </c>
      <c r="U326">
        <f>Tabla1[[#This Row],[queso_kg]]*Tabla1[[#This Row],[queso_est_pct]]/100</f>
        <v>329.69149199999998</v>
      </c>
      <c r="V326">
        <f>Tabla1[[#This Row],[queso_kg]]*Tabla1[[#This Row],[queso_mg_pct]]/100</f>
        <v>173.56950000000001</v>
      </c>
      <c r="W326">
        <f>Tabla1[[#This Row],[queso_est_kg]]-Tabla1[[#This Row],[queso_mg_kg]]</f>
        <v>156.12199199999998</v>
      </c>
      <c r="X326">
        <f>_xlfn.ISOWEEKNUM(Tabla1[[#This Row],[fecha]])</f>
        <v>47</v>
      </c>
      <c r="Y326">
        <v>47</v>
      </c>
      <c r="Z326" s="7">
        <f>Tabla1[[#This Row],[suero_litros]]*Tabla1[[#This Row],[suero_grasa_g_l]]/1000</f>
        <v>24.507360000000002</v>
      </c>
      <c r="AA326" s="7">
        <f>Tabla1[[#This Row],[suero_litros]]*Tabla1[[#This Row],[suero_prot_g_l]]/1000</f>
        <v>29.37312</v>
      </c>
      <c r="AB326" s="7">
        <f>Tabla1[[#This Row],[suero_est_g_l]]*Tabla1[[#This Row],[suero_litros]]/1000</f>
        <v>279.53568000000001</v>
      </c>
    </row>
    <row r="327" spans="1:28" x14ac:dyDescent="0.25">
      <c r="A327" s="1">
        <v>45616</v>
      </c>
      <c r="B327">
        <v>5163</v>
      </c>
      <c r="C327">
        <v>5013</v>
      </c>
      <c r="D327">
        <v>45.07</v>
      </c>
      <c r="E327">
        <v>35.630000000000003</v>
      </c>
      <c r="F327">
        <v>5033</v>
      </c>
      <c r="G327">
        <v>41.13</v>
      </c>
      <c r="H327">
        <v>33.68</v>
      </c>
      <c r="I327">
        <v>4453</v>
      </c>
      <c r="J327">
        <v>605.14</v>
      </c>
      <c r="K327">
        <v>54.32</v>
      </c>
      <c r="L327">
        <v>28.34</v>
      </c>
      <c r="M327">
        <v>4467</v>
      </c>
      <c r="N327">
        <v>7.77</v>
      </c>
      <c r="O327">
        <v>6.33</v>
      </c>
      <c r="P327">
        <v>65.88</v>
      </c>
      <c r="Q327">
        <f>Tabla1[[#This Row],[entrada_litros]]*Tabla1[[#This Row],[entrada_grasa_g_l]]/1000</f>
        <v>225.93591000000001</v>
      </c>
      <c r="R327">
        <f>Tabla1[[#This Row],[entrada_prot_g_l]]*Tabla1[[#This Row],[entrada_litros]]/1000</f>
        <v>178.61319</v>
      </c>
      <c r="S327">
        <f>Tabla1[[#This Row],[cuba_fab_litros]]*Tabla1[[#This Row],[cuba_fab_grasa_g_l]]/1000</f>
        <v>207.00729000000001</v>
      </c>
      <c r="T327">
        <f>Tabla1[[#This Row],[cuba_fab_litros]]*Tabla1[[#This Row],[cuba_fab_prot_g_l]]/1000</f>
        <v>169.51143999999999</v>
      </c>
      <c r="U327">
        <f>Tabla1[[#This Row],[queso_kg]]*Tabla1[[#This Row],[queso_est_pct]]/100</f>
        <v>328.71204799999998</v>
      </c>
      <c r="V327">
        <f>Tabla1[[#This Row],[queso_kg]]*Tabla1[[#This Row],[queso_mg_pct]]/100</f>
        <v>171.49667600000001</v>
      </c>
      <c r="W327">
        <f>Tabla1[[#This Row],[queso_est_kg]]-Tabla1[[#This Row],[queso_mg_kg]]</f>
        <v>157.21537199999997</v>
      </c>
      <c r="X327">
        <f>_xlfn.ISOWEEKNUM(Tabla1[[#This Row],[fecha]])</f>
        <v>47</v>
      </c>
      <c r="Y327">
        <v>47</v>
      </c>
      <c r="Z327" s="7">
        <f>Tabla1[[#This Row],[suero_litros]]*Tabla1[[#This Row],[suero_grasa_g_l]]/1000</f>
        <v>34.708589999999994</v>
      </c>
      <c r="AA327" s="7">
        <f>Tabla1[[#This Row],[suero_litros]]*Tabla1[[#This Row],[suero_prot_g_l]]/1000</f>
        <v>28.276109999999999</v>
      </c>
      <c r="AB327" s="7">
        <f>Tabla1[[#This Row],[suero_est_g_l]]*Tabla1[[#This Row],[suero_litros]]/1000</f>
        <v>294.28595999999999</v>
      </c>
    </row>
    <row r="328" spans="1:28" x14ac:dyDescent="0.25">
      <c r="A328" s="1">
        <v>45617</v>
      </c>
      <c r="B328">
        <v>5133</v>
      </c>
      <c r="C328">
        <v>4983</v>
      </c>
      <c r="D328">
        <v>43.9</v>
      </c>
      <c r="E328">
        <v>35.450000000000003</v>
      </c>
      <c r="F328">
        <v>5031</v>
      </c>
      <c r="G328">
        <v>41.88</v>
      </c>
      <c r="H328">
        <v>34.04</v>
      </c>
      <c r="I328">
        <v>4436</v>
      </c>
      <c r="J328">
        <v>628.98</v>
      </c>
      <c r="K328">
        <v>52.86</v>
      </c>
      <c r="L328">
        <v>27.45</v>
      </c>
      <c r="M328">
        <v>4442</v>
      </c>
      <c r="N328">
        <v>8.4</v>
      </c>
      <c r="O328">
        <v>6.22</v>
      </c>
      <c r="P328">
        <v>65.209999999999994</v>
      </c>
      <c r="Q328">
        <f>Tabla1[[#This Row],[entrada_litros]]*Tabla1[[#This Row],[entrada_grasa_g_l]]/1000</f>
        <v>218.75369999999998</v>
      </c>
      <c r="R328">
        <f>Tabla1[[#This Row],[entrada_prot_g_l]]*Tabla1[[#This Row],[entrada_litros]]/1000</f>
        <v>176.64735000000002</v>
      </c>
      <c r="S328">
        <f>Tabla1[[#This Row],[cuba_fab_litros]]*Tabla1[[#This Row],[cuba_fab_grasa_g_l]]/1000</f>
        <v>210.69828000000001</v>
      </c>
      <c r="T328">
        <f>Tabla1[[#This Row],[cuba_fab_litros]]*Tabla1[[#This Row],[cuba_fab_prot_g_l]]/1000</f>
        <v>171.25523999999999</v>
      </c>
      <c r="U328">
        <f>Tabla1[[#This Row],[queso_kg]]*Tabla1[[#This Row],[queso_est_pct]]/100</f>
        <v>332.47882800000002</v>
      </c>
      <c r="V328">
        <f>Tabla1[[#This Row],[queso_kg]]*Tabla1[[#This Row],[queso_mg_pct]]/100</f>
        <v>172.65501</v>
      </c>
      <c r="W328">
        <f>Tabla1[[#This Row],[queso_est_kg]]-Tabla1[[#This Row],[queso_mg_kg]]</f>
        <v>159.82381800000002</v>
      </c>
      <c r="X328">
        <f>_xlfn.ISOWEEKNUM(Tabla1[[#This Row],[fecha]])</f>
        <v>47</v>
      </c>
      <c r="Y328">
        <v>47</v>
      </c>
      <c r="Z328" s="7">
        <f>Tabla1[[#This Row],[suero_litros]]*Tabla1[[#This Row],[suero_grasa_g_l]]/1000</f>
        <v>37.312800000000003</v>
      </c>
      <c r="AA328" s="7">
        <f>Tabla1[[#This Row],[suero_litros]]*Tabla1[[#This Row],[suero_prot_g_l]]/1000</f>
        <v>27.629239999999999</v>
      </c>
      <c r="AB328" s="7">
        <f>Tabla1[[#This Row],[suero_est_g_l]]*Tabla1[[#This Row],[suero_litros]]/1000</f>
        <v>289.66281999999995</v>
      </c>
    </row>
    <row r="329" spans="1:28" x14ac:dyDescent="0.25">
      <c r="A329" s="1">
        <v>45618</v>
      </c>
      <c r="B329">
        <v>0</v>
      </c>
      <c r="C329">
        <v>0</v>
      </c>
      <c r="D329">
        <v>0</v>
      </c>
      <c r="E329">
        <v>0</v>
      </c>
      <c r="F329">
        <v>4451</v>
      </c>
      <c r="G329">
        <v>41.37</v>
      </c>
      <c r="H329">
        <v>33.869999999999997</v>
      </c>
      <c r="I329">
        <v>0</v>
      </c>
      <c r="J329">
        <v>586.89</v>
      </c>
      <c r="K329">
        <v>51.59</v>
      </c>
      <c r="L329">
        <v>26.55</v>
      </c>
      <c r="M329">
        <v>3900</v>
      </c>
      <c r="N329">
        <v>7.17</v>
      </c>
      <c r="O329">
        <v>2.61</v>
      </c>
      <c r="P329">
        <v>61.38</v>
      </c>
      <c r="Q329">
        <f>Tabla1[[#This Row],[entrada_litros]]*Tabla1[[#This Row],[entrada_grasa_g_l]]/1000</f>
        <v>0</v>
      </c>
      <c r="R329">
        <f>Tabla1[[#This Row],[entrada_prot_g_l]]*Tabla1[[#This Row],[entrada_litros]]/1000</f>
        <v>0</v>
      </c>
      <c r="S329">
        <f>Tabla1[[#This Row],[cuba_fab_litros]]*Tabla1[[#This Row],[cuba_fab_grasa_g_l]]/1000</f>
        <v>184.13786999999999</v>
      </c>
      <c r="T329">
        <f>Tabla1[[#This Row],[cuba_fab_litros]]*Tabla1[[#This Row],[cuba_fab_prot_g_l]]/1000</f>
        <v>150.75537</v>
      </c>
      <c r="U329">
        <f>Tabla1[[#This Row],[queso_kg]]*Tabla1[[#This Row],[queso_est_pct]]/100</f>
        <v>302.77655099999998</v>
      </c>
      <c r="V329">
        <f>Tabla1[[#This Row],[queso_kg]]*Tabla1[[#This Row],[queso_mg_pct]]/100</f>
        <v>155.81929500000001</v>
      </c>
      <c r="W329">
        <f>Tabla1[[#This Row],[queso_est_kg]]-Tabla1[[#This Row],[queso_mg_kg]]</f>
        <v>146.95725599999997</v>
      </c>
      <c r="X329">
        <f>_xlfn.ISOWEEKNUM(Tabla1[[#This Row],[fecha]])</f>
        <v>47</v>
      </c>
      <c r="Y329">
        <v>47</v>
      </c>
      <c r="Z329" s="7">
        <f>Tabla1[[#This Row],[suero_litros]]*Tabla1[[#This Row],[suero_grasa_g_l]]/1000</f>
        <v>27.963000000000001</v>
      </c>
      <c r="AA329" s="7">
        <f>Tabla1[[#This Row],[suero_litros]]*Tabla1[[#This Row],[suero_prot_g_l]]/1000</f>
        <v>10.179</v>
      </c>
      <c r="AB329" s="7">
        <f>Tabla1[[#This Row],[suero_est_g_l]]*Tabla1[[#This Row],[suero_litros]]/1000</f>
        <v>239.38200000000001</v>
      </c>
    </row>
    <row r="330" spans="1:28" x14ac:dyDescent="0.25">
      <c r="A330" s="1">
        <v>45619</v>
      </c>
      <c r="B330">
        <v>0</v>
      </c>
      <c r="C330">
        <v>0</v>
      </c>
      <c r="D330">
        <v>0</v>
      </c>
      <c r="E330">
        <v>0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f>Tabla1[[#This Row],[entrada_litros]]*Tabla1[[#This Row],[entrada_grasa_g_l]]/1000</f>
        <v>0</v>
      </c>
      <c r="R330">
        <f>Tabla1[[#This Row],[entrada_prot_g_l]]*Tabla1[[#This Row],[entrada_litros]]/1000</f>
        <v>0</v>
      </c>
      <c r="S330">
        <f>Tabla1[[#This Row],[cuba_fab_litros]]*Tabla1[[#This Row],[cuba_fab_grasa_g_l]]/1000</f>
        <v>0</v>
      </c>
      <c r="T330">
        <f>Tabla1[[#This Row],[cuba_fab_litros]]*Tabla1[[#This Row],[cuba_fab_prot_g_l]]/1000</f>
        <v>0</v>
      </c>
      <c r="U330">
        <f>Tabla1[[#This Row],[queso_kg]]*Tabla1[[#This Row],[queso_est_pct]]/100</f>
        <v>0</v>
      </c>
      <c r="V330">
        <f>Tabla1[[#This Row],[queso_kg]]*Tabla1[[#This Row],[queso_mg_pct]]/100</f>
        <v>0</v>
      </c>
      <c r="W330">
        <f>Tabla1[[#This Row],[queso_est_kg]]-Tabla1[[#This Row],[queso_mg_kg]]</f>
        <v>0</v>
      </c>
      <c r="X330">
        <f>_xlfn.ISOWEEKNUM(Tabla1[[#This Row],[fecha]])</f>
        <v>47</v>
      </c>
      <c r="Y330">
        <v>47</v>
      </c>
      <c r="Z330" s="7">
        <f>Tabla1[[#This Row],[suero_litros]]*Tabla1[[#This Row],[suero_grasa_g_l]]/1000</f>
        <v>0</v>
      </c>
      <c r="AA330" s="7">
        <f>Tabla1[[#This Row],[suero_litros]]*Tabla1[[#This Row],[suero_prot_g_l]]/1000</f>
        <v>0</v>
      </c>
      <c r="AB330" s="7">
        <f>Tabla1[[#This Row],[suero_est_g_l]]*Tabla1[[#This Row],[suero_litros]]/1000</f>
        <v>0</v>
      </c>
    </row>
    <row r="331" spans="1:28" x14ac:dyDescent="0.25">
      <c r="A331" s="1">
        <v>45620</v>
      </c>
      <c r="B331">
        <v>5211</v>
      </c>
      <c r="C331">
        <v>5059</v>
      </c>
      <c r="D331">
        <v>42.29</v>
      </c>
      <c r="E331">
        <v>34.64</v>
      </c>
      <c r="F331">
        <v>0</v>
      </c>
      <c r="G331">
        <v>0</v>
      </c>
      <c r="H331">
        <v>0</v>
      </c>
      <c r="I331">
        <v>5059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f>Tabla1[[#This Row],[entrada_litros]]*Tabla1[[#This Row],[entrada_grasa_g_l]]/1000</f>
        <v>213.94511</v>
      </c>
      <c r="R331">
        <f>Tabla1[[#This Row],[entrada_prot_g_l]]*Tabla1[[#This Row],[entrada_litros]]/1000</f>
        <v>175.24376000000001</v>
      </c>
      <c r="S331">
        <f>Tabla1[[#This Row],[cuba_fab_litros]]*Tabla1[[#This Row],[cuba_fab_grasa_g_l]]/1000</f>
        <v>0</v>
      </c>
      <c r="T331">
        <f>Tabla1[[#This Row],[cuba_fab_litros]]*Tabla1[[#This Row],[cuba_fab_prot_g_l]]/1000</f>
        <v>0</v>
      </c>
      <c r="U331">
        <f>Tabla1[[#This Row],[queso_kg]]*Tabla1[[#This Row],[queso_est_pct]]/100</f>
        <v>0</v>
      </c>
      <c r="V331">
        <f>Tabla1[[#This Row],[queso_kg]]*Tabla1[[#This Row],[queso_mg_pct]]/100</f>
        <v>0</v>
      </c>
      <c r="W331">
        <f>Tabla1[[#This Row],[queso_est_kg]]-Tabla1[[#This Row],[queso_mg_kg]]</f>
        <v>0</v>
      </c>
      <c r="X331">
        <f>_xlfn.ISOWEEKNUM(Tabla1[[#This Row],[fecha]])</f>
        <v>47</v>
      </c>
      <c r="Y331">
        <v>48</v>
      </c>
      <c r="Z331" s="7">
        <f>Tabla1[[#This Row],[suero_litros]]*Tabla1[[#This Row],[suero_grasa_g_l]]/1000</f>
        <v>0</v>
      </c>
      <c r="AA331" s="7">
        <f>Tabla1[[#This Row],[suero_litros]]*Tabla1[[#This Row],[suero_prot_g_l]]/1000</f>
        <v>0</v>
      </c>
      <c r="AB331" s="7">
        <f>Tabla1[[#This Row],[suero_est_g_l]]*Tabla1[[#This Row],[suero_litros]]/1000</f>
        <v>0</v>
      </c>
    </row>
    <row r="332" spans="1:28" x14ac:dyDescent="0.25">
      <c r="A332" s="1">
        <v>45621</v>
      </c>
      <c r="B332">
        <v>5266</v>
      </c>
      <c r="C332">
        <v>5113</v>
      </c>
      <c r="D332">
        <v>41.01</v>
      </c>
      <c r="E332">
        <v>34.68</v>
      </c>
      <c r="F332">
        <v>5033</v>
      </c>
      <c r="G332">
        <v>40.04</v>
      </c>
      <c r="H332">
        <v>33.15</v>
      </c>
      <c r="I332">
        <v>5172</v>
      </c>
      <c r="J332">
        <v>554.34</v>
      </c>
      <c r="K332">
        <v>53.17</v>
      </c>
      <c r="L332">
        <v>27.38</v>
      </c>
      <c r="M332">
        <v>4517</v>
      </c>
      <c r="N332">
        <v>10.79</v>
      </c>
      <c r="O332">
        <v>9.6999999999999993</v>
      </c>
      <c r="P332">
        <v>72.16</v>
      </c>
      <c r="Q332">
        <f>Tabla1[[#This Row],[entrada_litros]]*Tabla1[[#This Row],[entrada_grasa_g_l]]/1000</f>
        <v>209.68412999999998</v>
      </c>
      <c r="R332">
        <f>Tabla1[[#This Row],[entrada_prot_g_l]]*Tabla1[[#This Row],[entrada_litros]]/1000</f>
        <v>177.31883999999999</v>
      </c>
      <c r="S332">
        <f>Tabla1[[#This Row],[cuba_fab_litros]]*Tabla1[[#This Row],[cuba_fab_grasa_g_l]]/1000</f>
        <v>201.52132</v>
      </c>
      <c r="T332">
        <f>Tabla1[[#This Row],[cuba_fab_litros]]*Tabla1[[#This Row],[cuba_fab_prot_g_l]]/1000</f>
        <v>166.84394999999998</v>
      </c>
      <c r="U332">
        <f>Tabla1[[#This Row],[queso_kg]]*Tabla1[[#This Row],[queso_est_pct]]/100</f>
        <v>294.74257800000004</v>
      </c>
      <c r="V332">
        <f>Tabla1[[#This Row],[queso_kg]]*Tabla1[[#This Row],[queso_mg_pct]]/100</f>
        <v>151.77829199999999</v>
      </c>
      <c r="W332">
        <f>Tabla1[[#This Row],[queso_est_kg]]-Tabla1[[#This Row],[queso_mg_kg]]</f>
        <v>142.96428600000004</v>
      </c>
      <c r="X332">
        <f>_xlfn.ISOWEEKNUM(Tabla1[[#This Row],[fecha]])</f>
        <v>48</v>
      </c>
      <c r="Y332">
        <v>48</v>
      </c>
      <c r="Z332" s="7">
        <f>Tabla1[[#This Row],[suero_litros]]*Tabla1[[#This Row],[suero_grasa_g_l]]/1000</f>
        <v>48.738429999999994</v>
      </c>
      <c r="AA332" s="7">
        <f>Tabla1[[#This Row],[suero_litros]]*Tabla1[[#This Row],[suero_prot_g_l]]/1000</f>
        <v>43.814899999999994</v>
      </c>
      <c r="AB332" s="7">
        <f>Tabla1[[#This Row],[suero_est_g_l]]*Tabla1[[#This Row],[suero_litros]]/1000</f>
        <v>325.94671999999997</v>
      </c>
    </row>
    <row r="333" spans="1:28" x14ac:dyDescent="0.25">
      <c r="A333" s="1">
        <v>45622</v>
      </c>
      <c r="B333">
        <v>4974</v>
      </c>
      <c r="C333">
        <v>4829</v>
      </c>
      <c r="D333">
        <v>41.93</v>
      </c>
      <c r="E333">
        <v>37.44</v>
      </c>
      <c r="F333">
        <v>5021</v>
      </c>
      <c r="G333">
        <v>39.82</v>
      </c>
      <c r="H333">
        <v>34.35</v>
      </c>
      <c r="I333">
        <v>5001</v>
      </c>
      <c r="J333">
        <v>606.82000000000005</v>
      </c>
      <c r="K333">
        <v>50.44</v>
      </c>
      <c r="L333">
        <v>26.27</v>
      </c>
      <c r="M333">
        <v>4453</v>
      </c>
      <c r="N333">
        <v>8.92</v>
      </c>
      <c r="O333">
        <v>7.14</v>
      </c>
      <c r="P333">
        <v>65.12</v>
      </c>
      <c r="Q333">
        <f>Tabla1[[#This Row],[entrada_litros]]*Tabla1[[#This Row],[entrada_grasa_g_l]]/1000</f>
        <v>202.47997000000001</v>
      </c>
      <c r="R333">
        <f>Tabla1[[#This Row],[entrada_prot_g_l]]*Tabla1[[#This Row],[entrada_litros]]/1000</f>
        <v>180.79775999999998</v>
      </c>
      <c r="S333">
        <f>Tabla1[[#This Row],[cuba_fab_litros]]*Tabla1[[#This Row],[cuba_fab_grasa_g_l]]/1000</f>
        <v>199.93621999999999</v>
      </c>
      <c r="T333">
        <f>Tabla1[[#This Row],[cuba_fab_litros]]*Tabla1[[#This Row],[cuba_fab_prot_g_l]]/1000</f>
        <v>172.47135</v>
      </c>
      <c r="U333">
        <f>Tabla1[[#This Row],[queso_kg]]*Tabla1[[#This Row],[queso_est_pct]]/100</f>
        <v>306.08000800000002</v>
      </c>
      <c r="V333">
        <f>Tabla1[[#This Row],[queso_kg]]*Tabla1[[#This Row],[queso_mg_pct]]/100</f>
        <v>159.41161400000001</v>
      </c>
      <c r="W333">
        <f>Tabla1[[#This Row],[queso_est_kg]]-Tabla1[[#This Row],[queso_mg_kg]]</f>
        <v>146.66839400000001</v>
      </c>
      <c r="X333">
        <f>_xlfn.ISOWEEKNUM(Tabla1[[#This Row],[fecha]])</f>
        <v>48</v>
      </c>
      <c r="Y333">
        <v>48</v>
      </c>
      <c r="Z333" s="7">
        <f>Tabla1[[#This Row],[suero_litros]]*Tabla1[[#This Row],[suero_grasa_g_l]]/1000</f>
        <v>39.720759999999999</v>
      </c>
      <c r="AA333" s="7">
        <f>Tabla1[[#This Row],[suero_litros]]*Tabla1[[#This Row],[suero_prot_g_l]]/1000</f>
        <v>31.794419999999999</v>
      </c>
      <c r="AB333" s="7">
        <f>Tabla1[[#This Row],[suero_est_g_l]]*Tabla1[[#This Row],[suero_litros]]/1000</f>
        <v>289.97936000000004</v>
      </c>
    </row>
    <row r="334" spans="1:28" x14ac:dyDescent="0.25">
      <c r="A334" s="1">
        <v>45623</v>
      </c>
      <c r="B334">
        <v>4949</v>
      </c>
      <c r="C334">
        <v>4805</v>
      </c>
      <c r="D334">
        <v>43.11</v>
      </c>
      <c r="E334">
        <v>35.74</v>
      </c>
      <c r="F334">
        <v>5026</v>
      </c>
      <c r="G334">
        <v>40.76</v>
      </c>
      <c r="H334">
        <v>34.36</v>
      </c>
      <c r="I334">
        <v>4806</v>
      </c>
      <c r="J334">
        <v>605.15</v>
      </c>
      <c r="K334">
        <v>50.48</v>
      </c>
      <c r="L334">
        <v>26.45</v>
      </c>
      <c r="M334">
        <v>4460</v>
      </c>
      <c r="N334">
        <v>9.8699999999999992</v>
      </c>
      <c r="O334">
        <v>8.14</v>
      </c>
      <c r="P334">
        <v>69.17</v>
      </c>
      <c r="Q334">
        <f>Tabla1[[#This Row],[entrada_litros]]*Tabla1[[#This Row],[entrada_grasa_g_l]]/1000</f>
        <v>207.14354999999998</v>
      </c>
      <c r="R334">
        <f>Tabla1[[#This Row],[entrada_prot_g_l]]*Tabla1[[#This Row],[entrada_litros]]/1000</f>
        <v>171.73070000000001</v>
      </c>
      <c r="S334">
        <f>Tabla1[[#This Row],[cuba_fab_litros]]*Tabla1[[#This Row],[cuba_fab_grasa_g_l]]/1000</f>
        <v>204.85975999999999</v>
      </c>
      <c r="T334">
        <f>Tabla1[[#This Row],[cuba_fab_litros]]*Tabla1[[#This Row],[cuba_fab_prot_g_l]]/1000</f>
        <v>172.69335999999998</v>
      </c>
      <c r="U334">
        <f>Tabla1[[#This Row],[queso_kg]]*Tabla1[[#This Row],[queso_est_pct]]/100</f>
        <v>305.47971999999999</v>
      </c>
      <c r="V334">
        <f>Tabla1[[#This Row],[queso_kg]]*Tabla1[[#This Row],[queso_mg_pct]]/100</f>
        <v>160.062175</v>
      </c>
      <c r="W334">
        <f>Tabla1[[#This Row],[queso_est_kg]]-Tabla1[[#This Row],[queso_mg_kg]]</f>
        <v>145.41754499999999</v>
      </c>
      <c r="X334">
        <f>_xlfn.ISOWEEKNUM(Tabla1[[#This Row],[fecha]])</f>
        <v>48</v>
      </c>
      <c r="Y334">
        <v>48</v>
      </c>
      <c r="Z334" s="7">
        <f>Tabla1[[#This Row],[suero_litros]]*Tabla1[[#This Row],[suero_grasa_g_l]]/1000</f>
        <v>44.020199999999996</v>
      </c>
      <c r="AA334" s="7">
        <f>Tabla1[[#This Row],[suero_litros]]*Tabla1[[#This Row],[suero_prot_g_l]]/1000</f>
        <v>36.304400000000001</v>
      </c>
      <c r="AB334" s="7">
        <f>Tabla1[[#This Row],[suero_est_g_l]]*Tabla1[[#This Row],[suero_litros]]/1000</f>
        <v>308.4982</v>
      </c>
    </row>
    <row r="335" spans="1:28" x14ac:dyDescent="0.25">
      <c r="A335" s="1">
        <v>45624</v>
      </c>
      <c r="B335">
        <v>4960</v>
      </c>
      <c r="C335">
        <v>4816</v>
      </c>
      <c r="D335">
        <v>44.08</v>
      </c>
      <c r="E335">
        <v>35.700000000000003</v>
      </c>
      <c r="F335">
        <v>5021</v>
      </c>
      <c r="G335">
        <v>41.59</v>
      </c>
      <c r="H335">
        <v>33.99</v>
      </c>
      <c r="I335">
        <v>4622</v>
      </c>
      <c r="J335">
        <v>627.01</v>
      </c>
      <c r="K335">
        <v>50.43</v>
      </c>
      <c r="L335">
        <v>26.45</v>
      </c>
      <c r="M335">
        <v>4434</v>
      </c>
      <c r="N335">
        <v>9.5299999999999994</v>
      </c>
      <c r="O335">
        <v>6.08</v>
      </c>
      <c r="P335">
        <v>66.569999999999993</v>
      </c>
      <c r="Q335">
        <f>Tabla1[[#This Row],[entrada_litros]]*Tabla1[[#This Row],[entrada_grasa_g_l]]/1000</f>
        <v>212.28927999999999</v>
      </c>
      <c r="R335">
        <f>Tabla1[[#This Row],[entrada_prot_g_l]]*Tabla1[[#This Row],[entrada_litros]]/1000</f>
        <v>171.93120000000002</v>
      </c>
      <c r="S335">
        <f>Tabla1[[#This Row],[cuba_fab_litros]]*Tabla1[[#This Row],[cuba_fab_grasa_g_l]]/1000</f>
        <v>208.82339000000002</v>
      </c>
      <c r="T335">
        <f>Tabla1[[#This Row],[cuba_fab_litros]]*Tabla1[[#This Row],[cuba_fab_prot_g_l]]/1000</f>
        <v>170.66379000000001</v>
      </c>
      <c r="U335">
        <f>Tabla1[[#This Row],[queso_kg]]*Tabla1[[#This Row],[queso_est_pct]]/100</f>
        <v>316.201143</v>
      </c>
      <c r="V335">
        <f>Tabla1[[#This Row],[queso_kg]]*Tabla1[[#This Row],[queso_mg_pct]]/100</f>
        <v>165.844145</v>
      </c>
      <c r="W335">
        <f>Tabla1[[#This Row],[queso_est_kg]]-Tabla1[[#This Row],[queso_mg_kg]]</f>
        <v>150.356998</v>
      </c>
      <c r="X335">
        <f>_xlfn.ISOWEEKNUM(Tabla1[[#This Row],[fecha]])</f>
        <v>48</v>
      </c>
      <c r="Y335">
        <v>48</v>
      </c>
      <c r="Z335" s="7">
        <f>Tabla1[[#This Row],[suero_litros]]*Tabla1[[#This Row],[suero_grasa_g_l]]/1000</f>
        <v>42.256019999999999</v>
      </c>
      <c r="AA335" s="7">
        <f>Tabla1[[#This Row],[suero_litros]]*Tabla1[[#This Row],[suero_prot_g_l]]/1000</f>
        <v>26.95872</v>
      </c>
      <c r="AB335" s="7">
        <f>Tabla1[[#This Row],[suero_est_g_l]]*Tabla1[[#This Row],[suero_litros]]/1000</f>
        <v>295.17137999999994</v>
      </c>
    </row>
    <row r="336" spans="1:28" x14ac:dyDescent="0.25">
      <c r="A336" s="1">
        <v>45625</v>
      </c>
      <c r="B336">
        <v>0</v>
      </c>
      <c r="C336">
        <v>0</v>
      </c>
      <c r="D336">
        <v>0</v>
      </c>
      <c r="E336">
        <v>0</v>
      </c>
      <c r="F336">
        <v>4644</v>
      </c>
      <c r="G336">
        <v>41.5</v>
      </c>
      <c r="H336">
        <v>34.33</v>
      </c>
      <c r="I336">
        <v>0</v>
      </c>
      <c r="J336">
        <v>585.22</v>
      </c>
      <c r="K336">
        <v>51.71</v>
      </c>
      <c r="L336">
        <v>27.05</v>
      </c>
      <c r="M336">
        <v>4096</v>
      </c>
      <c r="N336">
        <v>8.2799999999999994</v>
      </c>
      <c r="O336">
        <v>6.43</v>
      </c>
      <c r="P336">
        <v>66.97</v>
      </c>
      <c r="Q336">
        <f>Tabla1[[#This Row],[entrada_litros]]*Tabla1[[#This Row],[entrada_grasa_g_l]]/1000</f>
        <v>0</v>
      </c>
      <c r="R336">
        <f>Tabla1[[#This Row],[entrada_prot_g_l]]*Tabla1[[#This Row],[entrada_litros]]/1000</f>
        <v>0</v>
      </c>
      <c r="S336">
        <f>Tabla1[[#This Row],[cuba_fab_litros]]*Tabla1[[#This Row],[cuba_fab_grasa_g_l]]/1000</f>
        <v>192.726</v>
      </c>
      <c r="T336">
        <f>Tabla1[[#This Row],[cuba_fab_litros]]*Tabla1[[#This Row],[cuba_fab_prot_g_l]]/1000</f>
        <v>159.42851999999999</v>
      </c>
      <c r="U336">
        <f>Tabla1[[#This Row],[queso_kg]]*Tabla1[[#This Row],[queso_est_pct]]/100</f>
        <v>302.61726199999998</v>
      </c>
      <c r="V336">
        <f>Tabla1[[#This Row],[queso_kg]]*Tabla1[[#This Row],[queso_mg_pct]]/100</f>
        <v>158.30201</v>
      </c>
      <c r="W336">
        <f>Tabla1[[#This Row],[queso_est_kg]]-Tabla1[[#This Row],[queso_mg_kg]]</f>
        <v>144.31525199999999</v>
      </c>
      <c r="X336">
        <f>_xlfn.ISOWEEKNUM(Tabla1[[#This Row],[fecha]])</f>
        <v>48</v>
      </c>
      <c r="Y336">
        <v>48</v>
      </c>
      <c r="Z336" s="7">
        <f>Tabla1[[#This Row],[suero_litros]]*Tabla1[[#This Row],[suero_grasa_g_l]]/1000</f>
        <v>33.914879999999997</v>
      </c>
      <c r="AA336" s="7">
        <f>Tabla1[[#This Row],[suero_litros]]*Tabla1[[#This Row],[suero_prot_g_l]]/1000</f>
        <v>26.33728</v>
      </c>
      <c r="AB336" s="7">
        <f>Tabla1[[#This Row],[suero_est_g_l]]*Tabla1[[#This Row],[suero_litros]]/1000</f>
        <v>274.30912000000001</v>
      </c>
    </row>
    <row r="337" spans="1:28" x14ac:dyDescent="0.25">
      <c r="A337" s="1">
        <v>45626</v>
      </c>
      <c r="B337">
        <v>0</v>
      </c>
      <c r="C337">
        <v>0</v>
      </c>
      <c r="D337">
        <v>0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f>Tabla1[[#This Row],[entrada_litros]]*Tabla1[[#This Row],[entrada_grasa_g_l]]/1000</f>
        <v>0</v>
      </c>
      <c r="R337">
        <f>Tabla1[[#This Row],[entrada_prot_g_l]]*Tabla1[[#This Row],[entrada_litros]]/1000</f>
        <v>0</v>
      </c>
      <c r="S337">
        <f>Tabla1[[#This Row],[cuba_fab_litros]]*Tabla1[[#This Row],[cuba_fab_grasa_g_l]]/1000</f>
        <v>0</v>
      </c>
      <c r="T337">
        <f>Tabla1[[#This Row],[cuba_fab_litros]]*Tabla1[[#This Row],[cuba_fab_prot_g_l]]/1000</f>
        <v>0</v>
      </c>
      <c r="U337">
        <f>Tabla1[[#This Row],[queso_kg]]*Tabla1[[#This Row],[queso_est_pct]]/100</f>
        <v>0</v>
      </c>
      <c r="V337">
        <f>Tabla1[[#This Row],[queso_kg]]*Tabla1[[#This Row],[queso_mg_pct]]/100</f>
        <v>0</v>
      </c>
      <c r="W337">
        <f>Tabla1[[#This Row],[queso_est_kg]]-Tabla1[[#This Row],[queso_mg_kg]]</f>
        <v>0</v>
      </c>
      <c r="X337">
        <f>_xlfn.ISOWEEKNUM(Tabla1[[#This Row],[fecha]])</f>
        <v>48</v>
      </c>
      <c r="Y337">
        <v>48</v>
      </c>
      <c r="Z337" s="7">
        <f>Tabla1[[#This Row],[suero_litros]]*Tabla1[[#This Row],[suero_grasa_g_l]]/1000</f>
        <v>0</v>
      </c>
      <c r="AA337" s="7">
        <f>Tabla1[[#This Row],[suero_litros]]*Tabla1[[#This Row],[suero_prot_g_l]]/1000</f>
        <v>0</v>
      </c>
      <c r="AB337" s="7">
        <f>Tabla1[[#This Row],[suero_est_g_l]]*Tabla1[[#This Row],[suero_litros]]/1000</f>
        <v>0</v>
      </c>
    </row>
    <row r="338" spans="1:28" x14ac:dyDescent="0.25">
      <c r="A338" s="1">
        <v>45627</v>
      </c>
      <c r="B338">
        <v>5204</v>
      </c>
      <c r="C338">
        <v>5052</v>
      </c>
      <c r="D338">
        <v>45.35</v>
      </c>
      <c r="E338">
        <v>35.71</v>
      </c>
      <c r="F338">
        <v>0</v>
      </c>
      <c r="G338">
        <v>0</v>
      </c>
      <c r="H338">
        <v>0</v>
      </c>
      <c r="I338">
        <v>5052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f>Tabla1[[#This Row],[entrada_litros]]*Tabla1[[#This Row],[entrada_grasa_g_l]]/1000</f>
        <v>229.10820000000001</v>
      </c>
      <c r="R338">
        <f>Tabla1[[#This Row],[entrada_prot_g_l]]*Tabla1[[#This Row],[entrada_litros]]/1000</f>
        <v>180.40692000000001</v>
      </c>
      <c r="S338">
        <f>Tabla1[[#This Row],[cuba_fab_litros]]*Tabla1[[#This Row],[cuba_fab_grasa_g_l]]/1000</f>
        <v>0</v>
      </c>
      <c r="T338">
        <f>Tabla1[[#This Row],[cuba_fab_litros]]*Tabla1[[#This Row],[cuba_fab_prot_g_l]]/1000</f>
        <v>0</v>
      </c>
      <c r="U338">
        <f>Tabla1[[#This Row],[queso_kg]]*Tabla1[[#This Row],[queso_est_pct]]/100</f>
        <v>0</v>
      </c>
      <c r="V338">
        <f>Tabla1[[#This Row],[queso_kg]]*Tabla1[[#This Row],[queso_mg_pct]]/100</f>
        <v>0</v>
      </c>
      <c r="W338">
        <f>Tabla1[[#This Row],[queso_est_kg]]-Tabla1[[#This Row],[queso_mg_kg]]</f>
        <v>0</v>
      </c>
      <c r="X338">
        <f>_xlfn.ISOWEEKNUM(Tabla1[[#This Row],[fecha]])</f>
        <v>48</v>
      </c>
      <c r="Y338">
        <v>49</v>
      </c>
      <c r="Z338" s="7">
        <f>Tabla1[[#This Row],[suero_litros]]*Tabla1[[#This Row],[suero_grasa_g_l]]/1000</f>
        <v>0</v>
      </c>
      <c r="AA338" s="7">
        <f>Tabla1[[#This Row],[suero_litros]]*Tabla1[[#This Row],[suero_prot_g_l]]/1000</f>
        <v>0</v>
      </c>
      <c r="AB338" s="7">
        <f>Tabla1[[#This Row],[suero_est_g_l]]*Tabla1[[#This Row],[suero_litros]]/1000</f>
        <v>0</v>
      </c>
    </row>
    <row r="339" spans="1:28" x14ac:dyDescent="0.25">
      <c r="A339" s="1">
        <v>45628</v>
      </c>
      <c r="B339">
        <v>5500</v>
      </c>
      <c r="C339">
        <v>5340</v>
      </c>
      <c r="D339">
        <v>41.88</v>
      </c>
      <c r="E339">
        <v>35.47</v>
      </c>
      <c r="F339">
        <v>5029</v>
      </c>
      <c r="G339">
        <v>41.51</v>
      </c>
      <c r="H339">
        <v>34.03</v>
      </c>
      <c r="I339">
        <v>5392</v>
      </c>
      <c r="J339">
        <v>598.84</v>
      </c>
      <c r="K339">
        <v>53.33</v>
      </c>
      <c r="L339">
        <v>26.73</v>
      </c>
      <c r="M339">
        <v>4469</v>
      </c>
      <c r="N339">
        <v>10.55</v>
      </c>
      <c r="O339">
        <v>7.09</v>
      </c>
      <c r="P339">
        <v>69.459999999999994</v>
      </c>
      <c r="Q339">
        <f>Tabla1[[#This Row],[entrada_litros]]*Tabla1[[#This Row],[entrada_grasa_g_l]]/1000</f>
        <v>223.63920000000002</v>
      </c>
      <c r="R339">
        <f>Tabla1[[#This Row],[entrada_prot_g_l]]*Tabla1[[#This Row],[entrada_litros]]/1000</f>
        <v>189.40979999999999</v>
      </c>
      <c r="S339">
        <f>Tabla1[[#This Row],[cuba_fab_litros]]*Tabla1[[#This Row],[cuba_fab_grasa_g_l]]/1000</f>
        <v>208.75378999999998</v>
      </c>
      <c r="T339">
        <f>Tabla1[[#This Row],[cuba_fab_litros]]*Tabla1[[#This Row],[cuba_fab_prot_g_l]]/1000</f>
        <v>171.13686999999999</v>
      </c>
      <c r="U339">
        <f>Tabla1[[#This Row],[queso_kg]]*Tabla1[[#This Row],[queso_est_pct]]/100</f>
        <v>319.36137200000002</v>
      </c>
      <c r="V339">
        <f>Tabla1[[#This Row],[queso_kg]]*Tabla1[[#This Row],[queso_mg_pct]]/100</f>
        <v>160.06993199999999</v>
      </c>
      <c r="W339">
        <f>Tabla1[[#This Row],[queso_est_kg]]-Tabla1[[#This Row],[queso_mg_kg]]</f>
        <v>159.29144000000002</v>
      </c>
      <c r="X339">
        <f>_xlfn.ISOWEEKNUM(Tabla1[[#This Row],[fecha]])</f>
        <v>49</v>
      </c>
      <c r="Y339">
        <v>49</v>
      </c>
      <c r="Z339" s="7">
        <f>Tabla1[[#This Row],[suero_litros]]*Tabla1[[#This Row],[suero_grasa_g_l]]/1000</f>
        <v>47.147950000000002</v>
      </c>
      <c r="AA339" s="7">
        <f>Tabla1[[#This Row],[suero_litros]]*Tabla1[[#This Row],[suero_prot_g_l]]/1000</f>
        <v>31.685209999999998</v>
      </c>
      <c r="AB339" s="7">
        <f>Tabla1[[#This Row],[suero_est_g_l]]*Tabla1[[#This Row],[suero_litros]]/1000</f>
        <v>310.41674</v>
      </c>
    </row>
    <row r="340" spans="1:28" x14ac:dyDescent="0.25">
      <c r="A340" s="1">
        <v>45629</v>
      </c>
      <c r="B340">
        <v>5402</v>
      </c>
      <c r="C340">
        <v>5245</v>
      </c>
      <c r="D340">
        <v>42.03</v>
      </c>
      <c r="E340">
        <v>37</v>
      </c>
      <c r="F340">
        <v>5020</v>
      </c>
      <c r="G340">
        <v>41.04</v>
      </c>
      <c r="H340">
        <v>34.68</v>
      </c>
      <c r="I340">
        <v>5637</v>
      </c>
      <c r="J340">
        <v>593.95000000000005</v>
      </c>
      <c r="K340">
        <v>55.48</v>
      </c>
      <c r="L340">
        <v>28.47</v>
      </c>
      <c r="M340">
        <v>4465</v>
      </c>
      <c r="N340">
        <v>8.1</v>
      </c>
      <c r="O340">
        <v>8.6199999999999992</v>
      </c>
      <c r="P340">
        <v>69.16</v>
      </c>
      <c r="Q340">
        <f>Tabla1[[#This Row],[entrada_litros]]*Tabla1[[#This Row],[entrada_grasa_g_l]]/1000</f>
        <v>220.44735</v>
      </c>
      <c r="R340">
        <f>Tabla1[[#This Row],[entrada_prot_g_l]]*Tabla1[[#This Row],[entrada_litros]]/1000</f>
        <v>194.065</v>
      </c>
      <c r="S340">
        <f>Tabla1[[#This Row],[cuba_fab_litros]]*Tabla1[[#This Row],[cuba_fab_grasa_g_l]]/1000</f>
        <v>206.02079999999998</v>
      </c>
      <c r="T340">
        <f>Tabla1[[#This Row],[cuba_fab_litros]]*Tabla1[[#This Row],[cuba_fab_prot_g_l]]/1000</f>
        <v>174.09360000000001</v>
      </c>
      <c r="U340">
        <f>Tabla1[[#This Row],[queso_kg]]*Tabla1[[#This Row],[queso_est_pct]]/100</f>
        <v>329.52346</v>
      </c>
      <c r="V340">
        <f>Tabla1[[#This Row],[queso_kg]]*Tabla1[[#This Row],[queso_mg_pct]]/100</f>
        <v>169.097565</v>
      </c>
      <c r="W340">
        <f>Tabla1[[#This Row],[queso_est_kg]]-Tabla1[[#This Row],[queso_mg_kg]]</f>
        <v>160.425895</v>
      </c>
      <c r="X340">
        <f>_xlfn.ISOWEEKNUM(Tabla1[[#This Row],[fecha]])</f>
        <v>49</v>
      </c>
      <c r="Y340">
        <v>49</v>
      </c>
      <c r="Z340" s="7">
        <f>Tabla1[[#This Row],[suero_litros]]*Tabla1[[#This Row],[suero_grasa_g_l]]/1000</f>
        <v>36.166499999999999</v>
      </c>
      <c r="AA340" s="7">
        <f>Tabla1[[#This Row],[suero_litros]]*Tabla1[[#This Row],[suero_prot_g_l]]/1000</f>
        <v>38.488299999999995</v>
      </c>
      <c r="AB340" s="7">
        <f>Tabla1[[#This Row],[suero_est_g_l]]*Tabla1[[#This Row],[suero_litros]]/1000</f>
        <v>308.79939999999999</v>
      </c>
    </row>
    <row r="341" spans="1:28" x14ac:dyDescent="0.25">
      <c r="A341" s="1">
        <v>45630</v>
      </c>
      <c r="B341">
        <v>5220</v>
      </c>
      <c r="C341">
        <v>5068</v>
      </c>
      <c r="D341">
        <v>43.04</v>
      </c>
      <c r="E341">
        <v>36.380000000000003</v>
      </c>
      <c r="F341">
        <v>5035</v>
      </c>
      <c r="G341">
        <v>40.61</v>
      </c>
      <c r="H341">
        <v>34.82</v>
      </c>
      <c r="I341">
        <v>5705</v>
      </c>
      <c r="J341">
        <v>615.19000000000005</v>
      </c>
      <c r="K341">
        <v>50.72</v>
      </c>
      <c r="L341">
        <v>26.61</v>
      </c>
      <c r="M341">
        <v>4459</v>
      </c>
      <c r="N341">
        <v>8.9700000000000006</v>
      </c>
      <c r="O341">
        <v>7.61</v>
      </c>
      <c r="P341">
        <v>67.91</v>
      </c>
      <c r="Q341">
        <f>Tabla1[[#This Row],[entrada_litros]]*Tabla1[[#This Row],[entrada_grasa_g_l]]/1000</f>
        <v>218.12672000000001</v>
      </c>
      <c r="R341">
        <f>Tabla1[[#This Row],[entrada_prot_g_l]]*Tabla1[[#This Row],[entrada_litros]]/1000</f>
        <v>184.37384000000003</v>
      </c>
      <c r="S341">
        <f>Tabla1[[#This Row],[cuba_fab_litros]]*Tabla1[[#This Row],[cuba_fab_grasa_g_l]]/1000</f>
        <v>204.47135</v>
      </c>
      <c r="T341">
        <f>Tabla1[[#This Row],[cuba_fab_litros]]*Tabla1[[#This Row],[cuba_fab_prot_g_l]]/1000</f>
        <v>175.31870000000001</v>
      </c>
      <c r="U341">
        <f>Tabla1[[#This Row],[queso_kg]]*Tabla1[[#This Row],[queso_est_pct]]/100</f>
        <v>312.02436800000004</v>
      </c>
      <c r="V341">
        <f>Tabla1[[#This Row],[queso_kg]]*Tabla1[[#This Row],[queso_mg_pct]]/100</f>
        <v>163.70205900000002</v>
      </c>
      <c r="W341">
        <f>Tabla1[[#This Row],[queso_est_kg]]-Tabla1[[#This Row],[queso_mg_kg]]</f>
        <v>148.32230900000002</v>
      </c>
      <c r="X341">
        <f>_xlfn.ISOWEEKNUM(Tabla1[[#This Row],[fecha]])</f>
        <v>49</v>
      </c>
      <c r="Y341">
        <v>49</v>
      </c>
      <c r="Z341" s="7">
        <f>Tabla1[[#This Row],[suero_litros]]*Tabla1[[#This Row],[suero_grasa_g_l]]/1000</f>
        <v>39.997230000000002</v>
      </c>
      <c r="AA341" s="7">
        <f>Tabla1[[#This Row],[suero_litros]]*Tabla1[[#This Row],[suero_prot_g_l]]/1000</f>
        <v>33.932989999999997</v>
      </c>
      <c r="AB341" s="7">
        <f>Tabla1[[#This Row],[suero_est_g_l]]*Tabla1[[#This Row],[suero_litros]]/1000</f>
        <v>302.81069000000002</v>
      </c>
    </row>
    <row r="342" spans="1:28" x14ac:dyDescent="0.25">
      <c r="A342" s="1">
        <v>45631</v>
      </c>
      <c r="B342">
        <v>5134</v>
      </c>
      <c r="C342">
        <v>4984</v>
      </c>
      <c r="D342">
        <v>41.5</v>
      </c>
      <c r="E342">
        <v>34.659999999999997</v>
      </c>
      <c r="F342">
        <v>5026</v>
      </c>
      <c r="G342">
        <v>40.26</v>
      </c>
      <c r="H342">
        <v>33.99</v>
      </c>
      <c r="I342">
        <v>5689</v>
      </c>
      <c r="J342">
        <v>641.24</v>
      </c>
      <c r="K342">
        <v>52.08</v>
      </c>
      <c r="L342">
        <v>26.67</v>
      </c>
      <c r="M342">
        <v>4425</v>
      </c>
      <c r="N342">
        <v>6.97</v>
      </c>
      <c r="O342">
        <v>5.76</v>
      </c>
      <c r="P342">
        <v>64.23</v>
      </c>
      <c r="Q342">
        <f>Tabla1[[#This Row],[entrada_litros]]*Tabla1[[#This Row],[entrada_grasa_g_l]]/1000</f>
        <v>206.83600000000001</v>
      </c>
      <c r="R342">
        <f>Tabla1[[#This Row],[entrada_prot_g_l]]*Tabla1[[#This Row],[entrada_litros]]/1000</f>
        <v>172.74543999999997</v>
      </c>
      <c r="S342">
        <f>Tabla1[[#This Row],[cuba_fab_litros]]*Tabla1[[#This Row],[cuba_fab_grasa_g_l]]/1000</f>
        <v>202.34675999999999</v>
      </c>
      <c r="T342">
        <f>Tabla1[[#This Row],[cuba_fab_litros]]*Tabla1[[#This Row],[cuba_fab_prot_g_l]]/1000</f>
        <v>170.83374000000001</v>
      </c>
      <c r="U342">
        <f>Tabla1[[#This Row],[queso_kg]]*Tabla1[[#This Row],[queso_est_pct]]/100</f>
        <v>333.95779199999998</v>
      </c>
      <c r="V342">
        <f>Tabla1[[#This Row],[queso_kg]]*Tabla1[[#This Row],[queso_mg_pct]]/100</f>
        <v>171.018708</v>
      </c>
      <c r="W342">
        <f>Tabla1[[#This Row],[queso_est_kg]]-Tabla1[[#This Row],[queso_mg_kg]]</f>
        <v>162.93908399999998</v>
      </c>
      <c r="X342">
        <f>_xlfn.ISOWEEKNUM(Tabla1[[#This Row],[fecha]])</f>
        <v>49</v>
      </c>
      <c r="Y342">
        <v>49</v>
      </c>
      <c r="Z342" s="7">
        <f>Tabla1[[#This Row],[suero_litros]]*Tabla1[[#This Row],[suero_grasa_g_l]]/1000</f>
        <v>30.84225</v>
      </c>
      <c r="AA342" s="7">
        <f>Tabla1[[#This Row],[suero_litros]]*Tabla1[[#This Row],[suero_prot_g_l]]/1000</f>
        <v>25.488</v>
      </c>
      <c r="AB342" s="7">
        <f>Tabla1[[#This Row],[suero_est_g_l]]*Tabla1[[#This Row],[suero_litros]]/1000</f>
        <v>284.21775000000002</v>
      </c>
    </row>
    <row r="343" spans="1:28" x14ac:dyDescent="0.25">
      <c r="A343" s="1">
        <v>45632</v>
      </c>
      <c r="B343">
        <v>0</v>
      </c>
      <c r="C343">
        <v>0</v>
      </c>
      <c r="D343">
        <v>0</v>
      </c>
      <c r="E343">
        <v>0</v>
      </c>
      <c r="F343">
        <v>5723</v>
      </c>
      <c r="G343">
        <v>40.22</v>
      </c>
      <c r="H343">
        <v>33.72</v>
      </c>
      <c r="I343">
        <v>0</v>
      </c>
      <c r="J343">
        <v>725.53</v>
      </c>
      <c r="K343">
        <v>52.32</v>
      </c>
      <c r="L343">
        <v>26.71</v>
      </c>
      <c r="M343">
        <v>5043</v>
      </c>
      <c r="N343">
        <v>7.12</v>
      </c>
      <c r="O343">
        <v>6.83</v>
      </c>
      <c r="P343">
        <v>66.12</v>
      </c>
      <c r="Q343">
        <f>Tabla1[[#This Row],[entrada_litros]]*Tabla1[[#This Row],[entrada_grasa_g_l]]/1000</f>
        <v>0</v>
      </c>
      <c r="R343">
        <f>Tabla1[[#This Row],[entrada_prot_g_l]]*Tabla1[[#This Row],[entrada_litros]]/1000</f>
        <v>0</v>
      </c>
      <c r="S343">
        <f>Tabla1[[#This Row],[cuba_fab_litros]]*Tabla1[[#This Row],[cuba_fab_grasa_g_l]]/1000</f>
        <v>230.17905999999999</v>
      </c>
      <c r="T343">
        <f>Tabla1[[#This Row],[cuba_fab_litros]]*Tabla1[[#This Row],[cuba_fab_prot_g_l]]/1000</f>
        <v>192.97955999999999</v>
      </c>
      <c r="U343">
        <f>Tabla1[[#This Row],[queso_kg]]*Tabla1[[#This Row],[queso_est_pct]]/100</f>
        <v>379.59729599999997</v>
      </c>
      <c r="V343">
        <f>Tabla1[[#This Row],[queso_kg]]*Tabla1[[#This Row],[queso_mg_pct]]/100</f>
        <v>193.789063</v>
      </c>
      <c r="W343">
        <f>Tabla1[[#This Row],[queso_est_kg]]-Tabla1[[#This Row],[queso_mg_kg]]</f>
        <v>185.80823299999997</v>
      </c>
      <c r="X343">
        <f>_xlfn.ISOWEEKNUM(Tabla1[[#This Row],[fecha]])</f>
        <v>49</v>
      </c>
      <c r="Y343">
        <v>49</v>
      </c>
      <c r="Z343" s="7">
        <f>Tabla1[[#This Row],[suero_litros]]*Tabla1[[#This Row],[suero_grasa_g_l]]/1000</f>
        <v>35.906160000000007</v>
      </c>
      <c r="AA343" s="7">
        <f>Tabla1[[#This Row],[suero_litros]]*Tabla1[[#This Row],[suero_prot_g_l]]/1000</f>
        <v>34.443690000000004</v>
      </c>
      <c r="AB343" s="7">
        <f>Tabla1[[#This Row],[suero_est_g_l]]*Tabla1[[#This Row],[suero_litros]]/1000</f>
        <v>333.44316000000003</v>
      </c>
    </row>
    <row r="344" spans="1:28" x14ac:dyDescent="0.25">
      <c r="A344" s="1">
        <v>45633</v>
      </c>
      <c r="B344">
        <v>0</v>
      </c>
      <c r="C344">
        <v>0</v>
      </c>
      <c r="D344">
        <v>0</v>
      </c>
      <c r="E344">
        <v>0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f>Tabla1[[#This Row],[entrada_litros]]*Tabla1[[#This Row],[entrada_grasa_g_l]]/1000</f>
        <v>0</v>
      </c>
      <c r="R344">
        <f>Tabla1[[#This Row],[entrada_prot_g_l]]*Tabla1[[#This Row],[entrada_litros]]/1000</f>
        <v>0</v>
      </c>
      <c r="S344">
        <f>Tabla1[[#This Row],[cuba_fab_litros]]*Tabla1[[#This Row],[cuba_fab_grasa_g_l]]/1000</f>
        <v>0</v>
      </c>
      <c r="T344">
        <f>Tabla1[[#This Row],[cuba_fab_litros]]*Tabla1[[#This Row],[cuba_fab_prot_g_l]]/1000</f>
        <v>0</v>
      </c>
      <c r="U344">
        <f>Tabla1[[#This Row],[queso_kg]]*Tabla1[[#This Row],[queso_est_pct]]/100</f>
        <v>0</v>
      </c>
      <c r="V344">
        <f>Tabla1[[#This Row],[queso_kg]]*Tabla1[[#This Row],[queso_mg_pct]]/100</f>
        <v>0</v>
      </c>
      <c r="W344">
        <f>Tabla1[[#This Row],[queso_est_kg]]-Tabla1[[#This Row],[queso_mg_kg]]</f>
        <v>0</v>
      </c>
      <c r="X344">
        <f>_xlfn.ISOWEEKNUM(Tabla1[[#This Row],[fecha]])</f>
        <v>49</v>
      </c>
      <c r="Y344">
        <v>49</v>
      </c>
      <c r="Z344" s="7">
        <f>Tabla1[[#This Row],[suero_litros]]*Tabla1[[#This Row],[suero_grasa_g_l]]/1000</f>
        <v>0</v>
      </c>
      <c r="AA344" s="7">
        <f>Tabla1[[#This Row],[suero_litros]]*Tabla1[[#This Row],[suero_prot_g_l]]/1000</f>
        <v>0</v>
      </c>
      <c r="AB344" s="7">
        <f>Tabla1[[#This Row],[suero_est_g_l]]*Tabla1[[#This Row],[suero_litros]]/1000</f>
        <v>0</v>
      </c>
    </row>
    <row r="345" spans="1:28" x14ac:dyDescent="0.25">
      <c r="A345" s="1">
        <v>45634</v>
      </c>
      <c r="B345">
        <v>4831</v>
      </c>
      <c r="C345">
        <v>4690</v>
      </c>
      <c r="D345">
        <v>42.95</v>
      </c>
      <c r="E345">
        <v>34.700000000000003</v>
      </c>
      <c r="F345">
        <v>0</v>
      </c>
      <c r="G345">
        <v>0</v>
      </c>
      <c r="H345">
        <v>0</v>
      </c>
      <c r="I345">
        <v>4690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f>Tabla1[[#This Row],[entrada_litros]]*Tabla1[[#This Row],[entrada_grasa_g_l]]/1000</f>
        <v>201.43549999999999</v>
      </c>
      <c r="R345">
        <f>Tabla1[[#This Row],[entrada_prot_g_l]]*Tabla1[[#This Row],[entrada_litros]]/1000</f>
        <v>162.74299999999999</v>
      </c>
      <c r="S345">
        <f>Tabla1[[#This Row],[cuba_fab_litros]]*Tabla1[[#This Row],[cuba_fab_grasa_g_l]]/1000</f>
        <v>0</v>
      </c>
      <c r="T345">
        <f>Tabla1[[#This Row],[cuba_fab_litros]]*Tabla1[[#This Row],[cuba_fab_prot_g_l]]/1000</f>
        <v>0</v>
      </c>
      <c r="U345">
        <f>Tabla1[[#This Row],[queso_kg]]*Tabla1[[#This Row],[queso_est_pct]]/100</f>
        <v>0</v>
      </c>
      <c r="V345">
        <f>Tabla1[[#This Row],[queso_kg]]*Tabla1[[#This Row],[queso_mg_pct]]/100</f>
        <v>0</v>
      </c>
      <c r="W345">
        <f>Tabla1[[#This Row],[queso_est_kg]]-Tabla1[[#This Row],[queso_mg_kg]]</f>
        <v>0</v>
      </c>
      <c r="X345">
        <f>_xlfn.ISOWEEKNUM(Tabla1[[#This Row],[fecha]])</f>
        <v>49</v>
      </c>
      <c r="Y345">
        <v>50</v>
      </c>
      <c r="Z345" s="7">
        <f>Tabla1[[#This Row],[suero_litros]]*Tabla1[[#This Row],[suero_grasa_g_l]]/1000</f>
        <v>0</v>
      </c>
      <c r="AA345" s="7">
        <f>Tabla1[[#This Row],[suero_litros]]*Tabla1[[#This Row],[suero_prot_g_l]]/1000</f>
        <v>0</v>
      </c>
      <c r="AB345" s="7">
        <f>Tabla1[[#This Row],[suero_est_g_l]]*Tabla1[[#This Row],[suero_litros]]/1000</f>
        <v>0</v>
      </c>
    </row>
    <row r="346" spans="1:28" x14ac:dyDescent="0.25">
      <c r="A346" s="1">
        <v>45635</v>
      </c>
      <c r="B346">
        <v>5432</v>
      </c>
      <c r="C346">
        <v>5274</v>
      </c>
      <c r="D346">
        <v>40.08</v>
      </c>
      <c r="E346">
        <v>37.97</v>
      </c>
      <c r="F346">
        <v>5028</v>
      </c>
      <c r="G346">
        <v>39.08</v>
      </c>
      <c r="H346">
        <v>34.79</v>
      </c>
      <c r="I346">
        <v>4964</v>
      </c>
      <c r="J346">
        <v>638.34</v>
      </c>
      <c r="K346">
        <v>53.66</v>
      </c>
      <c r="L346">
        <v>27.74</v>
      </c>
      <c r="M346">
        <v>4430</v>
      </c>
      <c r="N346">
        <v>4.28</v>
      </c>
      <c r="O346">
        <v>6.26</v>
      </c>
      <c r="P346">
        <v>61.91</v>
      </c>
      <c r="Q346">
        <f>Tabla1[[#This Row],[entrada_litros]]*Tabla1[[#This Row],[entrada_grasa_g_l]]/1000</f>
        <v>211.38191999999998</v>
      </c>
      <c r="R346">
        <f>Tabla1[[#This Row],[entrada_prot_g_l]]*Tabla1[[#This Row],[entrada_litros]]/1000</f>
        <v>200.25378000000001</v>
      </c>
      <c r="S346">
        <f>Tabla1[[#This Row],[cuba_fab_litros]]*Tabla1[[#This Row],[cuba_fab_grasa_g_l]]/1000</f>
        <v>196.49423999999999</v>
      </c>
      <c r="T346">
        <f>Tabla1[[#This Row],[cuba_fab_litros]]*Tabla1[[#This Row],[cuba_fab_prot_g_l]]/1000</f>
        <v>174.92411999999999</v>
      </c>
      <c r="U346">
        <f>Tabla1[[#This Row],[queso_kg]]*Tabla1[[#This Row],[queso_est_pct]]/100</f>
        <v>342.53324399999997</v>
      </c>
      <c r="V346">
        <f>Tabla1[[#This Row],[queso_kg]]*Tabla1[[#This Row],[queso_mg_pct]]/100</f>
        <v>177.07551599999999</v>
      </c>
      <c r="W346">
        <f>Tabla1[[#This Row],[queso_est_kg]]-Tabla1[[#This Row],[queso_mg_kg]]</f>
        <v>165.45772799999997</v>
      </c>
      <c r="X346">
        <f>_xlfn.ISOWEEKNUM(Tabla1[[#This Row],[fecha]])</f>
        <v>50</v>
      </c>
      <c r="Y346">
        <v>50</v>
      </c>
      <c r="Z346" s="7">
        <f>Tabla1[[#This Row],[suero_litros]]*Tabla1[[#This Row],[suero_grasa_g_l]]/1000</f>
        <v>18.9604</v>
      </c>
      <c r="AA346" s="7">
        <f>Tabla1[[#This Row],[suero_litros]]*Tabla1[[#This Row],[suero_prot_g_l]]/1000</f>
        <v>27.7318</v>
      </c>
      <c r="AB346" s="7">
        <f>Tabla1[[#This Row],[suero_est_g_l]]*Tabla1[[#This Row],[suero_litros]]/1000</f>
        <v>274.26130000000001</v>
      </c>
    </row>
    <row r="347" spans="1:28" x14ac:dyDescent="0.25">
      <c r="A347" s="1">
        <v>45636</v>
      </c>
      <c r="B347">
        <v>5122</v>
      </c>
      <c r="C347">
        <v>4973</v>
      </c>
      <c r="D347">
        <v>43.7</v>
      </c>
      <c r="E347">
        <v>34.08</v>
      </c>
      <c r="F347">
        <v>5029</v>
      </c>
      <c r="G347">
        <v>40.85</v>
      </c>
      <c r="H347">
        <v>34.01</v>
      </c>
      <c r="I347">
        <v>4937</v>
      </c>
      <c r="J347">
        <v>597.30999999999995</v>
      </c>
      <c r="K347">
        <v>54.21</v>
      </c>
      <c r="L347">
        <v>27.99</v>
      </c>
      <c r="M347">
        <v>4471</v>
      </c>
      <c r="N347">
        <v>8.41</v>
      </c>
      <c r="O347">
        <v>8.4600000000000009</v>
      </c>
      <c r="P347">
        <v>66.84</v>
      </c>
      <c r="Q347">
        <f>Tabla1[[#This Row],[entrada_litros]]*Tabla1[[#This Row],[entrada_grasa_g_l]]/1000</f>
        <v>217.3201</v>
      </c>
      <c r="R347">
        <f>Tabla1[[#This Row],[entrada_prot_g_l]]*Tabla1[[#This Row],[entrada_litros]]/1000</f>
        <v>169.47984</v>
      </c>
      <c r="S347">
        <f>Tabla1[[#This Row],[cuba_fab_litros]]*Tabla1[[#This Row],[cuba_fab_grasa_g_l]]/1000</f>
        <v>205.43465</v>
      </c>
      <c r="T347">
        <f>Tabla1[[#This Row],[cuba_fab_litros]]*Tabla1[[#This Row],[cuba_fab_prot_g_l]]/1000</f>
        <v>171.03628999999998</v>
      </c>
      <c r="U347">
        <f>Tabla1[[#This Row],[queso_kg]]*Tabla1[[#This Row],[queso_est_pct]]/100</f>
        <v>323.80175099999997</v>
      </c>
      <c r="V347">
        <f>Tabla1[[#This Row],[queso_kg]]*Tabla1[[#This Row],[queso_mg_pct]]/100</f>
        <v>167.18706899999998</v>
      </c>
      <c r="W347">
        <f>Tabla1[[#This Row],[queso_est_kg]]-Tabla1[[#This Row],[queso_mg_kg]]</f>
        <v>156.61468199999999</v>
      </c>
      <c r="X347">
        <f>_xlfn.ISOWEEKNUM(Tabla1[[#This Row],[fecha]])</f>
        <v>50</v>
      </c>
      <c r="Y347">
        <v>50</v>
      </c>
      <c r="Z347" s="7">
        <f>Tabla1[[#This Row],[suero_litros]]*Tabla1[[#This Row],[suero_grasa_g_l]]/1000</f>
        <v>37.601109999999998</v>
      </c>
      <c r="AA347" s="7">
        <f>Tabla1[[#This Row],[suero_litros]]*Tabla1[[#This Row],[suero_prot_g_l]]/1000</f>
        <v>37.824660000000002</v>
      </c>
      <c r="AB347" s="7">
        <f>Tabla1[[#This Row],[suero_est_g_l]]*Tabla1[[#This Row],[suero_litros]]/1000</f>
        <v>298.84164000000004</v>
      </c>
    </row>
    <row r="348" spans="1:28" x14ac:dyDescent="0.25">
      <c r="A348" s="1">
        <v>45637</v>
      </c>
      <c r="B348">
        <v>5180</v>
      </c>
      <c r="C348">
        <v>5029</v>
      </c>
      <c r="D348">
        <v>43.14</v>
      </c>
      <c r="E348">
        <v>36.299999999999997</v>
      </c>
      <c r="F348">
        <v>5028</v>
      </c>
      <c r="G348">
        <v>40.69</v>
      </c>
      <c r="H348">
        <v>34.049999999999997</v>
      </c>
      <c r="I348">
        <v>4966</v>
      </c>
      <c r="J348">
        <v>595.36</v>
      </c>
      <c r="K348">
        <v>52.85</v>
      </c>
      <c r="L348">
        <v>27.4</v>
      </c>
      <c r="M348">
        <v>4472</v>
      </c>
      <c r="N348">
        <v>9.1300000000000008</v>
      </c>
      <c r="O348">
        <v>7.87</v>
      </c>
      <c r="P348">
        <v>67.81</v>
      </c>
      <c r="Q348">
        <f>Tabla1[[#This Row],[entrada_litros]]*Tabla1[[#This Row],[entrada_grasa_g_l]]/1000</f>
        <v>216.95105999999998</v>
      </c>
      <c r="R348">
        <f>Tabla1[[#This Row],[entrada_prot_g_l]]*Tabla1[[#This Row],[entrada_litros]]/1000</f>
        <v>182.55269999999999</v>
      </c>
      <c r="S348">
        <f>Tabla1[[#This Row],[cuba_fab_litros]]*Tabla1[[#This Row],[cuba_fab_grasa_g_l]]/1000</f>
        <v>204.58931999999999</v>
      </c>
      <c r="T348">
        <f>Tabla1[[#This Row],[cuba_fab_litros]]*Tabla1[[#This Row],[cuba_fab_prot_g_l]]/1000</f>
        <v>171.20339999999999</v>
      </c>
      <c r="U348">
        <f>Tabla1[[#This Row],[queso_kg]]*Tabla1[[#This Row],[queso_est_pct]]/100</f>
        <v>314.64776000000001</v>
      </c>
      <c r="V348">
        <f>Tabla1[[#This Row],[queso_kg]]*Tabla1[[#This Row],[queso_mg_pct]]/100</f>
        <v>163.12863999999999</v>
      </c>
      <c r="W348">
        <f>Tabla1[[#This Row],[queso_est_kg]]-Tabla1[[#This Row],[queso_mg_kg]]</f>
        <v>151.51912000000002</v>
      </c>
      <c r="X348">
        <f>_xlfn.ISOWEEKNUM(Tabla1[[#This Row],[fecha]])</f>
        <v>50</v>
      </c>
      <c r="Y348">
        <v>50</v>
      </c>
      <c r="Z348" s="7">
        <f>Tabla1[[#This Row],[suero_litros]]*Tabla1[[#This Row],[suero_grasa_g_l]]/1000</f>
        <v>40.829360000000001</v>
      </c>
      <c r="AA348" s="7">
        <f>Tabla1[[#This Row],[suero_litros]]*Tabla1[[#This Row],[suero_prot_g_l]]/1000</f>
        <v>35.19464</v>
      </c>
      <c r="AB348" s="7">
        <f>Tabla1[[#This Row],[suero_est_g_l]]*Tabla1[[#This Row],[suero_litros]]/1000</f>
        <v>303.24632000000003</v>
      </c>
    </row>
    <row r="349" spans="1:28" x14ac:dyDescent="0.25">
      <c r="A349" s="1">
        <v>45638</v>
      </c>
      <c r="B349">
        <v>5411</v>
      </c>
      <c r="C349">
        <v>5253</v>
      </c>
      <c r="D349">
        <v>42.63</v>
      </c>
      <c r="E349">
        <v>36.22</v>
      </c>
      <c r="F349">
        <v>5021</v>
      </c>
      <c r="G349">
        <v>40.75</v>
      </c>
      <c r="H349">
        <v>34.54</v>
      </c>
      <c r="I349">
        <v>5219</v>
      </c>
      <c r="J349">
        <v>655.7</v>
      </c>
      <c r="K349">
        <v>52.17</v>
      </c>
      <c r="L349">
        <v>26.99</v>
      </c>
      <c r="M349">
        <v>4406</v>
      </c>
      <c r="N349">
        <v>6.17</v>
      </c>
      <c r="O349">
        <v>4.8099999999999996</v>
      </c>
      <c r="P349">
        <v>62.13</v>
      </c>
      <c r="Q349">
        <f>Tabla1[[#This Row],[entrada_litros]]*Tabla1[[#This Row],[entrada_grasa_g_l]]/1000</f>
        <v>223.93539000000001</v>
      </c>
      <c r="R349">
        <f>Tabla1[[#This Row],[entrada_prot_g_l]]*Tabla1[[#This Row],[entrada_litros]]/1000</f>
        <v>190.26366000000002</v>
      </c>
      <c r="S349">
        <f>Tabla1[[#This Row],[cuba_fab_litros]]*Tabla1[[#This Row],[cuba_fab_grasa_g_l]]/1000</f>
        <v>204.60575</v>
      </c>
      <c r="T349">
        <f>Tabla1[[#This Row],[cuba_fab_litros]]*Tabla1[[#This Row],[cuba_fab_prot_g_l]]/1000</f>
        <v>173.42534000000001</v>
      </c>
      <c r="U349">
        <f>Tabla1[[#This Row],[queso_kg]]*Tabla1[[#This Row],[queso_est_pct]]/100</f>
        <v>342.07869000000005</v>
      </c>
      <c r="V349">
        <f>Tabla1[[#This Row],[queso_kg]]*Tabla1[[#This Row],[queso_mg_pct]]/100</f>
        <v>176.97343000000001</v>
      </c>
      <c r="W349">
        <f>Tabla1[[#This Row],[queso_est_kg]]-Tabla1[[#This Row],[queso_mg_kg]]</f>
        <v>165.10526000000004</v>
      </c>
      <c r="X349">
        <f>_xlfn.ISOWEEKNUM(Tabla1[[#This Row],[fecha]])</f>
        <v>50</v>
      </c>
      <c r="Y349">
        <v>50</v>
      </c>
      <c r="Z349" s="7">
        <f>Tabla1[[#This Row],[suero_litros]]*Tabla1[[#This Row],[suero_grasa_g_l]]/1000</f>
        <v>27.185020000000002</v>
      </c>
      <c r="AA349" s="7">
        <f>Tabla1[[#This Row],[suero_litros]]*Tabla1[[#This Row],[suero_prot_g_l]]/1000</f>
        <v>21.192859999999996</v>
      </c>
      <c r="AB349" s="7">
        <f>Tabla1[[#This Row],[suero_est_g_l]]*Tabla1[[#This Row],[suero_litros]]/1000</f>
        <v>273.74478000000005</v>
      </c>
    </row>
    <row r="350" spans="1:28" x14ac:dyDescent="0.25">
      <c r="A350" s="1">
        <v>45639</v>
      </c>
      <c r="B350">
        <v>0</v>
      </c>
      <c r="C350">
        <v>0</v>
      </c>
      <c r="D350">
        <v>0</v>
      </c>
      <c r="E350">
        <v>0</v>
      </c>
      <c r="F350">
        <v>5248</v>
      </c>
      <c r="G350">
        <v>40.71</v>
      </c>
      <c r="H350">
        <v>34.700000000000003</v>
      </c>
      <c r="I350">
        <v>0</v>
      </c>
      <c r="J350">
        <v>614</v>
      </c>
      <c r="K350">
        <v>52.89</v>
      </c>
      <c r="L350">
        <v>26.58</v>
      </c>
      <c r="M350">
        <v>4675</v>
      </c>
      <c r="N350">
        <v>10.58</v>
      </c>
      <c r="O350">
        <v>8.83</v>
      </c>
      <c r="P350">
        <v>69.8</v>
      </c>
      <c r="Q350">
        <f>Tabla1[[#This Row],[entrada_litros]]*Tabla1[[#This Row],[entrada_grasa_g_l]]/1000</f>
        <v>0</v>
      </c>
      <c r="R350">
        <f>Tabla1[[#This Row],[entrada_prot_g_l]]*Tabla1[[#This Row],[entrada_litros]]/1000</f>
        <v>0</v>
      </c>
      <c r="S350">
        <f>Tabla1[[#This Row],[cuba_fab_litros]]*Tabla1[[#This Row],[cuba_fab_grasa_g_l]]/1000</f>
        <v>213.64608000000001</v>
      </c>
      <c r="T350">
        <f>Tabla1[[#This Row],[cuba_fab_litros]]*Tabla1[[#This Row],[cuba_fab_prot_g_l]]/1000</f>
        <v>182.10560000000001</v>
      </c>
      <c r="U350">
        <f>Tabla1[[#This Row],[queso_kg]]*Tabla1[[#This Row],[queso_est_pct]]/100</f>
        <v>324.74459999999999</v>
      </c>
      <c r="V350">
        <f>Tabla1[[#This Row],[queso_kg]]*Tabla1[[#This Row],[queso_mg_pct]]/100</f>
        <v>163.2012</v>
      </c>
      <c r="W350">
        <f>Tabla1[[#This Row],[queso_est_kg]]-Tabla1[[#This Row],[queso_mg_kg]]</f>
        <v>161.54339999999999</v>
      </c>
      <c r="X350">
        <f>_xlfn.ISOWEEKNUM(Tabla1[[#This Row],[fecha]])</f>
        <v>50</v>
      </c>
      <c r="Y350">
        <v>50</v>
      </c>
      <c r="Z350" s="7">
        <f>Tabla1[[#This Row],[suero_litros]]*Tabla1[[#This Row],[suero_grasa_g_l]]/1000</f>
        <v>49.461500000000001</v>
      </c>
      <c r="AA350" s="7">
        <f>Tabla1[[#This Row],[suero_litros]]*Tabla1[[#This Row],[suero_prot_g_l]]/1000</f>
        <v>41.280250000000002</v>
      </c>
      <c r="AB350" s="7">
        <f>Tabla1[[#This Row],[suero_est_g_l]]*Tabla1[[#This Row],[suero_litros]]/1000</f>
        <v>326.315</v>
      </c>
    </row>
    <row r="351" spans="1:28" x14ac:dyDescent="0.25">
      <c r="A351" s="1">
        <v>45640</v>
      </c>
      <c r="B351">
        <v>0</v>
      </c>
      <c r="C351">
        <v>0</v>
      </c>
      <c r="D351">
        <v>0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f>Tabla1[[#This Row],[entrada_litros]]*Tabla1[[#This Row],[entrada_grasa_g_l]]/1000</f>
        <v>0</v>
      </c>
      <c r="R351">
        <f>Tabla1[[#This Row],[entrada_prot_g_l]]*Tabla1[[#This Row],[entrada_litros]]/1000</f>
        <v>0</v>
      </c>
      <c r="S351">
        <f>Tabla1[[#This Row],[cuba_fab_litros]]*Tabla1[[#This Row],[cuba_fab_grasa_g_l]]/1000</f>
        <v>0</v>
      </c>
      <c r="T351">
        <f>Tabla1[[#This Row],[cuba_fab_litros]]*Tabla1[[#This Row],[cuba_fab_prot_g_l]]/1000</f>
        <v>0</v>
      </c>
      <c r="U351">
        <f>Tabla1[[#This Row],[queso_kg]]*Tabla1[[#This Row],[queso_est_pct]]/100</f>
        <v>0</v>
      </c>
      <c r="V351">
        <f>Tabla1[[#This Row],[queso_kg]]*Tabla1[[#This Row],[queso_mg_pct]]/100</f>
        <v>0</v>
      </c>
      <c r="W351">
        <f>Tabla1[[#This Row],[queso_est_kg]]-Tabla1[[#This Row],[queso_mg_kg]]</f>
        <v>0</v>
      </c>
      <c r="X351">
        <f>_xlfn.ISOWEEKNUM(Tabla1[[#This Row],[fecha]])</f>
        <v>50</v>
      </c>
      <c r="Y351">
        <v>50</v>
      </c>
      <c r="Z351" s="7">
        <f>Tabla1[[#This Row],[suero_litros]]*Tabla1[[#This Row],[suero_grasa_g_l]]/1000</f>
        <v>0</v>
      </c>
      <c r="AA351" s="7">
        <f>Tabla1[[#This Row],[suero_litros]]*Tabla1[[#This Row],[suero_prot_g_l]]/1000</f>
        <v>0</v>
      </c>
      <c r="AB351" s="7">
        <f>Tabla1[[#This Row],[suero_est_g_l]]*Tabla1[[#This Row],[suero_litros]]/1000</f>
        <v>0</v>
      </c>
    </row>
    <row r="352" spans="1:28" x14ac:dyDescent="0.25">
      <c r="A352" s="1">
        <v>45641</v>
      </c>
      <c r="B352">
        <v>5501</v>
      </c>
      <c r="C352">
        <v>5341</v>
      </c>
      <c r="D352">
        <v>41.39</v>
      </c>
      <c r="E352">
        <v>37.15</v>
      </c>
      <c r="F352">
        <v>0</v>
      </c>
      <c r="G352">
        <v>0</v>
      </c>
      <c r="H352">
        <v>0</v>
      </c>
      <c r="I352">
        <v>5341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f>Tabla1[[#This Row],[entrada_litros]]*Tabla1[[#This Row],[entrada_grasa_g_l]]/1000</f>
        <v>221.06398999999999</v>
      </c>
      <c r="R352">
        <f>Tabla1[[#This Row],[entrada_prot_g_l]]*Tabla1[[#This Row],[entrada_litros]]/1000</f>
        <v>198.41815</v>
      </c>
      <c r="S352">
        <f>Tabla1[[#This Row],[cuba_fab_litros]]*Tabla1[[#This Row],[cuba_fab_grasa_g_l]]/1000</f>
        <v>0</v>
      </c>
      <c r="T352">
        <f>Tabla1[[#This Row],[cuba_fab_litros]]*Tabla1[[#This Row],[cuba_fab_prot_g_l]]/1000</f>
        <v>0</v>
      </c>
      <c r="U352">
        <f>Tabla1[[#This Row],[queso_kg]]*Tabla1[[#This Row],[queso_est_pct]]/100</f>
        <v>0</v>
      </c>
      <c r="V352">
        <f>Tabla1[[#This Row],[queso_kg]]*Tabla1[[#This Row],[queso_mg_pct]]/100</f>
        <v>0</v>
      </c>
      <c r="W352">
        <f>Tabla1[[#This Row],[queso_est_kg]]-Tabla1[[#This Row],[queso_mg_kg]]</f>
        <v>0</v>
      </c>
      <c r="X352">
        <f>_xlfn.ISOWEEKNUM(Tabla1[[#This Row],[fecha]])</f>
        <v>50</v>
      </c>
      <c r="Y352">
        <v>51</v>
      </c>
      <c r="Z352" s="7">
        <f>Tabla1[[#This Row],[suero_litros]]*Tabla1[[#This Row],[suero_grasa_g_l]]/1000</f>
        <v>0</v>
      </c>
      <c r="AA352" s="7">
        <f>Tabla1[[#This Row],[suero_litros]]*Tabla1[[#This Row],[suero_prot_g_l]]/1000</f>
        <v>0</v>
      </c>
      <c r="AB352" s="7">
        <f>Tabla1[[#This Row],[suero_est_g_l]]*Tabla1[[#This Row],[suero_litros]]/1000</f>
        <v>0</v>
      </c>
    </row>
    <row r="353" spans="1:28" x14ac:dyDescent="0.25">
      <c r="A353" s="1">
        <v>45642</v>
      </c>
      <c r="B353">
        <v>5264</v>
      </c>
      <c r="C353">
        <v>5111</v>
      </c>
      <c r="D353">
        <v>41.21</v>
      </c>
      <c r="E353">
        <v>35.08</v>
      </c>
      <c r="F353">
        <v>5024</v>
      </c>
      <c r="G353">
        <v>39.64</v>
      </c>
      <c r="H353">
        <v>34.82</v>
      </c>
      <c r="I353">
        <v>5452</v>
      </c>
      <c r="J353">
        <v>674.55</v>
      </c>
      <c r="K353">
        <v>52.18</v>
      </c>
      <c r="L353">
        <v>26.57</v>
      </c>
      <c r="M353">
        <v>4390</v>
      </c>
      <c r="N353">
        <v>4.42</v>
      </c>
      <c r="O353">
        <v>4.5</v>
      </c>
      <c r="P353">
        <v>59.17</v>
      </c>
      <c r="Q353">
        <f>Tabla1[[#This Row],[entrada_litros]]*Tabla1[[#This Row],[entrada_grasa_g_l]]/1000</f>
        <v>210.62431000000001</v>
      </c>
      <c r="R353">
        <f>Tabla1[[#This Row],[entrada_prot_g_l]]*Tabla1[[#This Row],[entrada_litros]]/1000</f>
        <v>179.29388</v>
      </c>
      <c r="S353">
        <f>Tabla1[[#This Row],[cuba_fab_litros]]*Tabla1[[#This Row],[cuba_fab_grasa_g_l]]/1000</f>
        <v>199.15136000000001</v>
      </c>
      <c r="T353">
        <f>Tabla1[[#This Row],[cuba_fab_litros]]*Tabla1[[#This Row],[cuba_fab_prot_g_l]]/1000</f>
        <v>174.93567999999999</v>
      </c>
      <c r="U353">
        <f>Tabla1[[#This Row],[queso_kg]]*Tabla1[[#This Row],[queso_est_pct]]/100</f>
        <v>351.98018999999999</v>
      </c>
      <c r="V353">
        <f>Tabla1[[#This Row],[queso_kg]]*Tabla1[[#This Row],[queso_mg_pct]]/100</f>
        <v>179.227935</v>
      </c>
      <c r="W353">
        <f>Tabla1[[#This Row],[queso_est_kg]]-Tabla1[[#This Row],[queso_mg_kg]]</f>
        <v>172.75225499999999</v>
      </c>
      <c r="X353">
        <f>_xlfn.ISOWEEKNUM(Tabla1[[#This Row],[fecha]])</f>
        <v>51</v>
      </c>
      <c r="Y353">
        <v>51</v>
      </c>
      <c r="Z353" s="7">
        <f>Tabla1[[#This Row],[suero_litros]]*Tabla1[[#This Row],[suero_grasa_g_l]]/1000</f>
        <v>19.4038</v>
      </c>
      <c r="AA353" s="7">
        <f>Tabla1[[#This Row],[suero_litros]]*Tabla1[[#This Row],[suero_prot_g_l]]/1000</f>
        <v>19.754999999999999</v>
      </c>
      <c r="AB353" s="7">
        <f>Tabla1[[#This Row],[suero_est_g_l]]*Tabla1[[#This Row],[suero_litros]]/1000</f>
        <v>259.75630000000001</v>
      </c>
    </row>
    <row r="354" spans="1:28" x14ac:dyDescent="0.25">
      <c r="A354" s="1">
        <v>45643</v>
      </c>
      <c r="B354">
        <v>5119</v>
      </c>
      <c r="C354">
        <v>4970</v>
      </c>
      <c r="D354">
        <v>40.44</v>
      </c>
      <c r="E354">
        <v>36.409999999999997</v>
      </c>
      <c r="F354">
        <v>5035</v>
      </c>
      <c r="G354">
        <v>38.9</v>
      </c>
      <c r="H354">
        <v>34.56</v>
      </c>
      <c r="I354">
        <v>5422</v>
      </c>
      <c r="J354">
        <v>644.19000000000005</v>
      </c>
      <c r="K354">
        <v>51.02</v>
      </c>
      <c r="L354">
        <v>26.83</v>
      </c>
      <c r="M354">
        <v>4431</v>
      </c>
      <c r="N354">
        <v>5.05</v>
      </c>
      <c r="O354">
        <v>5.57</v>
      </c>
      <c r="P354">
        <v>60.52</v>
      </c>
      <c r="Q354">
        <f>Tabla1[[#This Row],[entrada_litros]]*Tabla1[[#This Row],[entrada_grasa_g_l]]/1000</f>
        <v>200.98679999999999</v>
      </c>
      <c r="R354">
        <f>Tabla1[[#This Row],[entrada_prot_g_l]]*Tabla1[[#This Row],[entrada_litros]]/1000</f>
        <v>180.95769999999999</v>
      </c>
      <c r="S354">
        <f>Tabla1[[#This Row],[cuba_fab_litros]]*Tabla1[[#This Row],[cuba_fab_grasa_g_l]]/1000</f>
        <v>195.86150000000001</v>
      </c>
      <c r="T354">
        <f>Tabla1[[#This Row],[cuba_fab_litros]]*Tabla1[[#This Row],[cuba_fab_prot_g_l]]/1000</f>
        <v>174.00960000000001</v>
      </c>
      <c r="U354">
        <f>Tabla1[[#This Row],[queso_kg]]*Tabla1[[#This Row],[queso_est_pct]]/100</f>
        <v>328.66573800000003</v>
      </c>
      <c r="V354">
        <f>Tabla1[[#This Row],[queso_kg]]*Tabla1[[#This Row],[queso_mg_pct]]/100</f>
        <v>172.83617699999999</v>
      </c>
      <c r="W354">
        <f>Tabla1[[#This Row],[queso_est_kg]]-Tabla1[[#This Row],[queso_mg_kg]]</f>
        <v>155.82956100000004</v>
      </c>
      <c r="X354">
        <f>_xlfn.ISOWEEKNUM(Tabla1[[#This Row],[fecha]])</f>
        <v>51</v>
      </c>
      <c r="Y354">
        <v>51</v>
      </c>
      <c r="Z354" s="7">
        <f>Tabla1[[#This Row],[suero_litros]]*Tabla1[[#This Row],[suero_grasa_g_l]]/1000</f>
        <v>22.376549999999998</v>
      </c>
      <c r="AA354" s="7">
        <f>Tabla1[[#This Row],[suero_litros]]*Tabla1[[#This Row],[suero_prot_g_l]]/1000</f>
        <v>24.680670000000003</v>
      </c>
      <c r="AB354" s="7">
        <f>Tabla1[[#This Row],[suero_est_g_l]]*Tabla1[[#This Row],[suero_litros]]/1000</f>
        <v>268.16411999999997</v>
      </c>
    </row>
    <row r="355" spans="1:28" x14ac:dyDescent="0.25">
      <c r="A355" s="1">
        <v>45644</v>
      </c>
      <c r="B355">
        <v>5159</v>
      </c>
      <c r="C355">
        <v>5009</v>
      </c>
      <c r="D355">
        <v>39.03</v>
      </c>
      <c r="E355">
        <v>36.92</v>
      </c>
      <c r="F355">
        <v>5024</v>
      </c>
      <c r="G355">
        <v>38.369999999999997</v>
      </c>
      <c r="H355">
        <v>35.29</v>
      </c>
      <c r="I355">
        <v>5431</v>
      </c>
      <c r="J355">
        <v>594.59</v>
      </c>
      <c r="K355">
        <v>51.58</v>
      </c>
      <c r="L355">
        <v>26.88</v>
      </c>
      <c r="M355">
        <v>4468</v>
      </c>
      <c r="N355">
        <v>7.29</v>
      </c>
      <c r="O355">
        <v>8.83</v>
      </c>
      <c r="P355">
        <v>66.89</v>
      </c>
      <c r="Q355">
        <f>Tabla1[[#This Row],[entrada_litros]]*Tabla1[[#This Row],[entrada_grasa_g_l]]/1000</f>
        <v>195.50127000000001</v>
      </c>
      <c r="R355">
        <f>Tabla1[[#This Row],[entrada_prot_g_l]]*Tabla1[[#This Row],[entrada_litros]]/1000</f>
        <v>184.93227999999999</v>
      </c>
      <c r="S355">
        <f>Tabla1[[#This Row],[cuba_fab_litros]]*Tabla1[[#This Row],[cuba_fab_grasa_g_l]]/1000</f>
        <v>192.77087999999998</v>
      </c>
      <c r="T355">
        <f>Tabla1[[#This Row],[cuba_fab_litros]]*Tabla1[[#This Row],[cuba_fab_prot_g_l]]/1000</f>
        <v>177.29695999999998</v>
      </c>
      <c r="U355">
        <f>Tabla1[[#This Row],[queso_kg]]*Tabla1[[#This Row],[queso_est_pct]]/100</f>
        <v>306.68952200000001</v>
      </c>
      <c r="V355">
        <f>Tabla1[[#This Row],[queso_kg]]*Tabla1[[#This Row],[queso_mg_pct]]/100</f>
        <v>159.82579200000001</v>
      </c>
      <c r="W355">
        <f>Tabla1[[#This Row],[queso_est_kg]]-Tabla1[[#This Row],[queso_mg_kg]]</f>
        <v>146.86373</v>
      </c>
      <c r="X355">
        <f>_xlfn.ISOWEEKNUM(Tabla1[[#This Row],[fecha]])</f>
        <v>51</v>
      </c>
      <c r="Y355">
        <v>51</v>
      </c>
      <c r="Z355" s="7">
        <f>Tabla1[[#This Row],[suero_litros]]*Tabla1[[#This Row],[suero_grasa_g_l]]/1000</f>
        <v>32.571719999999999</v>
      </c>
      <c r="AA355" s="7">
        <f>Tabla1[[#This Row],[suero_litros]]*Tabla1[[#This Row],[suero_prot_g_l]]/1000</f>
        <v>39.452440000000003</v>
      </c>
      <c r="AB355" s="7">
        <f>Tabla1[[#This Row],[suero_est_g_l]]*Tabla1[[#This Row],[suero_litros]]/1000</f>
        <v>298.86452000000003</v>
      </c>
    </row>
    <row r="356" spans="1:28" x14ac:dyDescent="0.25">
      <c r="A356" s="1">
        <v>45645</v>
      </c>
      <c r="B356">
        <v>5318</v>
      </c>
      <c r="C356">
        <v>5163</v>
      </c>
      <c r="D356">
        <v>43.53</v>
      </c>
      <c r="E356">
        <v>36.17</v>
      </c>
      <c r="F356">
        <v>5014</v>
      </c>
      <c r="G356">
        <v>39.619999999999997</v>
      </c>
      <c r="H356">
        <v>34.770000000000003</v>
      </c>
      <c r="I356">
        <v>5594</v>
      </c>
      <c r="J356">
        <v>688.13</v>
      </c>
      <c r="K356">
        <v>50.34</v>
      </c>
      <c r="L356">
        <v>27.4</v>
      </c>
      <c r="M356">
        <v>4367</v>
      </c>
      <c r="N356">
        <v>2.2599999999999998</v>
      </c>
      <c r="O356">
        <v>3.22</v>
      </c>
      <c r="P356">
        <v>54.5</v>
      </c>
      <c r="Q356">
        <f>Tabla1[[#This Row],[entrada_litros]]*Tabla1[[#This Row],[entrada_grasa_g_l]]/1000</f>
        <v>224.74539000000001</v>
      </c>
      <c r="R356">
        <f>Tabla1[[#This Row],[entrada_prot_g_l]]*Tabla1[[#This Row],[entrada_litros]]/1000</f>
        <v>186.74571000000003</v>
      </c>
      <c r="S356">
        <f>Tabla1[[#This Row],[cuba_fab_litros]]*Tabla1[[#This Row],[cuba_fab_grasa_g_l]]/1000</f>
        <v>198.65467999999998</v>
      </c>
      <c r="T356">
        <f>Tabla1[[#This Row],[cuba_fab_litros]]*Tabla1[[#This Row],[cuba_fab_prot_g_l]]/1000</f>
        <v>174.33678000000003</v>
      </c>
      <c r="U356">
        <f>Tabla1[[#This Row],[queso_kg]]*Tabla1[[#This Row],[queso_est_pct]]/100</f>
        <v>346.40464200000002</v>
      </c>
      <c r="V356">
        <f>Tabla1[[#This Row],[queso_kg]]*Tabla1[[#This Row],[queso_mg_pct]]/100</f>
        <v>188.54761999999999</v>
      </c>
      <c r="W356">
        <f>Tabla1[[#This Row],[queso_est_kg]]-Tabla1[[#This Row],[queso_mg_kg]]</f>
        <v>157.85702200000003</v>
      </c>
      <c r="X356">
        <f>_xlfn.ISOWEEKNUM(Tabla1[[#This Row],[fecha]])</f>
        <v>51</v>
      </c>
      <c r="Y356">
        <v>51</v>
      </c>
      <c r="Z356" s="7">
        <f>Tabla1[[#This Row],[suero_litros]]*Tabla1[[#This Row],[suero_grasa_g_l]]/1000</f>
        <v>9.8694199999999981</v>
      </c>
      <c r="AA356" s="7">
        <f>Tabla1[[#This Row],[suero_litros]]*Tabla1[[#This Row],[suero_prot_g_l]]/1000</f>
        <v>14.061740000000002</v>
      </c>
      <c r="AB356" s="7">
        <f>Tabla1[[#This Row],[suero_est_g_l]]*Tabla1[[#This Row],[suero_litros]]/1000</f>
        <v>238.00149999999999</v>
      </c>
    </row>
    <row r="357" spans="1:28" x14ac:dyDescent="0.25">
      <c r="A357" s="1">
        <v>45646</v>
      </c>
      <c r="B357">
        <v>0</v>
      </c>
      <c r="C357">
        <v>0</v>
      </c>
      <c r="D357">
        <v>0</v>
      </c>
      <c r="E357">
        <v>0</v>
      </c>
      <c r="F357">
        <v>5620</v>
      </c>
      <c r="G357">
        <v>39.9</v>
      </c>
      <c r="H357">
        <v>34.869999999999997</v>
      </c>
      <c r="I357">
        <v>0</v>
      </c>
      <c r="J357">
        <v>741.91</v>
      </c>
      <c r="K357">
        <v>51.2</v>
      </c>
      <c r="L357">
        <v>26.97</v>
      </c>
      <c r="M357">
        <v>4924</v>
      </c>
      <c r="N357">
        <v>4.84</v>
      </c>
      <c r="O357">
        <v>5.03</v>
      </c>
      <c r="P357">
        <v>60.4</v>
      </c>
      <c r="Q357">
        <f>Tabla1[[#This Row],[entrada_litros]]*Tabla1[[#This Row],[entrada_grasa_g_l]]/1000</f>
        <v>0</v>
      </c>
      <c r="R357">
        <f>Tabla1[[#This Row],[entrada_prot_g_l]]*Tabla1[[#This Row],[entrada_litros]]/1000</f>
        <v>0</v>
      </c>
      <c r="S357">
        <f>Tabla1[[#This Row],[cuba_fab_litros]]*Tabla1[[#This Row],[cuba_fab_grasa_g_l]]/1000</f>
        <v>224.238</v>
      </c>
      <c r="T357">
        <f>Tabla1[[#This Row],[cuba_fab_litros]]*Tabla1[[#This Row],[cuba_fab_prot_g_l]]/1000</f>
        <v>195.96940000000001</v>
      </c>
      <c r="U357">
        <f>Tabla1[[#This Row],[queso_kg]]*Tabla1[[#This Row],[queso_est_pct]]/100</f>
        <v>379.85792000000004</v>
      </c>
      <c r="V357">
        <f>Tabla1[[#This Row],[queso_kg]]*Tabla1[[#This Row],[queso_mg_pct]]/100</f>
        <v>200.09312699999998</v>
      </c>
      <c r="W357">
        <f>Tabla1[[#This Row],[queso_est_kg]]-Tabla1[[#This Row],[queso_mg_kg]]</f>
        <v>179.76479300000005</v>
      </c>
      <c r="X357">
        <f>_xlfn.ISOWEEKNUM(Tabla1[[#This Row],[fecha]])</f>
        <v>51</v>
      </c>
      <c r="Y357">
        <v>51</v>
      </c>
      <c r="Z357" s="7">
        <f>Tabla1[[#This Row],[suero_litros]]*Tabla1[[#This Row],[suero_grasa_g_l]]/1000</f>
        <v>23.832159999999998</v>
      </c>
      <c r="AA357" s="7">
        <f>Tabla1[[#This Row],[suero_litros]]*Tabla1[[#This Row],[suero_prot_g_l]]/1000</f>
        <v>24.767720000000001</v>
      </c>
      <c r="AB357" s="7">
        <f>Tabla1[[#This Row],[suero_est_g_l]]*Tabla1[[#This Row],[suero_litros]]/1000</f>
        <v>297.40959999999995</v>
      </c>
    </row>
    <row r="358" spans="1:28" x14ac:dyDescent="0.25">
      <c r="A358" s="1">
        <v>45647</v>
      </c>
      <c r="B358">
        <v>0</v>
      </c>
      <c r="C358">
        <v>0</v>
      </c>
      <c r="D358">
        <v>0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f>Tabla1[[#This Row],[entrada_litros]]*Tabla1[[#This Row],[entrada_grasa_g_l]]/1000</f>
        <v>0</v>
      </c>
      <c r="R358">
        <f>Tabla1[[#This Row],[entrada_prot_g_l]]*Tabla1[[#This Row],[entrada_litros]]/1000</f>
        <v>0</v>
      </c>
      <c r="S358">
        <f>Tabla1[[#This Row],[cuba_fab_litros]]*Tabla1[[#This Row],[cuba_fab_grasa_g_l]]/1000</f>
        <v>0</v>
      </c>
      <c r="T358">
        <f>Tabla1[[#This Row],[cuba_fab_litros]]*Tabla1[[#This Row],[cuba_fab_prot_g_l]]/1000</f>
        <v>0</v>
      </c>
      <c r="U358">
        <f>Tabla1[[#This Row],[queso_kg]]*Tabla1[[#This Row],[queso_est_pct]]/100</f>
        <v>0</v>
      </c>
      <c r="V358">
        <f>Tabla1[[#This Row],[queso_kg]]*Tabla1[[#This Row],[queso_mg_pct]]/100</f>
        <v>0</v>
      </c>
      <c r="W358">
        <f>Tabla1[[#This Row],[queso_est_kg]]-Tabla1[[#This Row],[queso_mg_kg]]</f>
        <v>0</v>
      </c>
      <c r="X358">
        <f>_xlfn.ISOWEEKNUM(Tabla1[[#This Row],[fecha]])</f>
        <v>51</v>
      </c>
      <c r="Y358">
        <v>51</v>
      </c>
      <c r="Z358" s="7">
        <f>Tabla1[[#This Row],[suero_litros]]*Tabla1[[#This Row],[suero_grasa_g_l]]/1000</f>
        <v>0</v>
      </c>
      <c r="AA358" s="7">
        <f>Tabla1[[#This Row],[suero_litros]]*Tabla1[[#This Row],[suero_prot_g_l]]/1000</f>
        <v>0</v>
      </c>
      <c r="AB358" s="7">
        <f>Tabla1[[#This Row],[suero_est_g_l]]*Tabla1[[#This Row],[suero_litros]]/1000</f>
        <v>0</v>
      </c>
    </row>
    <row r="359" spans="1:28" x14ac:dyDescent="0.25">
      <c r="A359" s="1">
        <v>45648</v>
      </c>
      <c r="B359">
        <v>5257</v>
      </c>
      <c r="C359">
        <v>5104</v>
      </c>
      <c r="D359">
        <v>39.86</v>
      </c>
      <c r="E359">
        <v>35.83</v>
      </c>
      <c r="F359">
        <v>0</v>
      </c>
      <c r="G359">
        <v>0</v>
      </c>
      <c r="H359">
        <v>0</v>
      </c>
      <c r="I359">
        <v>5104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f>Tabla1[[#This Row],[entrada_litros]]*Tabla1[[#This Row],[entrada_grasa_g_l]]/1000</f>
        <v>203.44543999999999</v>
      </c>
      <c r="R359">
        <f>Tabla1[[#This Row],[entrada_prot_g_l]]*Tabla1[[#This Row],[entrada_litros]]/1000</f>
        <v>182.87631999999996</v>
      </c>
      <c r="S359">
        <f>Tabla1[[#This Row],[cuba_fab_litros]]*Tabla1[[#This Row],[cuba_fab_grasa_g_l]]/1000</f>
        <v>0</v>
      </c>
      <c r="T359">
        <f>Tabla1[[#This Row],[cuba_fab_litros]]*Tabla1[[#This Row],[cuba_fab_prot_g_l]]/1000</f>
        <v>0</v>
      </c>
      <c r="U359">
        <f>Tabla1[[#This Row],[queso_kg]]*Tabla1[[#This Row],[queso_est_pct]]/100</f>
        <v>0</v>
      </c>
      <c r="V359">
        <f>Tabla1[[#This Row],[queso_kg]]*Tabla1[[#This Row],[queso_mg_pct]]/100</f>
        <v>0</v>
      </c>
      <c r="W359">
        <f>Tabla1[[#This Row],[queso_est_kg]]-Tabla1[[#This Row],[queso_mg_kg]]</f>
        <v>0</v>
      </c>
      <c r="X359">
        <f>_xlfn.ISOWEEKNUM(Tabla1[[#This Row],[fecha]])</f>
        <v>51</v>
      </c>
      <c r="Y359">
        <v>52</v>
      </c>
      <c r="Z359" s="7">
        <f>Tabla1[[#This Row],[suero_litros]]*Tabla1[[#This Row],[suero_grasa_g_l]]/1000</f>
        <v>0</v>
      </c>
      <c r="AA359" s="7">
        <f>Tabla1[[#This Row],[suero_litros]]*Tabla1[[#This Row],[suero_prot_g_l]]/1000</f>
        <v>0</v>
      </c>
      <c r="AB359" s="7">
        <f>Tabla1[[#This Row],[suero_est_g_l]]*Tabla1[[#This Row],[suero_litros]]/1000</f>
        <v>0</v>
      </c>
    </row>
    <row r="360" spans="1:28" x14ac:dyDescent="0.25">
      <c r="A360" s="1">
        <v>45649</v>
      </c>
      <c r="B360">
        <v>5322</v>
      </c>
      <c r="C360">
        <v>5167</v>
      </c>
      <c r="D360">
        <v>42.05</v>
      </c>
      <c r="E360">
        <v>35.700000000000003</v>
      </c>
      <c r="F360">
        <v>5030</v>
      </c>
      <c r="G360">
        <v>38.96</v>
      </c>
      <c r="H360">
        <v>33.880000000000003</v>
      </c>
      <c r="I360">
        <v>5271</v>
      </c>
      <c r="J360">
        <v>603.83000000000004</v>
      </c>
      <c r="K360">
        <v>51.74</v>
      </c>
      <c r="L360">
        <v>27.96</v>
      </c>
      <c r="M360">
        <v>4465</v>
      </c>
      <c r="N360">
        <v>5.95</v>
      </c>
      <c r="O360">
        <v>6.54</v>
      </c>
      <c r="P360">
        <v>64.099999999999994</v>
      </c>
      <c r="Q360">
        <f>Tabla1[[#This Row],[entrada_litros]]*Tabla1[[#This Row],[entrada_grasa_g_l]]/1000</f>
        <v>217.27234999999999</v>
      </c>
      <c r="R360">
        <f>Tabla1[[#This Row],[entrada_prot_g_l]]*Tabla1[[#This Row],[entrada_litros]]/1000</f>
        <v>184.46190000000001</v>
      </c>
      <c r="S360">
        <f>Tabla1[[#This Row],[cuba_fab_litros]]*Tabla1[[#This Row],[cuba_fab_grasa_g_l]]/1000</f>
        <v>195.96880000000002</v>
      </c>
      <c r="T360">
        <f>Tabla1[[#This Row],[cuba_fab_litros]]*Tabla1[[#This Row],[cuba_fab_prot_g_l]]/1000</f>
        <v>170.41640000000001</v>
      </c>
      <c r="U360">
        <f>Tabla1[[#This Row],[queso_kg]]*Tabla1[[#This Row],[queso_est_pct]]/100</f>
        <v>312.42164200000002</v>
      </c>
      <c r="V360">
        <f>Tabla1[[#This Row],[queso_kg]]*Tabla1[[#This Row],[queso_mg_pct]]/100</f>
        <v>168.83086800000001</v>
      </c>
      <c r="W360">
        <f>Tabla1[[#This Row],[queso_est_kg]]-Tabla1[[#This Row],[queso_mg_kg]]</f>
        <v>143.59077400000001</v>
      </c>
      <c r="X360">
        <f>_xlfn.ISOWEEKNUM(Tabla1[[#This Row],[fecha]])</f>
        <v>52</v>
      </c>
      <c r="Y360">
        <v>52</v>
      </c>
      <c r="Z360" s="7">
        <f>Tabla1[[#This Row],[suero_litros]]*Tabla1[[#This Row],[suero_grasa_g_l]]/1000</f>
        <v>26.566749999999999</v>
      </c>
      <c r="AA360" s="7">
        <f>Tabla1[[#This Row],[suero_litros]]*Tabla1[[#This Row],[suero_prot_g_l]]/1000</f>
        <v>29.2011</v>
      </c>
      <c r="AB360" s="7">
        <f>Tabla1[[#This Row],[suero_est_g_l]]*Tabla1[[#This Row],[suero_litros]]/1000</f>
        <v>286.20650000000001</v>
      </c>
    </row>
    <row r="361" spans="1:28" x14ac:dyDescent="0.25">
      <c r="A361" s="1">
        <v>45650</v>
      </c>
      <c r="B361">
        <v>4869</v>
      </c>
      <c r="C361">
        <v>4727</v>
      </c>
      <c r="D361">
        <v>43.28</v>
      </c>
      <c r="E361">
        <v>37.29</v>
      </c>
      <c r="F361">
        <v>5015</v>
      </c>
      <c r="G361">
        <v>40.21</v>
      </c>
      <c r="H361">
        <v>34.86</v>
      </c>
      <c r="I361">
        <v>4998</v>
      </c>
      <c r="J361">
        <v>612.77</v>
      </c>
      <c r="K361">
        <v>52.34</v>
      </c>
      <c r="L361">
        <v>27.72</v>
      </c>
      <c r="M361">
        <v>4442</v>
      </c>
      <c r="N361">
        <v>7.01</v>
      </c>
      <c r="O361">
        <v>9.2799999999999994</v>
      </c>
      <c r="P361">
        <v>66.7</v>
      </c>
      <c r="Q361">
        <f>Tabla1[[#This Row],[entrada_litros]]*Tabla1[[#This Row],[entrada_grasa_g_l]]/1000</f>
        <v>204.58456000000001</v>
      </c>
      <c r="R361">
        <f>Tabla1[[#This Row],[entrada_prot_g_l]]*Tabla1[[#This Row],[entrada_litros]]/1000</f>
        <v>176.26982999999998</v>
      </c>
      <c r="S361">
        <f>Tabla1[[#This Row],[cuba_fab_litros]]*Tabla1[[#This Row],[cuba_fab_grasa_g_l]]/1000</f>
        <v>201.65314999999998</v>
      </c>
      <c r="T361">
        <f>Tabla1[[#This Row],[cuba_fab_litros]]*Tabla1[[#This Row],[cuba_fab_prot_g_l]]/1000</f>
        <v>174.8229</v>
      </c>
      <c r="U361">
        <f>Tabla1[[#This Row],[queso_kg]]*Tabla1[[#This Row],[queso_est_pct]]/100</f>
        <v>320.72381800000005</v>
      </c>
      <c r="V361">
        <f>Tabla1[[#This Row],[queso_kg]]*Tabla1[[#This Row],[queso_mg_pct]]/100</f>
        <v>169.85984399999998</v>
      </c>
      <c r="W361">
        <f>Tabla1[[#This Row],[queso_est_kg]]-Tabla1[[#This Row],[queso_mg_kg]]</f>
        <v>150.86397400000007</v>
      </c>
      <c r="X361">
        <f>_xlfn.ISOWEEKNUM(Tabla1[[#This Row],[fecha]])</f>
        <v>52</v>
      </c>
      <c r="Y361">
        <v>52</v>
      </c>
      <c r="Z361" s="7">
        <f>Tabla1[[#This Row],[suero_litros]]*Tabla1[[#This Row],[suero_grasa_g_l]]/1000</f>
        <v>31.13842</v>
      </c>
      <c r="AA361" s="7">
        <f>Tabla1[[#This Row],[suero_litros]]*Tabla1[[#This Row],[suero_prot_g_l]]/1000</f>
        <v>41.221759999999996</v>
      </c>
      <c r="AB361" s="7">
        <f>Tabla1[[#This Row],[suero_est_g_l]]*Tabla1[[#This Row],[suero_litros]]/1000</f>
        <v>296.28140000000002</v>
      </c>
    </row>
    <row r="362" spans="1:28" x14ac:dyDescent="0.25">
      <c r="A362" s="1">
        <v>45651</v>
      </c>
      <c r="B362">
        <v>5440</v>
      </c>
      <c r="C362">
        <v>5282</v>
      </c>
      <c r="D362">
        <v>42.21</v>
      </c>
      <c r="E362">
        <v>34.82</v>
      </c>
      <c r="F362">
        <v>5033</v>
      </c>
      <c r="G362">
        <v>39.99</v>
      </c>
      <c r="H362">
        <v>34</v>
      </c>
      <c r="I362">
        <v>5280</v>
      </c>
      <c r="J362">
        <v>602.96</v>
      </c>
      <c r="K362">
        <v>52.44</v>
      </c>
      <c r="L362">
        <v>28.21</v>
      </c>
      <c r="M362">
        <v>4469</v>
      </c>
      <c r="N362">
        <v>6.83</v>
      </c>
      <c r="O362">
        <v>7.42</v>
      </c>
      <c r="P362">
        <v>65.739999999999995</v>
      </c>
      <c r="Q362">
        <f>Tabla1[[#This Row],[entrada_litros]]*Tabla1[[#This Row],[entrada_grasa_g_l]]/1000</f>
        <v>222.95321999999999</v>
      </c>
      <c r="R362">
        <f>Tabla1[[#This Row],[entrada_prot_g_l]]*Tabla1[[#This Row],[entrada_litros]]/1000</f>
        <v>183.91924</v>
      </c>
      <c r="S362">
        <f>Tabla1[[#This Row],[cuba_fab_litros]]*Tabla1[[#This Row],[cuba_fab_grasa_g_l]]/1000</f>
        <v>201.26967000000002</v>
      </c>
      <c r="T362">
        <f>Tabla1[[#This Row],[cuba_fab_litros]]*Tabla1[[#This Row],[cuba_fab_prot_g_l]]/1000</f>
        <v>171.12200000000001</v>
      </c>
      <c r="U362">
        <f>Tabla1[[#This Row],[queso_kg]]*Tabla1[[#This Row],[queso_est_pct]]/100</f>
        <v>316.19222400000001</v>
      </c>
      <c r="V362">
        <f>Tabla1[[#This Row],[queso_kg]]*Tabla1[[#This Row],[queso_mg_pct]]/100</f>
        <v>170.09501600000004</v>
      </c>
      <c r="W362">
        <f>Tabla1[[#This Row],[queso_est_kg]]-Tabla1[[#This Row],[queso_mg_kg]]</f>
        <v>146.09720799999997</v>
      </c>
      <c r="X362">
        <f>_xlfn.ISOWEEKNUM(Tabla1[[#This Row],[fecha]])</f>
        <v>52</v>
      </c>
      <c r="Y362">
        <v>52</v>
      </c>
      <c r="Z362" s="7">
        <f>Tabla1[[#This Row],[suero_litros]]*Tabla1[[#This Row],[suero_grasa_g_l]]/1000</f>
        <v>30.52327</v>
      </c>
      <c r="AA362" s="7">
        <f>Tabla1[[#This Row],[suero_litros]]*Tabla1[[#This Row],[suero_prot_g_l]]/1000</f>
        <v>33.159980000000004</v>
      </c>
      <c r="AB362" s="7">
        <f>Tabla1[[#This Row],[suero_est_g_l]]*Tabla1[[#This Row],[suero_litros]]/1000</f>
        <v>293.79205999999999</v>
      </c>
    </row>
    <row r="363" spans="1:28" x14ac:dyDescent="0.25">
      <c r="A363" s="1">
        <v>45652</v>
      </c>
      <c r="B363">
        <v>5355</v>
      </c>
      <c r="C363">
        <v>5199</v>
      </c>
      <c r="D363">
        <v>41.56</v>
      </c>
      <c r="E363">
        <v>35.630000000000003</v>
      </c>
      <c r="F363">
        <v>5032</v>
      </c>
      <c r="G363">
        <v>40.299999999999997</v>
      </c>
      <c r="H363">
        <v>34.03</v>
      </c>
      <c r="I363">
        <v>5479</v>
      </c>
      <c r="J363">
        <v>645.20000000000005</v>
      </c>
      <c r="K363">
        <v>50.48</v>
      </c>
      <c r="L363">
        <v>26.01</v>
      </c>
      <c r="M363">
        <v>4427</v>
      </c>
      <c r="N363">
        <v>7.77</v>
      </c>
      <c r="O363">
        <v>5.76</v>
      </c>
      <c r="P363">
        <v>64.63</v>
      </c>
      <c r="Q363">
        <f>Tabla1[[#This Row],[entrada_litros]]*Tabla1[[#This Row],[entrada_grasa_g_l]]/1000</f>
        <v>216.07043999999999</v>
      </c>
      <c r="R363">
        <f>Tabla1[[#This Row],[entrada_prot_g_l]]*Tabla1[[#This Row],[entrada_litros]]/1000</f>
        <v>185.24037000000001</v>
      </c>
      <c r="S363">
        <f>Tabla1[[#This Row],[cuba_fab_litros]]*Tabla1[[#This Row],[cuba_fab_grasa_g_l]]/1000</f>
        <v>202.78959999999998</v>
      </c>
      <c r="T363">
        <f>Tabla1[[#This Row],[cuba_fab_litros]]*Tabla1[[#This Row],[cuba_fab_prot_g_l]]/1000</f>
        <v>171.23895999999999</v>
      </c>
      <c r="U363">
        <f>Tabla1[[#This Row],[queso_kg]]*Tabla1[[#This Row],[queso_est_pct]]/100</f>
        <v>325.69695999999999</v>
      </c>
      <c r="V363">
        <f>Tabla1[[#This Row],[queso_kg]]*Tabla1[[#This Row],[queso_mg_pct]]/100</f>
        <v>167.81652000000003</v>
      </c>
      <c r="W363">
        <f>Tabla1[[#This Row],[queso_est_kg]]-Tabla1[[#This Row],[queso_mg_kg]]</f>
        <v>157.88043999999996</v>
      </c>
      <c r="X363">
        <f>_xlfn.ISOWEEKNUM(Tabla1[[#This Row],[fecha]])</f>
        <v>52</v>
      </c>
      <c r="Y363">
        <v>52</v>
      </c>
      <c r="Z363" s="7">
        <f>Tabla1[[#This Row],[suero_litros]]*Tabla1[[#This Row],[suero_grasa_g_l]]/1000</f>
        <v>34.397790000000001</v>
      </c>
      <c r="AA363" s="7">
        <f>Tabla1[[#This Row],[suero_litros]]*Tabla1[[#This Row],[suero_prot_g_l]]/1000</f>
        <v>25.49952</v>
      </c>
      <c r="AB363" s="7">
        <f>Tabla1[[#This Row],[suero_est_g_l]]*Tabla1[[#This Row],[suero_litros]]/1000</f>
        <v>286.11700999999994</v>
      </c>
    </row>
    <row r="364" spans="1:28" x14ac:dyDescent="0.25">
      <c r="A364" s="1">
        <v>45653</v>
      </c>
      <c r="B364">
        <v>0</v>
      </c>
      <c r="C364">
        <v>0</v>
      </c>
      <c r="D364">
        <v>0</v>
      </c>
      <c r="E364">
        <v>0</v>
      </c>
      <c r="F364">
        <v>5492</v>
      </c>
      <c r="G364">
        <v>40.229999999999997</v>
      </c>
      <c r="H364">
        <v>34.47</v>
      </c>
      <c r="I364">
        <v>0</v>
      </c>
      <c r="J364">
        <v>633.65</v>
      </c>
      <c r="K364">
        <v>54.8</v>
      </c>
      <c r="L364">
        <v>28.21</v>
      </c>
      <c r="M364">
        <v>4901</v>
      </c>
      <c r="N364">
        <v>8.43</v>
      </c>
      <c r="O364">
        <v>8.7899999999999991</v>
      </c>
      <c r="P364">
        <v>68.040000000000006</v>
      </c>
      <c r="Q364">
        <f>Tabla1[[#This Row],[entrada_litros]]*Tabla1[[#This Row],[entrada_grasa_g_l]]/1000</f>
        <v>0</v>
      </c>
      <c r="R364">
        <f>Tabla1[[#This Row],[entrada_prot_g_l]]*Tabla1[[#This Row],[entrada_litros]]/1000</f>
        <v>0</v>
      </c>
      <c r="S364">
        <f>Tabla1[[#This Row],[cuba_fab_litros]]*Tabla1[[#This Row],[cuba_fab_grasa_g_l]]/1000</f>
        <v>220.94315999999998</v>
      </c>
      <c r="T364">
        <f>Tabla1[[#This Row],[cuba_fab_litros]]*Tabla1[[#This Row],[cuba_fab_prot_g_l]]/1000</f>
        <v>189.30923999999999</v>
      </c>
      <c r="U364">
        <f>Tabla1[[#This Row],[queso_kg]]*Tabla1[[#This Row],[queso_est_pct]]/100</f>
        <v>347.24019999999996</v>
      </c>
      <c r="V364">
        <f>Tabla1[[#This Row],[queso_kg]]*Tabla1[[#This Row],[queso_mg_pct]]/100</f>
        <v>178.75266500000001</v>
      </c>
      <c r="W364">
        <f>Tabla1[[#This Row],[queso_est_kg]]-Tabla1[[#This Row],[queso_mg_kg]]</f>
        <v>168.48753499999995</v>
      </c>
      <c r="X364">
        <f>_xlfn.ISOWEEKNUM(Tabla1[[#This Row],[fecha]])</f>
        <v>52</v>
      </c>
      <c r="Y364">
        <v>52</v>
      </c>
      <c r="Z364" s="7">
        <f>Tabla1[[#This Row],[suero_litros]]*Tabla1[[#This Row],[suero_grasa_g_l]]/1000</f>
        <v>41.315429999999999</v>
      </c>
      <c r="AA364" s="7">
        <f>Tabla1[[#This Row],[suero_litros]]*Tabla1[[#This Row],[suero_prot_g_l]]/1000</f>
        <v>43.079789999999996</v>
      </c>
      <c r="AB364" s="7">
        <f>Tabla1[[#This Row],[suero_est_g_l]]*Tabla1[[#This Row],[suero_litros]]/1000</f>
        <v>333.46404000000001</v>
      </c>
    </row>
    <row r="365" spans="1:28" x14ac:dyDescent="0.25">
      <c r="A365" s="1">
        <v>45654</v>
      </c>
      <c r="B365">
        <v>0</v>
      </c>
      <c r="C365">
        <v>0</v>
      </c>
      <c r="D365">
        <v>0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f>Tabla1[[#This Row],[entrada_litros]]*Tabla1[[#This Row],[entrada_grasa_g_l]]/1000</f>
        <v>0</v>
      </c>
      <c r="R365">
        <f>Tabla1[[#This Row],[entrada_prot_g_l]]*Tabla1[[#This Row],[entrada_litros]]/1000</f>
        <v>0</v>
      </c>
      <c r="S365">
        <f>Tabla1[[#This Row],[cuba_fab_litros]]*Tabla1[[#This Row],[cuba_fab_grasa_g_l]]/1000</f>
        <v>0</v>
      </c>
      <c r="T365">
        <f>Tabla1[[#This Row],[cuba_fab_litros]]*Tabla1[[#This Row],[cuba_fab_prot_g_l]]/1000</f>
        <v>0</v>
      </c>
      <c r="U365">
        <f>Tabla1[[#This Row],[queso_kg]]*Tabla1[[#This Row],[queso_est_pct]]/100</f>
        <v>0</v>
      </c>
      <c r="V365">
        <f>Tabla1[[#This Row],[queso_kg]]*Tabla1[[#This Row],[queso_mg_pct]]/100</f>
        <v>0</v>
      </c>
      <c r="W365">
        <f>Tabla1[[#This Row],[queso_est_kg]]-Tabla1[[#This Row],[queso_mg_kg]]</f>
        <v>0</v>
      </c>
      <c r="X365">
        <f>_xlfn.ISOWEEKNUM(Tabla1[[#This Row],[fecha]])</f>
        <v>52</v>
      </c>
      <c r="Y365">
        <v>52</v>
      </c>
      <c r="Z365" s="7">
        <f>Tabla1[[#This Row],[suero_litros]]*Tabla1[[#This Row],[suero_grasa_g_l]]/1000</f>
        <v>0</v>
      </c>
      <c r="AA365" s="7">
        <f>Tabla1[[#This Row],[suero_litros]]*Tabla1[[#This Row],[suero_prot_g_l]]/1000</f>
        <v>0</v>
      </c>
      <c r="AB365" s="7">
        <f>Tabla1[[#This Row],[suero_est_g_l]]*Tabla1[[#This Row],[suero_litros]]/1000</f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A21D6-3103-44EB-992A-7D6F912ADD11}">
  <dimension ref="A3:H18"/>
  <sheetViews>
    <sheetView workbookViewId="0">
      <selection activeCell="G18" sqref="G18:H18"/>
    </sheetView>
  </sheetViews>
  <sheetFormatPr baseColWidth="10" defaultRowHeight="15" x14ac:dyDescent="0.25"/>
  <cols>
    <col min="1" max="1" width="17.85546875" bestFit="1" customWidth="1"/>
    <col min="2" max="2" width="24.7109375" bestFit="1" customWidth="1"/>
    <col min="3" max="3" width="25.85546875" bestFit="1" customWidth="1"/>
    <col min="4" max="4" width="17.7109375" bestFit="1" customWidth="1"/>
    <col min="5" max="5" width="21.42578125" bestFit="1" customWidth="1"/>
    <col min="6" max="6" width="23" bestFit="1" customWidth="1"/>
  </cols>
  <sheetData>
    <row r="3" spans="1:6" x14ac:dyDescent="0.25">
      <c r="A3" s="2" t="s">
        <v>20</v>
      </c>
      <c r="B3" t="s">
        <v>24</v>
      </c>
      <c r="C3" t="s">
        <v>25</v>
      </c>
      <c r="D3" t="s">
        <v>26</v>
      </c>
      <c r="E3" t="s">
        <v>48</v>
      </c>
      <c r="F3" t="s">
        <v>47</v>
      </c>
    </row>
    <row r="4" spans="1:6" x14ac:dyDescent="0.25">
      <c r="A4" s="3" t="s">
        <v>22</v>
      </c>
      <c r="B4" s="4">
        <v>227.62882999999999</v>
      </c>
      <c r="C4" s="4">
        <v>0</v>
      </c>
      <c r="D4" s="7">
        <v>0</v>
      </c>
      <c r="E4" s="7">
        <v>0</v>
      </c>
      <c r="F4" s="7">
        <v>0</v>
      </c>
    </row>
    <row r="5" spans="1:6" x14ac:dyDescent="0.25">
      <c r="A5" s="3" t="s">
        <v>23</v>
      </c>
      <c r="B5" s="4">
        <v>54912.695599999999</v>
      </c>
      <c r="C5" s="4">
        <v>52907.247520000004</v>
      </c>
      <c r="D5" s="7">
        <v>163268.71</v>
      </c>
      <c r="E5" s="7">
        <v>44117.928741000003</v>
      </c>
      <c r="F5" s="7">
        <v>8615.4818200000027</v>
      </c>
    </row>
    <row r="6" spans="1:6" x14ac:dyDescent="0.25">
      <c r="A6" s="5" t="s">
        <v>27</v>
      </c>
      <c r="B6" s="4">
        <v>4927.8469500000001</v>
      </c>
      <c r="C6" s="4">
        <v>4681.7112899999993</v>
      </c>
      <c r="D6" s="7">
        <v>14431.04</v>
      </c>
      <c r="E6" s="7">
        <v>3917.9846070000003</v>
      </c>
      <c r="F6" s="7">
        <v>750.10509000000002</v>
      </c>
    </row>
    <row r="7" spans="1:6" x14ac:dyDescent="0.25">
      <c r="A7" s="5" t="s">
        <v>28</v>
      </c>
      <c r="B7" s="4">
        <v>4420.853509999999</v>
      </c>
      <c r="C7" s="4">
        <v>4330.8305199999986</v>
      </c>
      <c r="D7" s="7">
        <v>13159.799999999997</v>
      </c>
      <c r="E7" s="7">
        <v>3576.0024059999996</v>
      </c>
      <c r="F7" s="7">
        <v>740.37126000000012</v>
      </c>
    </row>
    <row r="8" spans="1:6" x14ac:dyDescent="0.25">
      <c r="A8" s="5" t="s">
        <v>29</v>
      </c>
      <c r="B8" s="4">
        <v>4442.6170100000008</v>
      </c>
      <c r="C8" s="4">
        <v>4238.1888399999998</v>
      </c>
      <c r="D8" s="7">
        <v>13041.910000000002</v>
      </c>
      <c r="E8" s="7">
        <v>3524.5914470000002</v>
      </c>
      <c r="F8" s="7">
        <v>697.08172999999999</v>
      </c>
    </row>
    <row r="9" spans="1:6" x14ac:dyDescent="0.25">
      <c r="A9" s="5" t="s">
        <v>30</v>
      </c>
      <c r="B9" s="4">
        <v>4654.5719299999992</v>
      </c>
      <c r="C9" s="4">
        <v>4446.4499800000003</v>
      </c>
      <c r="D9" s="7">
        <v>13805.960000000001</v>
      </c>
      <c r="E9" s="7">
        <v>3732.4897259999998</v>
      </c>
      <c r="F9" s="7">
        <v>699.20452999999998</v>
      </c>
    </row>
    <row r="10" spans="1:6" x14ac:dyDescent="0.25">
      <c r="A10" s="5" t="s">
        <v>31</v>
      </c>
      <c r="B10" s="4">
        <v>4579.7883000000002</v>
      </c>
      <c r="C10" s="4">
        <v>4619.3823799999991</v>
      </c>
      <c r="D10" s="7">
        <v>14378.560000000001</v>
      </c>
      <c r="E10" s="7">
        <v>3890.9175639999994</v>
      </c>
      <c r="F10" s="7">
        <v>714.85093999999992</v>
      </c>
    </row>
    <row r="11" spans="1:6" x14ac:dyDescent="0.25">
      <c r="A11" s="5" t="s">
        <v>32</v>
      </c>
      <c r="B11" s="4">
        <v>4421.29961</v>
      </c>
      <c r="C11" s="4">
        <v>4057.5834600000003</v>
      </c>
      <c r="D11" s="7">
        <v>12588.75</v>
      </c>
      <c r="E11" s="7">
        <v>3368.5918529999999</v>
      </c>
      <c r="F11" s="7">
        <v>674.64871000000016</v>
      </c>
    </row>
    <row r="12" spans="1:6" x14ac:dyDescent="0.25">
      <c r="A12" s="5" t="s">
        <v>33</v>
      </c>
      <c r="B12" s="4">
        <v>4777.6545399999995</v>
      </c>
      <c r="C12" s="4">
        <v>4551.9588699999995</v>
      </c>
      <c r="D12" s="7">
        <v>14246.809999999998</v>
      </c>
      <c r="E12" s="7">
        <v>3830.821903</v>
      </c>
      <c r="F12" s="7">
        <v>705.13085999999998</v>
      </c>
    </row>
    <row r="13" spans="1:6" x14ac:dyDescent="0.25">
      <c r="A13" s="5" t="s">
        <v>34</v>
      </c>
      <c r="B13" s="4">
        <v>4478.0094999999992</v>
      </c>
      <c r="C13" s="4">
        <v>4516.0359099999996</v>
      </c>
      <c r="D13" s="7">
        <v>13667.88</v>
      </c>
      <c r="E13" s="7">
        <v>3678.4507409999997</v>
      </c>
      <c r="F13" s="7">
        <v>821.44869000000006</v>
      </c>
    </row>
    <row r="14" spans="1:6" x14ac:dyDescent="0.25">
      <c r="A14" s="5" t="s">
        <v>35</v>
      </c>
      <c r="B14" s="4">
        <v>4681.7061299999996</v>
      </c>
      <c r="C14" s="4">
        <v>4314.8450599999996</v>
      </c>
      <c r="D14" s="7">
        <v>13267.100000000002</v>
      </c>
      <c r="E14" s="7">
        <v>3590.7186140000003</v>
      </c>
      <c r="F14" s="7">
        <v>709.99793</v>
      </c>
    </row>
    <row r="15" spans="1:6" x14ac:dyDescent="0.25">
      <c r="A15" s="5" t="s">
        <v>36</v>
      </c>
      <c r="B15" s="4">
        <v>4984.5493700000006</v>
      </c>
      <c r="C15" s="4">
        <v>4759.3344899999993</v>
      </c>
      <c r="D15" s="7">
        <v>14778.189999999999</v>
      </c>
      <c r="E15" s="7">
        <v>3979.1869849999998</v>
      </c>
      <c r="F15" s="7">
        <v>765.40995000000009</v>
      </c>
    </row>
    <row r="16" spans="1:6" x14ac:dyDescent="0.25">
      <c r="A16" s="5" t="s">
        <v>37</v>
      </c>
      <c r="B16" s="4">
        <v>4257.3695399999997</v>
      </c>
      <c r="C16" s="4">
        <v>4281.0841199999995</v>
      </c>
      <c r="D16" s="7">
        <v>13185.469999999998</v>
      </c>
      <c r="E16" s="7">
        <v>3567.0441490000003</v>
      </c>
      <c r="F16" s="7">
        <v>701.13934000000017</v>
      </c>
    </row>
    <row r="17" spans="1:8" x14ac:dyDescent="0.25">
      <c r="A17" s="5" t="s">
        <v>38</v>
      </c>
      <c r="B17" s="4">
        <v>4286.4292100000011</v>
      </c>
      <c r="C17" s="4">
        <v>4109.8425999999999</v>
      </c>
      <c r="D17" s="7">
        <v>12717.24</v>
      </c>
      <c r="E17" s="7">
        <v>3461.1287460000003</v>
      </c>
      <c r="F17" s="7">
        <v>636.09279000000004</v>
      </c>
    </row>
    <row r="18" spans="1:8" x14ac:dyDescent="0.25">
      <c r="A18" s="3" t="s">
        <v>21</v>
      </c>
      <c r="B18" s="4">
        <v>55140.324429999993</v>
      </c>
      <c r="C18" s="4">
        <v>52907.247520000004</v>
      </c>
      <c r="D18" s="7">
        <v>163268.71</v>
      </c>
      <c r="E18" s="7">
        <v>44117.928741000003</v>
      </c>
      <c r="F18" s="7">
        <v>8615.4818200000027</v>
      </c>
      <c r="G18" s="4"/>
      <c r="H18" s="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77222-3497-46B6-96D5-F4D0CF35476B}">
  <dimension ref="A3:F18"/>
  <sheetViews>
    <sheetView workbookViewId="0">
      <selection activeCell="E7" sqref="E7"/>
    </sheetView>
  </sheetViews>
  <sheetFormatPr baseColWidth="10" defaultRowHeight="15" x14ac:dyDescent="0.25"/>
  <cols>
    <col min="1" max="1" width="17.85546875" bestFit="1" customWidth="1"/>
    <col min="2" max="2" width="23.7109375" bestFit="1" customWidth="1"/>
    <col min="3" max="3" width="24.85546875" bestFit="1" customWidth="1"/>
    <col min="4" max="4" width="17.7109375" bestFit="1" customWidth="1"/>
    <col min="5" max="5" width="22.5703125" bestFit="1" customWidth="1"/>
    <col min="6" max="6" width="22" bestFit="1" customWidth="1"/>
  </cols>
  <sheetData>
    <row r="3" spans="1:6" x14ac:dyDescent="0.25">
      <c r="A3" s="2" t="s">
        <v>20</v>
      </c>
      <c r="B3" t="s">
        <v>39</v>
      </c>
      <c r="C3" t="s">
        <v>40</v>
      </c>
      <c r="D3" t="s">
        <v>26</v>
      </c>
      <c r="E3" t="s">
        <v>51</v>
      </c>
      <c r="F3" t="s">
        <v>49</v>
      </c>
    </row>
    <row r="4" spans="1:6" x14ac:dyDescent="0.25">
      <c r="A4" s="3" t="s">
        <v>22</v>
      </c>
      <c r="B4" s="4">
        <v>196.67087000000001</v>
      </c>
      <c r="C4" s="4">
        <v>0</v>
      </c>
      <c r="D4" s="7">
        <v>0</v>
      </c>
      <c r="E4" s="7">
        <v>0</v>
      </c>
      <c r="F4" s="7">
        <v>0</v>
      </c>
    </row>
    <row r="5" spans="1:6" x14ac:dyDescent="0.25">
      <c r="A5" s="3" t="s">
        <v>23</v>
      </c>
      <c r="B5" s="4">
        <v>46299.718379999998</v>
      </c>
      <c r="C5" s="4">
        <v>44658.931230000002</v>
      </c>
      <c r="D5" s="7">
        <v>163268.71</v>
      </c>
      <c r="E5" s="7">
        <v>40756.398627000002</v>
      </c>
      <c r="F5" s="7">
        <v>6932.9705499999982</v>
      </c>
    </row>
    <row r="6" spans="1:6" x14ac:dyDescent="0.25">
      <c r="A6" s="5" t="s">
        <v>27</v>
      </c>
      <c r="B6" s="4">
        <v>4148.1942900000004</v>
      </c>
      <c r="C6" s="4">
        <v>3958.4646100000009</v>
      </c>
      <c r="D6" s="7">
        <v>14431.04</v>
      </c>
      <c r="E6" s="7">
        <v>3584.8440320000004</v>
      </c>
      <c r="F6" s="7">
        <v>610.88019999999995</v>
      </c>
    </row>
    <row r="7" spans="1:6" x14ac:dyDescent="0.25">
      <c r="A7" s="5" t="s">
        <v>28</v>
      </c>
      <c r="B7" s="4">
        <v>3696.2390499999997</v>
      </c>
      <c r="C7" s="4">
        <v>3616.1289500000003</v>
      </c>
      <c r="D7" s="7">
        <v>13159.799999999997</v>
      </c>
      <c r="E7" s="7">
        <v>3285.9229610000007</v>
      </c>
      <c r="F7" s="7">
        <v>572.31288999999992</v>
      </c>
    </row>
    <row r="8" spans="1:6" x14ac:dyDescent="0.25">
      <c r="A8" s="5" t="s">
        <v>29</v>
      </c>
      <c r="B8" s="4">
        <v>3730.7079299999991</v>
      </c>
      <c r="C8" s="4">
        <v>3548.1611199999998</v>
      </c>
      <c r="D8" s="7">
        <v>13041.910000000002</v>
      </c>
      <c r="E8" s="7">
        <v>3233.7174000000005</v>
      </c>
      <c r="F8" s="7">
        <v>535.52634</v>
      </c>
    </row>
    <row r="9" spans="1:6" x14ac:dyDescent="0.25">
      <c r="A9" s="5" t="s">
        <v>30</v>
      </c>
      <c r="B9" s="4">
        <v>3998.9859999999999</v>
      </c>
      <c r="C9" s="4">
        <v>3838.8228099999997</v>
      </c>
      <c r="D9" s="7">
        <v>13805.960000000001</v>
      </c>
      <c r="E9" s="7">
        <v>3455.5167520000009</v>
      </c>
      <c r="F9" s="7">
        <v>660.32703000000004</v>
      </c>
    </row>
    <row r="10" spans="1:6" x14ac:dyDescent="0.25">
      <c r="A10" s="5" t="s">
        <v>31</v>
      </c>
      <c r="B10" s="4">
        <v>3873.4171499999998</v>
      </c>
      <c r="C10" s="4">
        <v>3911.9241999999999</v>
      </c>
      <c r="D10" s="7">
        <v>14378.560000000001</v>
      </c>
      <c r="E10" s="7">
        <v>3583.8960970000003</v>
      </c>
      <c r="F10" s="7">
        <v>580.17899999999997</v>
      </c>
    </row>
    <row r="11" spans="1:6" x14ac:dyDescent="0.25">
      <c r="A11" s="5" t="s">
        <v>32</v>
      </c>
      <c r="B11" s="4">
        <v>3685.3454900000006</v>
      </c>
      <c r="C11" s="4">
        <v>3373.5486199999991</v>
      </c>
      <c r="D11" s="7">
        <v>12588.75</v>
      </c>
      <c r="E11" s="7">
        <v>3137.8367779999999</v>
      </c>
      <c r="F11" s="7">
        <v>452.85509000000002</v>
      </c>
    </row>
    <row r="12" spans="1:6" x14ac:dyDescent="0.25">
      <c r="A12" s="5" t="s">
        <v>33</v>
      </c>
      <c r="B12" s="4">
        <v>4061.3091600000012</v>
      </c>
      <c r="C12" s="4">
        <v>3873.5423600000004</v>
      </c>
      <c r="D12" s="7">
        <v>14246.809999999998</v>
      </c>
      <c r="E12" s="7">
        <v>3545.1011620000008</v>
      </c>
      <c r="F12" s="7">
        <v>594.49404000000004</v>
      </c>
    </row>
    <row r="13" spans="1:6" x14ac:dyDescent="0.25">
      <c r="A13" s="5" t="s">
        <v>34</v>
      </c>
      <c r="B13" s="4">
        <v>3754.3436599999995</v>
      </c>
      <c r="C13" s="4">
        <v>3793.9515000000001</v>
      </c>
      <c r="D13" s="7">
        <v>13667.88</v>
      </c>
      <c r="E13" s="7">
        <v>3445.8885109999997</v>
      </c>
      <c r="F13" s="7">
        <v>618.66466000000003</v>
      </c>
    </row>
    <row r="14" spans="1:6" x14ac:dyDescent="0.25">
      <c r="A14" s="5" t="s">
        <v>35</v>
      </c>
      <c r="B14" s="4">
        <v>3945.7906800000001</v>
      </c>
      <c r="C14" s="4">
        <v>3630.4452200000001</v>
      </c>
      <c r="D14" s="7">
        <v>13267.100000000002</v>
      </c>
      <c r="E14" s="7">
        <v>3311.7427200000011</v>
      </c>
      <c r="F14" s="7">
        <v>560.78108999999995</v>
      </c>
    </row>
    <row r="15" spans="1:6" x14ac:dyDescent="0.25">
      <c r="A15" s="5" t="s">
        <v>36</v>
      </c>
      <c r="B15" s="4">
        <v>4154.1917999999996</v>
      </c>
      <c r="C15" s="4">
        <v>3983.1665700000003</v>
      </c>
      <c r="D15" s="7">
        <v>14778.189999999999</v>
      </c>
      <c r="E15" s="7">
        <v>3707.1614600000003</v>
      </c>
      <c r="F15" s="7">
        <v>567.85068000000001</v>
      </c>
    </row>
    <row r="16" spans="1:6" x14ac:dyDescent="0.25">
      <c r="A16" s="5" t="s">
        <v>37</v>
      </c>
      <c r="B16" s="4">
        <v>3581.7838099999999</v>
      </c>
      <c r="C16" s="4">
        <v>3600.2601299999997</v>
      </c>
      <c r="D16" s="7">
        <v>13185.469999999998</v>
      </c>
      <c r="E16" s="7">
        <v>3267.7563109999992</v>
      </c>
      <c r="F16" s="7">
        <v>556.95740999999998</v>
      </c>
    </row>
    <row r="17" spans="1:6" x14ac:dyDescent="0.25">
      <c r="A17" s="5" t="s">
        <v>38</v>
      </c>
      <c r="B17" s="4">
        <v>3669.4093600000001</v>
      </c>
      <c r="C17" s="4">
        <v>3530.5151400000004</v>
      </c>
      <c r="D17" s="7">
        <v>12717.24</v>
      </c>
      <c r="E17" s="7">
        <v>3197.0144430000005</v>
      </c>
      <c r="F17" s="7">
        <v>622.14211999999998</v>
      </c>
    </row>
    <row r="18" spans="1:6" x14ac:dyDescent="0.25">
      <c r="A18" s="3" t="s">
        <v>21</v>
      </c>
      <c r="B18" s="4">
        <v>46496.38925</v>
      </c>
      <c r="C18" s="4">
        <v>44658.931230000002</v>
      </c>
      <c r="D18" s="7">
        <v>163268.71</v>
      </c>
      <c r="E18" s="7">
        <v>40756.398627000002</v>
      </c>
      <c r="F18" s="7">
        <v>6932.9705499999982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queseria_final_tidy</vt:lpstr>
      <vt:lpstr>TD MG</vt:lpstr>
      <vt:lpstr>TD MP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Juan Riera</cp:lastModifiedBy>
  <dcterms:created xsi:type="dcterms:W3CDTF">2026-02-11T11:43:51Z</dcterms:created>
  <dcterms:modified xsi:type="dcterms:W3CDTF">2026-02-12T12:26:23Z</dcterms:modified>
</cp:coreProperties>
</file>