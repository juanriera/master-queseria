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0" documentId="8_{3B7945C6-9DAC-46B0-AE41-EA9F33CCC2E9}" xr6:coauthVersionLast="47" xr6:coauthVersionMax="47" xr10:uidLastSave="{00000000-0000-0000-0000-000000000000}"/>
  <bookViews>
    <workbookView xWindow="-120" yWindow="-120" windowWidth="29040" windowHeight="16440" xr2:uid="{8B9CF080-FDD4-4586-B682-2B22866106B1}"/>
  </bookViews>
  <sheets>
    <sheet name="queseria_final_tidy" sheetId="1" r:id="rId1"/>
    <sheet name="TD MG" sheetId="2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</calcChain>
</file>

<file path=xl/sharedStrings.xml><?xml version="1.0" encoding="utf-8"?>
<sst xmlns="http://schemas.openxmlformats.org/spreadsheetml/2006/main" count="39" uniqueCount="39">
  <si>
    <t>fecha</t>
  </si>
  <si>
    <t>entrada_kg</t>
  </si>
  <si>
    <t>entrada_litros</t>
  </si>
  <si>
    <t>entrada_grasa_g_l</t>
  </si>
  <si>
    <t>entrada_prot_g_l</t>
  </si>
  <si>
    <t>cuba_fab_litros</t>
  </si>
  <si>
    <t>cuba_fab_grasa_g_l</t>
  </si>
  <si>
    <t>cuba_fab_prot_g_l</t>
  </si>
  <si>
    <t>stock_cierre_litros</t>
  </si>
  <si>
    <t>queso_kg</t>
  </si>
  <si>
    <t>queso_est_pct</t>
  </si>
  <si>
    <t>queso_mg_pct</t>
  </si>
  <si>
    <t>entrada_grasa_kg</t>
  </si>
  <si>
    <t>entrada_prot_kg</t>
  </si>
  <si>
    <t>cuba_fab_grasa_kg</t>
  </si>
  <si>
    <t>cuba_fab_prot_kg</t>
  </si>
  <si>
    <t>queso_est_kg</t>
  </si>
  <si>
    <t>queso_mg_kg</t>
  </si>
  <si>
    <t>semanaISO</t>
  </si>
  <si>
    <t>semana</t>
  </si>
  <si>
    <t>Etiquetas de fila</t>
  </si>
  <si>
    <t>Total general</t>
  </si>
  <si>
    <t>2023</t>
  </si>
  <si>
    <t>2024</t>
  </si>
  <si>
    <t>Suma de entrada_grasa_kg</t>
  </si>
  <si>
    <t>Suma de cuba_fab_grasa_kg</t>
  </si>
  <si>
    <t>Suma de queso_kg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</si>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</sst>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 ;[Red]\-#,##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66C34F11-D1DC-4C74-901C-5EFBB3C9BD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Riera" refreshedDate="46064.524804976849" createdVersion="8" refreshedVersion="8" minRefreshableVersion="3" recordCount="364" xr:uid="{F136B4C7-17E7-40DA-BBEB-C8F1A1299B7F}">
  <cacheSource type="worksheet">
    <worksheetSource name="Tabla1"/>
  </cacheSource>
  <cacheFields count="23">
    <cacheField name="fecha" numFmtId="14">
      <sharedItems containsSemiMixedTypes="0" containsNonDate="0" containsDate="1" containsString="0" minDate="2023-12-31T00:00:00" maxDate="2024-12-29T00:00:00" count="364"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</sharedItems>
      <fieldGroup par="22"/>
    </cacheField>
    <cacheField name="entrada_kg" numFmtId="0">
      <sharedItems containsString="0" containsBlank="1" containsNumber="1" containsInteger="1" minValue="4279" maxValue="5862"/>
    </cacheField>
    <cacheField name="entrada_litros" numFmtId="0">
      <sharedItems containsString="0" containsBlank="1" containsNumber="1" containsInteger="1" minValue="4154" maxValue="5691"/>
    </cacheField>
    <cacheField name="entrada_grasa_g_l" numFmtId="0">
      <sharedItems containsString="0" containsBlank="1" containsNumber="1" minValue="38.380000000000003" maxValue="47.38"/>
    </cacheField>
    <cacheField name="entrada_prot_g_l" numFmtId="0">
      <sharedItems containsString="0" containsBlank="1" containsNumber="1" minValue="33.090000000000003" maxValue="39.130000000000003"/>
    </cacheField>
    <cacheField name="cuba_fab_litros" numFmtId="0">
      <sharedItems containsString="0" containsBlank="1" containsNumber="1" containsInteger="1" minValue="3881" maxValue="7163"/>
    </cacheField>
    <cacheField name="cuba_fab_grasa_g_l" numFmtId="0">
      <sharedItems containsString="0" containsBlank="1" containsNumber="1" minValue="37.590000000000003" maxValue="43.09"/>
    </cacheField>
    <cacheField name="cuba_fab_prot_g_l" numFmtId="0">
      <sharedItems containsString="0" containsBlank="1" containsNumber="1" minValue="32.33" maxValue="36.19"/>
    </cacheField>
    <cacheField name="stock_cierre_litros" numFmtId="0">
      <sharedItems containsString="0" containsBlank="1" containsNumber="1" containsInteger="1" minValue="3866" maxValue="7142"/>
    </cacheField>
    <cacheField name="queso_kg" numFmtId="0">
      <sharedItems containsString="0" containsBlank="1" containsNumber="1" minValue="459.09" maxValue="940.29"/>
    </cacheField>
    <cacheField name="queso_est_pct" numFmtId="0">
      <sharedItems containsString="0" containsBlank="1" containsNumber="1" minValue="48.23" maxValue="55.95"/>
    </cacheField>
    <cacheField name="queso_mg_pct" numFmtId="0">
      <sharedItems containsString="0" containsBlank="1" containsNumber="1" minValue="23.84" maxValue="28.79"/>
    </cacheField>
    <cacheField name="entrada_grasa_kg" numFmtId="0">
      <sharedItems containsSemiMixedTypes="0" containsString="0" containsNumber="1" minValue="0" maxValue="2556.3971999999999"/>
    </cacheField>
    <cacheField name="entrada_prot_kg" numFmtId="0">
      <sharedItems containsSemiMixedTypes="0" containsString="0" containsNumber="1" minValue="0" maxValue="2064.4987999999998"/>
    </cacheField>
    <cacheField name="cuba_fab_grasa_kg" numFmtId="0">
      <sharedItems containsSemiMixedTypes="0" containsString="0" containsNumber="1" minValue="0" maxValue="289814.98"/>
    </cacheField>
    <cacheField name="cuba_fab_prot_kg" numFmtId="0">
      <sharedItems containsSemiMixedTypes="0" containsString="0" containsNumber="1" minValue="0" maxValue="2425.3917999999999"/>
    </cacheField>
    <cacheField name="queso_est_kg" numFmtId="0">
      <sharedItems containsSemiMixedTypes="0" containsString="0" containsNumber="1" minValue="0" maxValue="464.78534699999994"/>
    </cacheField>
    <cacheField name="queso_mg_kg" numFmtId="0">
      <sharedItems containsSemiMixedTypes="0" containsString="0" containsNumber="1" minValue="0" maxValue="239.30380499999998"/>
    </cacheField>
    <cacheField name="semanaISO" numFmtId="0">
      <sharedItems containsSemiMixedTypes="0" containsString="0" containsNumber="1" containsInteger="1" minValue="1" maxValue="52"/>
    </cacheField>
    <cacheField name="semana" numFmtId="0">
      <sharedItems containsSemiMixedTypes="0" containsString="0" containsNumber="1" containsInteger="1" minValue="1" maxValue="52"/>
    </cacheField>
    <cacheField name="Meses (fecha)" numFmtId="0" databaseField="0">
      <fieldGroup base="0">
        <rangePr groupBy="months" startDate="2023-12-31T00:00:00" endDate="2024-12-29T00:00:00"/>
        <groupItems count="14">
          <s v="&lt;31/12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9/12/2024"/>
        </groupItems>
      </fieldGroup>
    </cacheField>
    <cacheField name="Trimestres (fecha)" numFmtId="0" databaseField="0">
      <fieldGroup base="0">
        <rangePr groupBy="quarters" startDate="2023-12-31T00:00:00" endDate="2024-12-29T00:00:00"/>
        <groupItems count="6">
          <s v="&lt;31/12/2023"/>
          <s v="Trim.1"/>
          <s v="Trim.2"/>
          <s v="Trim.3"/>
          <s v="Trim.4"/>
          <s v="&gt;29/12/2024"/>
        </groupItems>
      </fieldGroup>
    </cacheField>
    <cacheField name="Años (fecha)" numFmtId="0" databaseField="0">
      <fieldGroup base="0">
        <rangePr groupBy="years" startDate="2023-12-31T00:00:00" endDate="2024-12-29T00:00:00"/>
        <groupItems count="4">
          <s v="&lt;31/12/2023"/>
          <s v="2023"/>
          <s v="2024"/>
          <s v="&gt;29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x v="0"/>
    <n v="5224"/>
    <n v="5072"/>
    <n v="40.229999999999997"/>
    <n v="35.67"/>
    <m/>
    <m/>
    <m/>
    <n v="5072"/>
    <m/>
    <m/>
    <m/>
    <n v="2040.4656"/>
    <n v="1809.1824000000001"/>
    <n v="0"/>
    <n v="0"/>
    <n v="0"/>
    <n v="0"/>
    <n v="52"/>
    <n v="1"/>
  </r>
  <r>
    <x v="1"/>
    <n v="5323"/>
    <n v="5168"/>
    <n v="42.5"/>
    <n v="34.86"/>
    <n v="5026"/>
    <n v="39.79"/>
    <n v="33.619999999999997"/>
    <n v="5240"/>
    <n v="633.41"/>
    <n v="51.04"/>
    <n v="27.14"/>
    <n v="2196.4"/>
    <n v="1801.5648000000001"/>
    <n v="199984.54"/>
    <n v="1689.7411999999999"/>
    <n v="323.29246399999994"/>
    <n v="171.90747400000001"/>
    <n v="1"/>
    <n v="1"/>
  </r>
  <r>
    <x v="2"/>
    <n v="4626"/>
    <n v="4491"/>
    <n v="40.69"/>
    <n v="36.1"/>
    <n v="5022"/>
    <n v="39.590000000000003"/>
    <n v="33.659999999999997"/>
    <n v="4731"/>
    <n v="622.41999999999996"/>
    <n v="52.27"/>
    <n v="27.18"/>
    <n v="1827.3878999999997"/>
    <n v="1621.251"/>
    <n v="198820.98"/>
    <n v="1690.4051999999999"/>
    <n v="325.33893399999999"/>
    <n v="169.173756"/>
    <n v="1"/>
    <n v="1"/>
  </r>
  <r>
    <x v="3"/>
    <n v="5142"/>
    <n v="4992"/>
    <n v="38.380000000000003"/>
    <n v="34.46"/>
    <n v="5030"/>
    <n v="37.590000000000003"/>
    <n v="33.479999999999997"/>
    <n v="4723"/>
    <n v="636.66999999999996"/>
    <n v="51.56"/>
    <n v="26.14"/>
    <n v="1915.9296000000002"/>
    <n v="1720.2432000000001"/>
    <n v="189077.7"/>
    <n v="1684.0439999999999"/>
    <n v="328.26705199999998"/>
    <n v="166.42553799999999"/>
    <n v="1"/>
    <n v="1"/>
  </r>
  <r>
    <x v="4"/>
    <n v="5603"/>
    <n v="5440"/>
    <n v="41.5"/>
    <n v="36.340000000000003"/>
    <n v="5024"/>
    <n v="39.06"/>
    <n v="34.11"/>
    <n v="5163"/>
    <n v="624.74"/>
    <n v="52.46"/>
    <n v="27.55"/>
    <n v="2257.6"/>
    <n v="1976.896"/>
    <n v="196237.44"/>
    <n v="1713.6863999999998"/>
    <n v="327.73860399999995"/>
    <n v="172.11587"/>
    <n v="1"/>
    <n v="1"/>
  </r>
  <r>
    <x v="5"/>
    <m/>
    <m/>
    <m/>
    <m/>
    <n v="5185"/>
    <n v="39.01"/>
    <n v="33.92"/>
    <m/>
    <n v="657.95"/>
    <n v="50.95"/>
    <n v="26.91"/>
    <n v="0"/>
    <n v="0"/>
    <n v="202266.84999999998"/>
    <n v="1758.7520000000002"/>
    <n v="335.22552500000006"/>
    <n v="177.05434500000004"/>
    <n v="1"/>
    <n v="1"/>
  </r>
  <r>
    <x v="6"/>
    <m/>
    <m/>
    <m/>
    <m/>
    <m/>
    <m/>
    <m/>
    <m/>
    <m/>
    <m/>
    <m/>
    <n v="0"/>
    <n v="0"/>
    <n v="0"/>
    <n v="0"/>
    <n v="0"/>
    <n v="0"/>
    <n v="1"/>
    <n v="1"/>
  </r>
  <r>
    <x v="7"/>
    <n v="4685"/>
    <n v="4549"/>
    <n v="39.97"/>
    <n v="36.79"/>
    <m/>
    <m/>
    <m/>
    <n v="4549"/>
    <m/>
    <m/>
    <m/>
    <n v="1818.2353000000001"/>
    <n v="1673.5771"/>
    <n v="0"/>
    <n v="0"/>
    <n v="0"/>
    <n v="0"/>
    <n v="1"/>
    <n v="2"/>
  </r>
  <r>
    <x v="8"/>
    <n v="5157"/>
    <n v="5007"/>
    <n v="42.91"/>
    <n v="35.130000000000003"/>
    <n v="5021"/>
    <n v="39.729999999999997"/>
    <n v="34.270000000000003"/>
    <n v="4556"/>
    <n v="625.29999999999995"/>
    <n v="52.04"/>
    <n v="27.05"/>
    <n v="2148.5036999999998"/>
    <n v="1758.9591"/>
    <n v="199484.33"/>
    <n v="1720.6967000000002"/>
    <n v="325.40611999999999"/>
    <n v="169.14364999999998"/>
    <n v="2"/>
    <n v="2"/>
  </r>
  <r>
    <x v="9"/>
    <n v="5149"/>
    <n v="4999"/>
    <n v="43.41"/>
    <n v="35.36"/>
    <n v="5027"/>
    <n v="40.86"/>
    <n v="34.25"/>
    <n v="4555"/>
    <n v="630.48"/>
    <n v="52.06"/>
    <n v="26.45"/>
    <n v="2170.0659000000001"/>
    <n v="1767.6463999999999"/>
    <n v="205403.22"/>
    <n v="1721.7474999999999"/>
    <n v="328.22788800000001"/>
    <n v="166.76195999999999"/>
    <n v="2"/>
    <n v="2"/>
  </r>
  <r>
    <x v="10"/>
    <n v="5089"/>
    <n v="4941"/>
    <n v="43.55"/>
    <n v="36.32"/>
    <n v="5007"/>
    <n v="41.45"/>
    <n v="34.67"/>
    <n v="4496"/>
    <n v="638.45000000000005"/>
    <n v="50.88"/>
    <n v="26.12"/>
    <n v="2151.8054999999999"/>
    <n v="1794.5711999999999"/>
    <n v="207540.15000000002"/>
    <n v="1735.9268999999999"/>
    <n v="324.84336000000002"/>
    <n v="166.76314000000002"/>
    <n v="2"/>
    <n v="2"/>
  </r>
  <r>
    <x v="11"/>
    <n v="5033"/>
    <n v="4886"/>
    <n v="43.15"/>
    <n v="34.770000000000003"/>
    <n v="5022"/>
    <n v="41.5"/>
    <n v="33.83"/>
    <n v="4382"/>
    <n v="635.92999999999995"/>
    <n v="51.33"/>
    <n v="26.6"/>
    <n v="2108.3089999999997"/>
    <n v="1698.8622"/>
    <n v="208413"/>
    <n v="1698.9425999999999"/>
    <n v="326.42286899999993"/>
    <n v="169.15738000000002"/>
    <n v="2"/>
    <n v="2"/>
  </r>
  <r>
    <x v="12"/>
    <m/>
    <m/>
    <m/>
    <m/>
    <n v="4405"/>
    <n v="41.17"/>
    <n v="33.75"/>
    <m/>
    <n v="533.91"/>
    <n v="53.55"/>
    <n v="27.63"/>
    <n v="0"/>
    <n v="0"/>
    <n v="181353.85"/>
    <n v="1486.6875"/>
    <n v="285.90880499999997"/>
    <n v="147.51933299999999"/>
    <n v="2"/>
    <n v="2"/>
  </r>
  <r>
    <x v="13"/>
    <m/>
    <m/>
    <m/>
    <m/>
    <m/>
    <m/>
    <m/>
    <m/>
    <m/>
    <m/>
    <m/>
    <n v="0"/>
    <n v="0"/>
    <n v="0"/>
    <n v="0"/>
    <n v="0"/>
    <n v="0"/>
    <n v="2"/>
    <n v="2"/>
  </r>
  <r>
    <x v="14"/>
    <n v="4925"/>
    <n v="4782"/>
    <n v="42.49"/>
    <n v="36.61"/>
    <m/>
    <m/>
    <m/>
    <n v="4782"/>
    <m/>
    <m/>
    <m/>
    <n v="2031.8718000000001"/>
    <n v="1750.6902"/>
    <n v="0"/>
    <n v="0"/>
    <n v="0"/>
    <n v="0"/>
    <n v="2"/>
    <n v="3"/>
  </r>
  <r>
    <x v="15"/>
    <n v="5213"/>
    <n v="5061"/>
    <n v="42.49"/>
    <n v="36.97"/>
    <n v="5022"/>
    <n v="40.36"/>
    <n v="35.29"/>
    <n v="4843"/>
    <n v="626.62"/>
    <n v="51.85"/>
    <n v="26.8"/>
    <n v="2150.4189000000001"/>
    <n v="1871.0516999999998"/>
    <n v="202687.91999999998"/>
    <n v="1772.2637999999999"/>
    <n v="324.90246999999999"/>
    <n v="167.93416000000002"/>
    <n v="3"/>
    <n v="3"/>
  </r>
  <r>
    <x v="16"/>
    <n v="4981"/>
    <n v="4836"/>
    <n v="42.47"/>
    <n v="35.549999999999997"/>
    <n v="5029"/>
    <n v="40.83"/>
    <n v="34.65"/>
    <n v="4679"/>
    <n v="644.38"/>
    <n v="51.44"/>
    <n v="27.29"/>
    <n v="2053.8491999999997"/>
    <n v="1719.1979999999999"/>
    <n v="205334.06999999998"/>
    <n v="1742.5485000000001"/>
    <n v="331.46907200000004"/>
    <n v="175.851302"/>
    <n v="3"/>
    <n v="3"/>
  </r>
  <r>
    <x v="17"/>
    <n v="5252"/>
    <n v="5099"/>
    <n v="41.93"/>
    <n v="35.67"/>
    <n v="5023"/>
    <n v="39.880000000000003"/>
    <n v="34.520000000000003"/>
    <n v="4778"/>
    <n v="609.95000000000005"/>
    <n v="53.6"/>
    <n v="27.81"/>
    <n v="2138.0107000000003"/>
    <n v="1818.8133000000003"/>
    <n v="200317.24000000002"/>
    <n v="1733.9396000000002"/>
    <n v="326.93320000000006"/>
    <n v="169.627095"/>
    <n v="3"/>
    <n v="3"/>
  </r>
  <r>
    <x v="18"/>
    <n v="5301"/>
    <n v="5147"/>
    <n v="43.52"/>
    <n v="35.76"/>
    <n v="5023"/>
    <n v="41.34"/>
    <n v="34.270000000000003"/>
    <n v="4925"/>
    <n v="604.37"/>
    <n v="54.14"/>
    <n v="27.15"/>
    <n v="2239.9744000000001"/>
    <n v="1840.5672"/>
    <n v="207650.82"/>
    <n v="1721.3821000000003"/>
    <n v="327.205918"/>
    <n v="164.086455"/>
    <n v="3"/>
    <n v="3"/>
  </r>
  <r>
    <x v="19"/>
    <m/>
    <m/>
    <m/>
    <m/>
    <n v="4945"/>
    <n v="41.04"/>
    <n v="34.520000000000003"/>
    <m/>
    <n v="632.57000000000005"/>
    <n v="51.14"/>
    <n v="26.51"/>
    <n v="0"/>
    <n v="0"/>
    <n v="202942.8"/>
    <n v="1707.0140000000001"/>
    <n v="323.49629800000002"/>
    <n v="167.69430700000001"/>
    <n v="3"/>
    <n v="3"/>
  </r>
  <r>
    <x v="20"/>
    <m/>
    <m/>
    <m/>
    <m/>
    <m/>
    <m/>
    <m/>
    <m/>
    <m/>
    <m/>
    <m/>
    <n v="0"/>
    <n v="0"/>
    <n v="0"/>
    <n v="0"/>
    <n v="0"/>
    <n v="0"/>
    <n v="3"/>
    <n v="3"/>
  </r>
  <r>
    <x v="21"/>
    <n v="5343"/>
    <n v="5187"/>
    <n v="42.15"/>
    <n v="33.43"/>
    <m/>
    <m/>
    <m/>
    <n v="5187"/>
    <m/>
    <m/>
    <m/>
    <n v="2186.3204999999998"/>
    <n v="1734.0141000000001"/>
    <n v="0"/>
    <n v="0"/>
    <n v="0"/>
    <n v="0"/>
    <n v="3"/>
    <n v="4"/>
  </r>
  <r>
    <x v="22"/>
    <n v="4584"/>
    <n v="4450"/>
    <n v="42.06"/>
    <n v="35.869999999999997"/>
    <n v="5020"/>
    <n v="40.270000000000003"/>
    <n v="33.11"/>
    <n v="4637"/>
    <n v="623.38"/>
    <n v="52.17"/>
    <n v="26.76"/>
    <n v="1871.67"/>
    <n v="1596.2149999999999"/>
    <n v="202155.40000000002"/>
    <n v="1662.1220000000001"/>
    <n v="325.21734600000002"/>
    <n v="166.81648800000002"/>
    <n v="4"/>
    <n v="4"/>
  </r>
  <r>
    <x v="23"/>
    <n v="5393"/>
    <n v="5236"/>
    <n v="42.83"/>
    <n v="34.770000000000003"/>
    <n v="5020"/>
    <n v="40.51"/>
    <n v="32.99"/>
    <n v="4873"/>
    <n v="634.66"/>
    <n v="51.91"/>
    <n v="27.06"/>
    <n v="2242.5788000000002"/>
    <n v="1820.5572000000002"/>
    <n v="203360.19999999998"/>
    <n v="1656.0980000000002"/>
    <n v="329.45200599999998"/>
    <n v="171.73899599999996"/>
    <n v="4"/>
    <n v="4"/>
  </r>
  <r>
    <x v="24"/>
    <n v="5399"/>
    <n v="5242"/>
    <n v="47.38"/>
    <n v="34.659999999999997"/>
    <n v="5021"/>
    <n v="43.09"/>
    <n v="33.119999999999997"/>
    <n v="5115"/>
    <n v="618.66999999999996"/>
    <n v="52.81"/>
    <n v="27.69"/>
    <n v="2483.6596000000004"/>
    <n v="1816.8771999999997"/>
    <n v="216354.89"/>
    <n v="1662.9551999999999"/>
    <n v="326.719627"/>
    <n v="171.30972300000002"/>
    <n v="4"/>
    <n v="4"/>
  </r>
  <r>
    <x v="25"/>
    <n v="4990"/>
    <n v="4845"/>
    <n v="43.12"/>
    <n v="35.799999999999997"/>
    <n v="5026"/>
    <n v="42.54"/>
    <n v="33.53"/>
    <n v="4960"/>
    <n v="647.99"/>
    <n v="50.05"/>
    <n v="26.12"/>
    <n v="2089.1639999999998"/>
    <n v="1734.51"/>
    <n v="213806.04"/>
    <n v="1685.2177999999999"/>
    <n v="324.31899499999997"/>
    <n v="169.25498800000003"/>
    <n v="4"/>
    <n v="4"/>
  </r>
  <r>
    <x v="26"/>
    <m/>
    <m/>
    <m/>
    <m/>
    <n v="4979"/>
    <n v="42.22"/>
    <n v="33.909999999999997"/>
    <m/>
    <n v="632.80999999999995"/>
    <n v="51.12"/>
    <n v="26.84"/>
    <n v="0"/>
    <n v="0"/>
    <n v="210213.38"/>
    <n v="1688.3788999999999"/>
    <n v="323.49247199999996"/>
    <n v="169.846204"/>
    <n v="4"/>
    <n v="4"/>
  </r>
  <r>
    <x v="27"/>
    <m/>
    <m/>
    <m/>
    <m/>
    <m/>
    <m/>
    <m/>
    <m/>
    <m/>
    <m/>
    <m/>
    <n v="0"/>
    <n v="0"/>
    <n v="0"/>
    <n v="0"/>
    <n v="0"/>
    <n v="0"/>
    <n v="4"/>
    <n v="4"/>
  </r>
  <r>
    <x v="28"/>
    <n v="5288"/>
    <n v="5134"/>
    <n v="45.63"/>
    <n v="36.49"/>
    <m/>
    <m/>
    <m/>
    <n v="5134"/>
    <m/>
    <m/>
    <m/>
    <n v="2342.6442000000002"/>
    <n v="1873.3966"/>
    <n v="0"/>
    <n v="0"/>
    <n v="0"/>
    <n v="0"/>
    <n v="4"/>
    <n v="5"/>
  </r>
  <r>
    <x v="29"/>
    <n v="5253"/>
    <n v="5100"/>
    <n v="44.37"/>
    <n v="37.049999999999997"/>
    <n v="5016"/>
    <n v="42.53"/>
    <n v="35.340000000000003"/>
    <n v="5234"/>
    <n v="620.41999999999996"/>
    <n v="52.45"/>
    <n v="26.11"/>
    <n v="2262.87"/>
    <n v="1889.55"/>
    <n v="213330.48"/>
    <n v="1772.6544000000004"/>
    <n v="325.41028999999997"/>
    <n v="161.99166199999999"/>
    <n v="5"/>
    <n v="5"/>
  </r>
  <r>
    <x v="30"/>
    <n v="5452"/>
    <n v="5293"/>
    <n v="41.1"/>
    <n v="36.520000000000003"/>
    <n v="5026"/>
    <n v="40.869999999999997"/>
    <n v="34.94"/>
    <n v="5527"/>
    <n v="620.17999999999995"/>
    <n v="52.72"/>
    <n v="27.55"/>
    <n v="2175.4230000000002"/>
    <n v="1933.0036000000002"/>
    <n v="205412.62"/>
    <n v="1756.0844"/>
    <n v="326.95889599999992"/>
    <n v="170.85959"/>
    <n v="5"/>
    <n v="5"/>
  </r>
  <r>
    <x v="31"/>
    <n v="5283"/>
    <n v="5129"/>
    <n v="41.36"/>
    <n v="34.39"/>
    <n v="5019"/>
    <n v="40.79"/>
    <n v="34.28"/>
    <n v="5656"/>
    <n v="644.16"/>
    <n v="51.33"/>
    <n v="27.64"/>
    <n v="2121.3544000000002"/>
    <n v="1763.8631"/>
    <n v="204725.01"/>
    <n v="1720.5132000000001"/>
    <n v="330.64732799999996"/>
    <n v="178.04582399999998"/>
    <n v="5"/>
    <n v="5"/>
  </r>
  <r>
    <x v="32"/>
    <n v="5025"/>
    <n v="4879"/>
    <n v="43.24"/>
    <n v="34.61"/>
    <n v="5025"/>
    <n v="41"/>
    <n v="33.47"/>
    <n v="5535"/>
    <n v="626.59"/>
    <n v="51.78"/>
    <n v="26.95"/>
    <n v="2109.6796000000004"/>
    <n v="1688.6219000000001"/>
    <n v="206025"/>
    <n v="1681.8675000000001"/>
    <n v="324.44830200000001"/>
    <n v="168.866005"/>
    <n v="5"/>
    <n v="5"/>
  </r>
  <r>
    <x v="33"/>
    <m/>
    <m/>
    <m/>
    <m/>
    <n v="5568"/>
    <n v="40.58"/>
    <n v="33.880000000000003"/>
    <m/>
    <n v="682.11"/>
    <n v="52.54"/>
    <n v="26.06"/>
    <n v="0"/>
    <n v="0"/>
    <n v="225949.44"/>
    <n v="1886.4384000000002"/>
    <n v="358.38059399999997"/>
    <n v="177.75786600000001"/>
    <n v="5"/>
    <n v="5"/>
  </r>
  <r>
    <x v="34"/>
    <m/>
    <m/>
    <m/>
    <m/>
    <m/>
    <m/>
    <m/>
    <m/>
    <m/>
    <m/>
    <m/>
    <n v="0"/>
    <n v="0"/>
    <n v="0"/>
    <n v="0"/>
    <n v="0"/>
    <n v="0"/>
    <n v="5"/>
    <n v="5"/>
  </r>
  <r>
    <x v="35"/>
    <n v="5514"/>
    <n v="5353"/>
    <n v="43.43"/>
    <n v="33.18"/>
    <m/>
    <m/>
    <m/>
    <n v="5353"/>
    <m/>
    <m/>
    <m/>
    <n v="2324.8079000000002"/>
    <n v="1776.1254000000001"/>
    <n v="0"/>
    <n v="0"/>
    <n v="0"/>
    <n v="0"/>
    <n v="5"/>
    <n v="6"/>
  </r>
  <r>
    <x v="36"/>
    <n v="5283"/>
    <n v="5129"/>
    <n v="43.91"/>
    <n v="34.450000000000003"/>
    <n v="5030"/>
    <n v="41.78"/>
    <n v="32.33"/>
    <n v="5482"/>
    <n v="643.02"/>
    <n v="50.75"/>
    <n v="25.41"/>
    <n v="2252.1439"/>
    <n v="1766.9405000000002"/>
    <n v="210153.4"/>
    <n v="1626.1989999999998"/>
    <n v="326.33265"/>
    <n v="163.39138199999999"/>
    <n v="6"/>
    <n v="6"/>
  </r>
  <r>
    <x v="37"/>
    <n v="4813"/>
    <n v="4673"/>
    <n v="43.37"/>
    <n v="35.299999999999997"/>
    <n v="5020"/>
    <n v="41.87"/>
    <n v="32.99"/>
    <n v="5155"/>
    <n v="614.66"/>
    <n v="53.24"/>
    <n v="28.04"/>
    <n v="2026.6800999999998"/>
    <n v="1649.569"/>
    <n v="210187.4"/>
    <n v="1656.0980000000002"/>
    <n v="327.24498399999999"/>
    <n v="172.35066399999999"/>
    <n v="6"/>
    <n v="6"/>
  </r>
  <r>
    <x v="38"/>
    <n v="5400"/>
    <n v="5243"/>
    <n v="41.25"/>
    <n v="33.9"/>
    <n v="5027"/>
    <n v="40.65"/>
    <n v="32.950000000000003"/>
    <n v="5398"/>
    <n v="647.25"/>
    <n v="50.68"/>
    <n v="26.03"/>
    <n v="2162.7375000000002"/>
    <n v="1777.3769999999997"/>
    <n v="204347.55"/>
    <n v="1656.3965000000003"/>
    <n v="328.02629999999999"/>
    <n v="168.479175"/>
    <n v="6"/>
    <n v="6"/>
  </r>
  <r>
    <x v="39"/>
    <n v="5209"/>
    <n v="5057"/>
    <n v="40.79"/>
    <n v="35.28"/>
    <n v="5031"/>
    <n v="39.82"/>
    <n v="32.799999999999997"/>
    <n v="5455"/>
    <n v="627.16"/>
    <n v="51.93"/>
    <n v="27.22"/>
    <n v="2062.7503000000002"/>
    <n v="1784.1096"/>
    <n v="200334.42"/>
    <n v="1650.1679999999999"/>
    <n v="325.68418800000001"/>
    <n v="170.71295199999997"/>
    <n v="6"/>
    <n v="6"/>
  </r>
  <r>
    <x v="40"/>
    <m/>
    <m/>
    <m/>
    <m/>
    <n v="5485"/>
    <n v="39.58"/>
    <n v="32.96"/>
    <m/>
    <n v="708.86"/>
    <n v="49.74"/>
    <n v="27.21"/>
    <n v="0"/>
    <n v="0"/>
    <n v="217096.3"/>
    <n v="1807.856"/>
    <n v="352.58696400000002"/>
    <n v="192.88080600000001"/>
    <n v="6"/>
    <n v="6"/>
  </r>
  <r>
    <x v="41"/>
    <m/>
    <m/>
    <m/>
    <m/>
    <m/>
    <m/>
    <m/>
    <m/>
    <m/>
    <m/>
    <m/>
    <n v="0"/>
    <n v="0"/>
    <n v="0"/>
    <n v="0"/>
    <n v="0"/>
    <n v="0"/>
    <n v="6"/>
    <n v="6"/>
  </r>
  <r>
    <x v="42"/>
    <n v="5415"/>
    <n v="5257"/>
    <n v="44.49"/>
    <n v="36.58"/>
    <m/>
    <m/>
    <m/>
    <n v="5257"/>
    <m/>
    <m/>
    <m/>
    <n v="2338.8393000000001"/>
    <n v="1923.0106000000001"/>
    <n v="0"/>
    <n v="0"/>
    <n v="0"/>
    <n v="0"/>
    <n v="6"/>
    <n v="7"/>
  </r>
  <r>
    <x v="43"/>
    <n v="4886"/>
    <n v="4744"/>
    <n v="43.46"/>
    <n v="37.01"/>
    <n v="5036"/>
    <n v="42.11"/>
    <n v="35.19"/>
    <n v="5001"/>
    <n v="633.51"/>
    <n v="51.42"/>
    <n v="27.36"/>
    <n v="2061.7424000000001"/>
    <n v="1755.7544"/>
    <n v="212065.96"/>
    <n v="1772.1684"/>
    <n v="325.75084200000003"/>
    <n v="173.32833599999998"/>
    <n v="7"/>
    <n v="7"/>
  </r>
  <r>
    <x v="44"/>
    <n v="5127"/>
    <n v="4978"/>
    <n v="40.840000000000003"/>
    <n v="33.89"/>
    <n v="5020"/>
    <n v="40.47"/>
    <n v="34.17"/>
    <n v="4979"/>
    <n v="625.08000000000004"/>
    <n v="52.43"/>
    <n v="27.24"/>
    <n v="2033.0152000000003"/>
    <n v="1687.0442"/>
    <n v="203159.4"/>
    <n v="1715.3339999999998"/>
    <n v="327.729444"/>
    <n v="170.27179199999998"/>
    <n v="7"/>
    <n v="7"/>
  </r>
  <r>
    <x v="45"/>
    <n v="5407"/>
    <n v="5250"/>
    <n v="44.56"/>
    <n v="35.74"/>
    <n v="5025"/>
    <n v="41.58"/>
    <n v="34"/>
    <n v="5229"/>
    <n v="614.20000000000005"/>
    <n v="53.24"/>
    <n v="28.45"/>
    <n v="2339.4"/>
    <n v="1876.35"/>
    <n v="208939.5"/>
    <n v="1708.5"/>
    <n v="327.00008000000003"/>
    <n v="174.73990000000001"/>
    <n v="7"/>
    <n v="7"/>
  </r>
  <r>
    <x v="46"/>
    <n v="5827"/>
    <n v="5657"/>
    <n v="43.13"/>
    <n v="34.75"/>
    <n v="5027"/>
    <n v="41.47"/>
    <n v="33.630000000000003"/>
    <n v="5886"/>
    <n v="658.32"/>
    <n v="49.58"/>
    <n v="26.38"/>
    <n v="2439.8641000000002"/>
    <n v="1965.8074999999999"/>
    <n v="208469.69"/>
    <n v="1690.5801000000001"/>
    <n v="326.39505600000001"/>
    <n v="173.664816"/>
    <n v="7"/>
    <n v="7"/>
  </r>
  <r>
    <x v="47"/>
    <m/>
    <m/>
    <m/>
    <m/>
    <n v="5922"/>
    <n v="41.66"/>
    <n v="33.42"/>
    <m/>
    <n v="751.24"/>
    <n v="50.96"/>
    <n v="27.19"/>
    <n v="0"/>
    <n v="0"/>
    <n v="246710.52"/>
    <n v="1979.1324000000002"/>
    <n v="382.83190400000001"/>
    <n v="204.262156"/>
    <n v="7"/>
    <n v="7"/>
  </r>
  <r>
    <x v="48"/>
    <m/>
    <m/>
    <m/>
    <m/>
    <m/>
    <m/>
    <m/>
    <m/>
    <m/>
    <m/>
    <m/>
    <n v="0"/>
    <n v="0"/>
    <n v="0"/>
    <n v="0"/>
    <n v="0"/>
    <n v="0"/>
    <n v="7"/>
    <n v="7"/>
  </r>
  <r>
    <x v="49"/>
    <n v="5104"/>
    <n v="4955"/>
    <n v="42.9"/>
    <n v="35.79"/>
    <m/>
    <m/>
    <m/>
    <n v="4955"/>
    <m/>
    <m/>
    <m/>
    <n v="2125.6950000000002"/>
    <n v="1773.3944999999999"/>
    <n v="0"/>
    <n v="0"/>
    <n v="0"/>
    <n v="0"/>
    <n v="7"/>
    <n v="8"/>
  </r>
  <r>
    <x v="50"/>
    <n v="4912"/>
    <n v="4769"/>
    <n v="42.59"/>
    <n v="34.68"/>
    <n v="5022"/>
    <n v="40.96"/>
    <n v="33.74"/>
    <n v="4724"/>
    <n v="610.38"/>
    <n v="53.62"/>
    <n v="27.99"/>
    <n v="2031.1171000000002"/>
    <n v="1653.8892000000001"/>
    <n v="205701.12"/>
    <n v="1694.4228000000001"/>
    <n v="327.28575599999999"/>
    <n v="170.84536199999999"/>
    <n v="8"/>
    <n v="8"/>
  </r>
  <r>
    <x v="51"/>
    <n v="5281"/>
    <n v="5127"/>
    <n v="43.26"/>
    <n v="36.65"/>
    <n v="5022"/>
    <n v="40.97"/>
    <n v="34.28"/>
    <n v="4851"/>
    <n v="645.13"/>
    <n v="50.31"/>
    <n v="26.73"/>
    <n v="2217.9402"/>
    <n v="1879.0454999999999"/>
    <n v="205751.34"/>
    <n v="1721.5416"/>
    <n v="324.56490300000002"/>
    <n v="172.44324900000001"/>
    <n v="8"/>
    <n v="8"/>
  </r>
  <r>
    <x v="52"/>
    <n v="5168"/>
    <n v="5017"/>
    <n v="43.17"/>
    <n v="35.15"/>
    <n v="5021"/>
    <n v="41.2"/>
    <n v="34.299999999999997"/>
    <n v="4868"/>
    <n v="614.73"/>
    <n v="53.25"/>
    <n v="27.89"/>
    <n v="2165.8389000000002"/>
    <n v="1763.4754999999998"/>
    <n v="206865.2"/>
    <n v="1722.203"/>
    <n v="327.34372500000001"/>
    <n v="171.44819699999999"/>
    <n v="8"/>
    <n v="8"/>
  </r>
  <r>
    <x v="53"/>
    <n v="5225"/>
    <n v="5073"/>
    <n v="43.86"/>
    <n v="34.159999999999997"/>
    <n v="5020"/>
    <n v="42.06"/>
    <n v="33.200000000000003"/>
    <n v="4941"/>
    <n v="623.91999999999996"/>
    <n v="52.97"/>
    <n v="28.56"/>
    <n v="2225.0178000000001"/>
    <n v="1732.9367999999999"/>
    <n v="211141.2"/>
    <n v="1666.64"/>
    <n v="330.49042399999996"/>
    <n v="178.19155199999997"/>
    <n v="8"/>
    <n v="8"/>
  </r>
  <r>
    <x v="54"/>
    <m/>
    <m/>
    <m/>
    <m/>
    <n v="4972"/>
    <n v="41.34"/>
    <n v="33.340000000000003"/>
    <m/>
    <n v="605.35"/>
    <n v="53.53"/>
    <n v="27.68"/>
    <n v="0"/>
    <n v="0"/>
    <n v="205542.48"/>
    <n v="1657.6648"/>
    <n v="324.04385500000001"/>
    <n v="167.56088"/>
    <n v="8"/>
    <n v="8"/>
  </r>
  <r>
    <x v="55"/>
    <m/>
    <m/>
    <m/>
    <m/>
    <m/>
    <m/>
    <m/>
    <m/>
    <m/>
    <m/>
    <m/>
    <n v="0"/>
    <n v="0"/>
    <n v="0"/>
    <n v="0"/>
    <n v="0"/>
    <n v="0"/>
    <n v="8"/>
    <n v="8"/>
  </r>
  <r>
    <x v="56"/>
    <n v="5258"/>
    <n v="5105"/>
    <n v="41.89"/>
    <n v="34.409999999999997"/>
    <m/>
    <m/>
    <m/>
    <n v="5105"/>
    <m/>
    <m/>
    <m/>
    <n v="2138.4845"/>
    <n v="1756.6305"/>
    <n v="0"/>
    <n v="0"/>
    <n v="0"/>
    <n v="0"/>
    <n v="8"/>
    <n v="9"/>
  </r>
  <r>
    <x v="57"/>
    <n v="4579"/>
    <n v="4446"/>
    <n v="42.48"/>
    <n v="37.74"/>
    <n v="5029"/>
    <n v="40.08"/>
    <n v="34.520000000000003"/>
    <n v="4551"/>
    <n v="626.98"/>
    <n v="52.13"/>
    <n v="27.11"/>
    <n v="1888.6607999999999"/>
    <n v="1677.9204"/>
    <n v="201562.31999999998"/>
    <n v="1736.0108000000002"/>
    <n v="326.844674"/>
    <n v="169.97427800000003"/>
    <n v="9"/>
    <n v="9"/>
  </r>
  <r>
    <x v="58"/>
    <n v="5273"/>
    <n v="5119"/>
    <n v="44.36"/>
    <n v="35.369999999999997"/>
    <n v="5027"/>
    <n v="41.27"/>
    <n v="33.880000000000003"/>
    <n v="4670"/>
    <n v="646.76"/>
    <n v="50.95"/>
    <n v="27.1"/>
    <n v="2270.7883999999999"/>
    <n v="1810.5903000000001"/>
    <n v="207464.29"/>
    <n v="1703.1476"/>
    <n v="329.52422000000001"/>
    <n v="175.27196000000001"/>
    <n v="9"/>
    <n v="9"/>
  </r>
  <r>
    <x v="59"/>
    <n v="4509"/>
    <n v="4378"/>
    <n v="41.34"/>
    <n v="34.82"/>
    <n v="5024"/>
    <n v="41.03"/>
    <n v="33.57"/>
    <n v="4048"/>
    <n v="583.33000000000004"/>
    <n v="55.95"/>
    <n v="28.4"/>
    <n v="1809.8652000000002"/>
    <n v="1524.4195999999999"/>
    <n v="206134.72"/>
    <n v="1686.5567999999998"/>
    <n v="326.37313500000005"/>
    <n v="165.66571999999999"/>
    <n v="9"/>
    <n v="9"/>
  </r>
  <r>
    <x v="60"/>
    <n v="5187"/>
    <n v="5036"/>
    <n v="46.34"/>
    <n v="37.83"/>
    <n v="5026"/>
    <n v="42.79"/>
    <n v="35.06"/>
    <n v="4084"/>
    <n v="623.33000000000004"/>
    <n v="51.98"/>
    <n v="26.68"/>
    <n v="2333.6824000000001"/>
    <n v="1905.1188"/>
    <n v="215062.54"/>
    <n v="1762.1156000000001"/>
    <n v="324.006934"/>
    <n v="166.30444399999999"/>
    <n v="9"/>
    <n v="9"/>
  </r>
  <r>
    <x v="61"/>
    <m/>
    <m/>
    <m/>
    <m/>
    <n v="4106"/>
    <n v="43.02"/>
    <n v="34.99"/>
    <m/>
    <n v="515.34"/>
    <n v="52.27"/>
    <n v="26.6"/>
    <n v="0"/>
    <n v="0"/>
    <n v="176640.12000000002"/>
    <n v="1436.6894"/>
    <n v="269.36821800000001"/>
    <n v="137.08044000000001"/>
    <n v="9"/>
    <n v="9"/>
  </r>
  <r>
    <x v="62"/>
    <m/>
    <m/>
    <m/>
    <m/>
    <m/>
    <m/>
    <m/>
    <m/>
    <m/>
    <m/>
    <m/>
    <n v="0"/>
    <n v="0"/>
    <n v="0"/>
    <n v="0"/>
    <n v="0"/>
    <n v="0"/>
    <n v="9"/>
    <n v="9"/>
  </r>
  <r>
    <x v="63"/>
    <n v="5478"/>
    <n v="5318"/>
    <n v="41.57"/>
    <n v="35.5"/>
    <m/>
    <m/>
    <m/>
    <n v="5318"/>
    <m/>
    <m/>
    <m/>
    <n v="2210.6926000000003"/>
    <n v="1887.89"/>
    <n v="0"/>
    <n v="0"/>
    <n v="0"/>
    <n v="0"/>
    <n v="9"/>
    <n v="10"/>
  </r>
  <r>
    <x v="64"/>
    <n v="4922"/>
    <n v="4779"/>
    <n v="43.21"/>
    <n v="36.380000000000003"/>
    <n v="5022"/>
    <n v="40.700000000000003"/>
    <n v="34.18"/>
    <n v="5097"/>
    <n v="614.59"/>
    <n v="52.86"/>
    <n v="26.92"/>
    <n v="2065.0059000000001"/>
    <n v="1738.6002000000001"/>
    <n v="204395.40000000002"/>
    <n v="1716.5195999999999"/>
    <n v="324.872274"/>
    <n v="165.44762800000001"/>
    <n v="10"/>
    <n v="10"/>
  </r>
  <r>
    <x v="65"/>
    <n v="5113"/>
    <n v="4964"/>
    <n v="40.44"/>
    <n v="36.74"/>
    <n v="5026"/>
    <n v="39.78"/>
    <n v="34.82"/>
    <n v="5061"/>
    <n v="659.31"/>
    <n v="49.1"/>
    <n v="25.47"/>
    <n v="2007.4415999999997"/>
    <n v="1823.7736000000002"/>
    <n v="199934.28"/>
    <n v="1750.0532000000001"/>
    <n v="323.72120999999999"/>
    <n v="167.92625699999996"/>
    <n v="10"/>
    <n v="10"/>
  </r>
  <r>
    <x v="66"/>
    <n v="4945"/>
    <n v="4801"/>
    <n v="42.26"/>
    <n v="37.29"/>
    <n v="5036"/>
    <n v="39.96"/>
    <n v="35.01"/>
    <n v="4862"/>
    <n v="624.79999999999995"/>
    <n v="52.71"/>
    <n v="27.56"/>
    <n v="2028.9025999999999"/>
    <n v="1790.2929000000001"/>
    <n v="201238.56"/>
    <n v="1763.1035999999999"/>
    <n v="329.33207999999996"/>
    <n v="172.19487999999998"/>
    <n v="10"/>
    <n v="10"/>
  </r>
  <r>
    <x v="67"/>
    <n v="5339"/>
    <n v="5183"/>
    <n v="40.24"/>
    <n v="37.42"/>
    <n v="5021"/>
    <n v="39.25"/>
    <n v="35.57"/>
    <n v="5045"/>
    <n v="623.74"/>
    <n v="52.23"/>
    <n v="26.98"/>
    <n v="2085.6392000000001"/>
    <n v="1939.4786000000001"/>
    <n v="197074.25"/>
    <n v="1785.9697000000001"/>
    <n v="325.77940199999995"/>
    <n v="168.28505200000001"/>
    <n v="10"/>
    <n v="10"/>
  </r>
  <r>
    <x v="68"/>
    <m/>
    <m/>
    <m/>
    <m/>
    <n v="5067"/>
    <n v="39.22"/>
    <n v="35.229999999999997"/>
    <m/>
    <n v="638.99"/>
    <n v="51.54"/>
    <n v="25.94"/>
    <n v="0"/>
    <n v="0"/>
    <n v="198727.74"/>
    <n v="1785.1040999999998"/>
    <n v="329.33544599999999"/>
    <n v="165.754006"/>
    <n v="10"/>
    <n v="10"/>
  </r>
  <r>
    <x v="69"/>
    <m/>
    <m/>
    <m/>
    <m/>
    <m/>
    <m/>
    <m/>
    <m/>
    <m/>
    <m/>
    <m/>
    <n v="0"/>
    <n v="0"/>
    <n v="0"/>
    <n v="0"/>
    <n v="0"/>
    <n v="0"/>
    <n v="10"/>
    <n v="10"/>
  </r>
  <r>
    <x v="70"/>
    <n v="4546"/>
    <n v="4414"/>
    <n v="43.53"/>
    <n v="36.44"/>
    <m/>
    <m/>
    <m/>
    <n v="4414"/>
    <m/>
    <m/>
    <m/>
    <n v="1921.4142000000002"/>
    <n v="1608.4616000000001"/>
    <n v="0"/>
    <n v="0"/>
    <n v="0"/>
    <n v="0"/>
    <n v="10"/>
    <n v="11"/>
  </r>
  <r>
    <x v="71"/>
    <n v="5363"/>
    <n v="5207"/>
    <n v="41.88"/>
    <n v="34.380000000000003"/>
    <n v="5028"/>
    <n v="40.659999999999997"/>
    <n v="33.6"/>
    <n v="4621"/>
    <n v="653.71"/>
    <n v="50.66"/>
    <n v="27.12"/>
    <n v="2180.6916000000001"/>
    <n v="1790.1666"/>
    <n v="204438.47999999998"/>
    <n v="1689.4080000000001"/>
    <n v="331.16948599999995"/>
    <n v="177.28615200000002"/>
    <n v="11"/>
    <n v="11"/>
  </r>
  <r>
    <x v="72"/>
    <n v="5497"/>
    <n v="5337"/>
    <n v="45.35"/>
    <n v="37.54"/>
    <n v="5025"/>
    <n v="42.04"/>
    <n v="34.880000000000003"/>
    <n v="4958"/>
    <n v="612.37"/>
    <n v="53.7"/>
    <n v="27.9"/>
    <n v="2420.3295000000003"/>
    <n v="2003.5097999999998"/>
    <n v="211251"/>
    <n v="1752.72"/>
    <n v="328.84269"/>
    <n v="170.85122999999999"/>
    <n v="11"/>
    <n v="11"/>
  </r>
  <r>
    <x v="73"/>
    <n v="5390"/>
    <n v="5233"/>
    <n v="42.54"/>
    <n v="36.659999999999997"/>
    <n v="5024"/>
    <n v="40.68"/>
    <n v="34.89"/>
    <n v="5191"/>
    <n v="653.08000000000004"/>
    <n v="49.86"/>
    <n v="26.27"/>
    <n v="2226.1181999999999"/>
    <n v="1918.4177999999997"/>
    <n v="204376.32000000001"/>
    <n v="1752.8736000000001"/>
    <n v="325.62568800000003"/>
    <n v="171.56411599999998"/>
    <n v="11"/>
    <n v="11"/>
  </r>
  <r>
    <x v="74"/>
    <n v="5210"/>
    <n v="5058"/>
    <n v="45.85"/>
    <n v="34.78"/>
    <n v="5028"/>
    <n v="42.73"/>
    <n v="33.89"/>
    <n v="5249"/>
    <n v="641.26"/>
    <n v="50.86"/>
    <n v="26.15"/>
    <n v="2319.0930000000003"/>
    <n v="1759.1724000000002"/>
    <n v="214846.43999999997"/>
    <n v="1703.9892000000002"/>
    <n v="326.144836"/>
    <n v="167.68949000000001"/>
    <n v="11"/>
    <n v="11"/>
  </r>
  <r>
    <x v="75"/>
    <m/>
    <m/>
    <m/>
    <m/>
    <n v="5275"/>
    <n v="42.38"/>
    <n v="34.130000000000003"/>
    <m/>
    <n v="657.51"/>
    <n v="52.7"/>
    <n v="27.86"/>
    <n v="0"/>
    <n v="0"/>
    <n v="223554.5"/>
    <n v="1800.3575000000001"/>
    <n v="346.50776999999999"/>
    <n v="183.18228599999998"/>
    <n v="11"/>
    <n v="11"/>
  </r>
  <r>
    <x v="76"/>
    <m/>
    <m/>
    <m/>
    <m/>
    <m/>
    <m/>
    <m/>
    <m/>
    <m/>
    <m/>
    <m/>
    <n v="0"/>
    <n v="0"/>
    <n v="0"/>
    <n v="0"/>
    <n v="0"/>
    <n v="0"/>
    <n v="11"/>
    <n v="11"/>
  </r>
  <r>
    <x v="77"/>
    <n v="5615"/>
    <n v="5451"/>
    <n v="43.59"/>
    <n v="35.630000000000003"/>
    <m/>
    <m/>
    <m/>
    <n v="5451"/>
    <m/>
    <m/>
    <m/>
    <n v="2376.0909000000001"/>
    <n v="1942.1913"/>
    <n v="0"/>
    <n v="0"/>
    <n v="0"/>
    <n v="0"/>
    <n v="11"/>
    <n v="12"/>
  </r>
  <r>
    <x v="78"/>
    <n v="4818"/>
    <n v="4678"/>
    <n v="43.17"/>
    <n v="35.83"/>
    <n v="5024"/>
    <n v="41.61"/>
    <n v="34.1"/>
    <n v="5129"/>
    <n v="637.91"/>
    <n v="51.63"/>
    <n v="26.5"/>
    <n v="2019.4926"/>
    <n v="1676.1273999999999"/>
    <n v="209048.63999999998"/>
    <n v="1713.184"/>
    <n v="329.35293299999995"/>
    <n v="169.04614999999998"/>
    <n v="12"/>
    <n v="12"/>
  </r>
  <r>
    <x v="79"/>
    <n v="4826"/>
    <n v="4685"/>
    <n v="42.11"/>
    <n v="33.64"/>
    <n v="5028"/>
    <n v="40.96"/>
    <n v="33.21"/>
    <n v="4814"/>
    <n v="626.52"/>
    <n v="52.28"/>
    <n v="27.95"/>
    <n v="1972.8535000000002"/>
    <n v="1576.0339999999999"/>
    <n v="205946.88"/>
    <n v="1669.7988"/>
    <n v="327.54465599999997"/>
    <n v="175.11234000000002"/>
    <n v="12"/>
    <n v="12"/>
  </r>
  <r>
    <x v="80"/>
    <n v="5671"/>
    <n v="5506"/>
    <n v="42.98"/>
    <n v="34.479999999999997"/>
    <n v="5025"/>
    <n v="41.16"/>
    <n v="33.18"/>
    <n v="5320"/>
    <n v="644.03"/>
    <n v="51.16"/>
    <n v="25.87"/>
    <n v="2366.4787999999999"/>
    <n v="1898.4687999999996"/>
    <n v="206828.99999999997"/>
    <n v="1667.2950000000001"/>
    <n v="329.48574799999994"/>
    <n v="166.61056100000002"/>
    <n v="12"/>
    <n v="12"/>
  </r>
  <r>
    <x v="81"/>
    <n v="5484"/>
    <n v="5324"/>
    <n v="42.21"/>
    <n v="37.99"/>
    <n v="5029"/>
    <n v="40.86"/>
    <n v="34.549999999999997"/>
    <n v="5644"/>
    <n v="631.36"/>
    <n v="51.85"/>
    <n v="26.86"/>
    <n v="2247.2604000000001"/>
    <n v="2022.5876000000001"/>
    <n v="205484.94"/>
    <n v="1737.5194999999999"/>
    <n v="327.36016000000001"/>
    <n v="169.58329600000002"/>
    <n v="12"/>
    <n v="12"/>
  </r>
  <r>
    <x v="82"/>
    <m/>
    <m/>
    <m/>
    <m/>
    <n v="5672"/>
    <n v="41.04"/>
    <n v="34.58"/>
    <m/>
    <n v="719.63"/>
    <n v="51.25"/>
    <n v="26.73"/>
    <n v="0"/>
    <n v="0"/>
    <n v="232778.88"/>
    <n v="1961.3775999999998"/>
    <n v="368.81037499999996"/>
    <n v="192.35709900000001"/>
    <n v="12"/>
    <n v="12"/>
  </r>
  <r>
    <x v="83"/>
    <m/>
    <m/>
    <m/>
    <m/>
    <m/>
    <m/>
    <m/>
    <m/>
    <m/>
    <m/>
    <m/>
    <n v="0"/>
    <n v="0"/>
    <n v="0"/>
    <n v="0"/>
    <n v="0"/>
    <n v="0"/>
    <n v="12"/>
    <n v="12"/>
  </r>
  <r>
    <x v="84"/>
    <n v="4608"/>
    <n v="4474"/>
    <n v="42.57"/>
    <n v="35.94"/>
    <m/>
    <m/>
    <m/>
    <n v="4474"/>
    <m/>
    <m/>
    <m/>
    <n v="1904.5817999999999"/>
    <n v="1607.9556"/>
    <n v="0"/>
    <n v="0"/>
    <n v="0"/>
    <n v="0"/>
    <n v="12"/>
    <n v="13"/>
  </r>
  <r>
    <x v="85"/>
    <n v="5356"/>
    <n v="5200"/>
    <n v="42.71"/>
    <n v="36.369999999999997"/>
    <n v="5024"/>
    <n v="40.51"/>
    <n v="34.54"/>
    <n v="4674"/>
    <n v="625.44000000000005"/>
    <n v="52.17"/>
    <n v="26.72"/>
    <n v="2220.92"/>
    <n v="1891.24"/>
    <n v="203522.24"/>
    <n v="1735.2895999999998"/>
    <n v="326.29204800000002"/>
    <n v="167.11756800000001"/>
    <n v="13"/>
    <n v="13"/>
  </r>
  <r>
    <x v="86"/>
    <n v="5221"/>
    <n v="5069"/>
    <n v="44.92"/>
    <n v="37.25"/>
    <n v="5025"/>
    <n v="42.13"/>
    <n v="35.06"/>
    <n v="4743"/>
    <n v="639.86"/>
    <n v="50.76"/>
    <n v="26.95"/>
    <n v="2276.9947999999999"/>
    <n v="1888.2025000000001"/>
    <n v="211703.25"/>
    <n v="1761.7650000000001"/>
    <n v="324.792936"/>
    <n v="172.44226999999998"/>
    <n v="13"/>
    <n v="13"/>
  </r>
  <r>
    <x v="87"/>
    <n v="5236"/>
    <n v="5083"/>
    <n v="42.71"/>
    <n v="33.92"/>
    <n v="5028"/>
    <n v="41.04"/>
    <n v="33.630000000000003"/>
    <n v="4826"/>
    <n v="618.20000000000005"/>
    <n v="52.63"/>
    <n v="28.44"/>
    <n v="2170.9492999999998"/>
    <n v="1724.1536000000001"/>
    <n v="206349.12"/>
    <n v="1690.9164000000001"/>
    <n v="325.35866000000004"/>
    <n v="175.81608000000003"/>
    <n v="13"/>
    <n v="13"/>
  </r>
  <r>
    <x v="88"/>
    <n v="5488"/>
    <n v="5328"/>
    <n v="40.049999999999997"/>
    <n v="35.75"/>
    <n v="5028"/>
    <n v="39.93"/>
    <n v="34.11"/>
    <n v="5154"/>
    <n v="617.19000000000005"/>
    <n v="53.05"/>
    <n v="27.49"/>
    <n v="2133.864"/>
    <n v="1904.76"/>
    <n v="200768.04"/>
    <n v="1715.0508"/>
    <n v="327.41929500000003"/>
    <n v="169.66553100000002"/>
    <n v="13"/>
    <n v="13"/>
  </r>
  <r>
    <x v="89"/>
    <m/>
    <m/>
    <m/>
    <m/>
    <n v="5187"/>
    <n v="39.78"/>
    <n v="33.770000000000003"/>
    <m/>
    <n v="654.79"/>
    <n v="50.91"/>
    <n v="26.66"/>
    <n v="0"/>
    <n v="0"/>
    <n v="206338.86000000002"/>
    <n v="1751.6499000000001"/>
    <n v="333.353589"/>
    <n v="174.56701399999997"/>
    <n v="13"/>
    <n v="13"/>
  </r>
  <r>
    <x v="90"/>
    <m/>
    <m/>
    <m/>
    <m/>
    <m/>
    <m/>
    <m/>
    <m/>
    <m/>
    <m/>
    <m/>
    <n v="0"/>
    <n v="0"/>
    <n v="0"/>
    <n v="0"/>
    <n v="0"/>
    <n v="0"/>
    <n v="13"/>
    <n v="13"/>
  </r>
  <r>
    <x v="91"/>
    <n v="4918"/>
    <n v="4775"/>
    <n v="42.91"/>
    <n v="34.549999999999997"/>
    <m/>
    <m/>
    <m/>
    <n v="4775"/>
    <m/>
    <m/>
    <m/>
    <n v="2048.9524999999999"/>
    <n v="1649.7625"/>
    <n v="0"/>
    <n v="0"/>
    <n v="0"/>
    <n v="0"/>
    <n v="13"/>
    <n v="14"/>
  </r>
  <r>
    <x v="92"/>
    <n v="5025"/>
    <n v="4879"/>
    <n v="41.69"/>
    <n v="35.24"/>
    <n v="5023"/>
    <n v="40.65"/>
    <n v="33.43"/>
    <n v="4654"/>
    <n v="676.71"/>
    <n v="48.23"/>
    <n v="23.84"/>
    <n v="2034.0550999999998"/>
    <n v="1719.3596000000002"/>
    <n v="204184.94999999998"/>
    <n v="1679.1888999999999"/>
    <n v="326.37723299999999"/>
    <n v="161.327664"/>
    <n v="14"/>
    <n v="14"/>
  </r>
  <r>
    <x v="93"/>
    <n v="5010"/>
    <n v="4864"/>
    <n v="40.49"/>
    <n v="35.130000000000003"/>
    <n v="5023"/>
    <n v="39.5"/>
    <n v="33.42"/>
    <n v="4518"/>
    <n v="616.38"/>
    <n v="52.58"/>
    <n v="27.34"/>
    <n v="1969.4336000000001"/>
    <n v="1708.7232000000001"/>
    <n v="198408.5"/>
    <n v="1678.6866"/>
    <n v="324.09260399999999"/>
    <n v="168.518292"/>
    <n v="14"/>
    <n v="14"/>
  </r>
  <r>
    <x v="94"/>
    <n v="5492"/>
    <n v="5332"/>
    <n v="40.83"/>
    <n v="36.799999999999997"/>
    <n v="5026"/>
    <n v="39.01"/>
    <n v="34.090000000000003"/>
    <n v="4850"/>
    <n v="603.66999999999996"/>
    <n v="54.45"/>
    <n v="28.08"/>
    <n v="2177.0556000000001"/>
    <n v="1962.1759999999997"/>
    <n v="196064.25999999998"/>
    <n v="1713.3634000000002"/>
    <n v="328.69831499999998"/>
    <n v="169.510536"/>
    <n v="14"/>
    <n v="14"/>
  </r>
  <r>
    <x v="95"/>
    <n v="4898"/>
    <n v="4755"/>
    <n v="42.06"/>
    <n v="33.5"/>
    <n v="5014"/>
    <n v="39.46"/>
    <n v="33.21"/>
    <n v="4605"/>
    <n v="614.42999999999995"/>
    <n v="53.25"/>
    <n v="27.49"/>
    <n v="1999.9530000000002"/>
    <n v="1592.925"/>
    <n v="197852.44"/>
    <n v="1665.1494"/>
    <n v="327.18397499999998"/>
    <n v="168.90680699999996"/>
    <n v="14"/>
    <n v="14"/>
  </r>
  <r>
    <x v="96"/>
    <m/>
    <m/>
    <m/>
    <m/>
    <n v="4631"/>
    <n v="39.75"/>
    <n v="32.99"/>
    <m/>
    <n v="605"/>
    <n v="50.43"/>
    <n v="26.57"/>
    <n v="0"/>
    <n v="0"/>
    <n v="184082.25"/>
    <n v="1527.7669000000001"/>
    <n v="305.10149999999999"/>
    <n v="160.74850000000001"/>
    <n v="14"/>
    <n v="14"/>
  </r>
  <r>
    <x v="97"/>
    <m/>
    <m/>
    <m/>
    <m/>
    <m/>
    <m/>
    <m/>
    <m/>
    <m/>
    <m/>
    <m/>
    <n v="0"/>
    <n v="0"/>
    <n v="0"/>
    <n v="0"/>
    <n v="0"/>
    <n v="0"/>
    <n v="14"/>
    <n v="14"/>
  </r>
  <r>
    <x v="98"/>
    <n v="4913"/>
    <n v="4770"/>
    <n v="42.88"/>
    <n v="36.909999999999997"/>
    <m/>
    <m/>
    <m/>
    <n v="4770"/>
    <m/>
    <m/>
    <m/>
    <n v="2045.376"/>
    <n v="1760.6069999999997"/>
    <n v="0"/>
    <n v="0"/>
    <n v="0"/>
    <n v="0"/>
    <n v="14"/>
    <n v="15"/>
  </r>
  <r>
    <x v="99"/>
    <n v="5117"/>
    <n v="4968"/>
    <n v="41.56"/>
    <n v="36.56"/>
    <n v="5023"/>
    <n v="39.93"/>
    <n v="34.99"/>
    <n v="4738"/>
    <n v="612.29999999999995"/>
    <n v="53.28"/>
    <n v="27.27"/>
    <n v="2064.7008000000001"/>
    <n v="1816.3008000000002"/>
    <n v="200568.38999999998"/>
    <n v="1757.5477000000001"/>
    <n v="326.23343999999997"/>
    <n v="166.97420999999997"/>
    <n v="15"/>
    <n v="15"/>
  </r>
  <r>
    <x v="100"/>
    <n v="5538"/>
    <n v="5377"/>
    <n v="42.16"/>
    <n v="37.72"/>
    <n v="5022"/>
    <n v="40.299999999999997"/>
    <n v="35.549999999999997"/>
    <n v="5115"/>
    <n v="640.02"/>
    <n v="50.59"/>
    <n v="26.56"/>
    <n v="2266.9431999999997"/>
    <n v="2028.2044000000001"/>
    <n v="202386.59999999998"/>
    <n v="1785.3209999999997"/>
    <n v="323.78611800000004"/>
    <n v="169.98931199999998"/>
    <n v="15"/>
    <n v="15"/>
  </r>
  <r>
    <x v="101"/>
    <n v="4840"/>
    <n v="4699"/>
    <n v="41.32"/>
    <n v="35.69"/>
    <n v="5032"/>
    <n v="39.840000000000003"/>
    <n v="34.85"/>
    <n v="4814"/>
    <n v="645.87"/>
    <n v="50.69"/>
    <n v="26.37"/>
    <n v="1941.6268"/>
    <n v="1677.0731000000001"/>
    <n v="200474.88"/>
    <n v="1753.652"/>
    <n v="327.391503"/>
    <n v="170.31591900000001"/>
    <n v="15"/>
    <n v="15"/>
  </r>
  <r>
    <x v="102"/>
    <n v="5073"/>
    <n v="4925"/>
    <n v="41.74"/>
    <n v="34.75"/>
    <n v="5024"/>
    <n v="39.51"/>
    <n v="33.76"/>
    <n v="4739"/>
    <n v="616.79999999999995"/>
    <n v="52.96"/>
    <n v="27.11"/>
    <n v="2055.6950000000002"/>
    <n v="1711.4375"/>
    <n v="198498.24"/>
    <n v="1696.1024"/>
    <n v="326.65728000000001"/>
    <n v="167.21447999999998"/>
    <n v="15"/>
    <n v="15"/>
  </r>
  <r>
    <x v="103"/>
    <m/>
    <m/>
    <m/>
    <m/>
    <n v="4769"/>
    <n v="40.33"/>
    <n v="33.97"/>
    <m/>
    <n v="593.55999999999995"/>
    <n v="52.33"/>
    <n v="27.91"/>
    <n v="0"/>
    <n v="0"/>
    <n v="192333.77"/>
    <n v="1620.0292999999999"/>
    <n v="310.60994799999997"/>
    <n v="165.66259599999998"/>
    <n v="15"/>
    <n v="15"/>
  </r>
  <r>
    <x v="104"/>
    <m/>
    <m/>
    <m/>
    <m/>
    <m/>
    <m/>
    <m/>
    <m/>
    <m/>
    <m/>
    <m/>
    <n v="0"/>
    <n v="0"/>
    <n v="0"/>
    <n v="0"/>
    <n v="0"/>
    <n v="0"/>
    <n v="15"/>
    <n v="15"/>
  </r>
  <r>
    <x v="105"/>
    <n v="5045"/>
    <n v="4898"/>
    <n v="41.13"/>
    <n v="35.06"/>
    <m/>
    <m/>
    <m/>
    <n v="4898"/>
    <m/>
    <m/>
    <m/>
    <n v="2014.5474000000002"/>
    <n v="1717.2388000000001"/>
    <n v="0"/>
    <n v="0"/>
    <n v="0"/>
    <n v="0"/>
    <n v="15"/>
    <n v="16"/>
  </r>
  <r>
    <x v="106"/>
    <n v="5398"/>
    <n v="5241"/>
    <n v="40.229999999999997"/>
    <n v="35.47"/>
    <n v="5039"/>
    <n v="38.380000000000003"/>
    <n v="33.299999999999997"/>
    <n v="5139"/>
    <n v="628.5"/>
    <n v="51.91"/>
    <n v="27.55"/>
    <n v="2108.4542999999999"/>
    <n v="1858.9826999999998"/>
    <n v="193396.82"/>
    <n v="1677.9869999999999"/>
    <n v="326.25434999999999"/>
    <n v="173.15174999999999"/>
    <n v="16"/>
    <n v="16"/>
  </r>
  <r>
    <x v="107"/>
    <n v="5155"/>
    <n v="5005"/>
    <n v="43.26"/>
    <n v="34.69"/>
    <n v="5026"/>
    <n v="39.92"/>
    <n v="33.130000000000003"/>
    <n v="5144"/>
    <n v="639.5"/>
    <n v="51.47"/>
    <n v="27.2"/>
    <n v="2165.163"/>
    <n v="1736.2344999999998"/>
    <n v="200637.92"/>
    <n v="1665.1138000000001"/>
    <n v="329.15065000000004"/>
    <n v="173.94399999999999"/>
    <n v="16"/>
    <n v="16"/>
  </r>
  <r>
    <x v="108"/>
    <n v="5277"/>
    <n v="5123"/>
    <n v="40.9"/>
    <n v="36.64"/>
    <n v="5020"/>
    <n v="39.74"/>
    <n v="34.08"/>
    <n v="5267"/>
    <n v="649.04999999999995"/>
    <n v="50.59"/>
    <n v="25.81"/>
    <n v="2095.3069999999998"/>
    <n v="1877.0672"/>
    <n v="199494.80000000002"/>
    <n v="1710.816"/>
    <n v="328.35439500000001"/>
    <n v="167.51980499999999"/>
    <n v="16"/>
    <n v="16"/>
  </r>
  <r>
    <x v="109"/>
    <n v="4700"/>
    <n v="4563"/>
    <n v="45.22"/>
    <n v="35.06"/>
    <n v="5021"/>
    <n v="41.31"/>
    <n v="34.049999999999997"/>
    <n v="4830"/>
    <n v="639.87"/>
    <n v="50.69"/>
    <n v="26.9"/>
    <n v="2063.3885999999998"/>
    <n v="1599.7878000000001"/>
    <n v="207417.51"/>
    <n v="1709.6505"/>
    <n v="324.35010299999999"/>
    <n v="172.12503000000001"/>
    <n v="16"/>
    <n v="16"/>
  </r>
  <r>
    <x v="110"/>
    <m/>
    <m/>
    <m/>
    <m/>
    <n v="4855"/>
    <n v="41.52"/>
    <n v="33.81"/>
    <m/>
    <n v="583.64"/>
    <n v="53.66"/>
    <n v="28.27"/>
    <n v="0"/>
    <n v="0"/>
    <n v="201579.6"/>
    <n v="1641.4755000000002"/>
    <n v="313.18122399999999"/>
    <n v="164.99502799999999"/>
    <n v="16"/>
    <n v="16"/>
  </r>
  <r>
    <x v="111"/>
    <m/>
    <m/>
    <m/>
    <m/>
    <m/>
    <m/>
    <m/>
    <m/>
    <m/>
    <m/>
    <m/>
    <n v="0"/>
    <n v="0"/>
    <n v="0"/>
    <n v="0"/>
    <n v="0"/>
    <n v="0"/>
    <n v="16"/>
    <n v="16"/>
  </r>
  <r>
    <x v="112"/>
    <n v="5578"/>
    <n v="5416"/>
    <n v="43.35"/>
    <n v="35.67"/>
    <m/>
    <m/>
    <m/>
    <n v="5416"/>
    <m/>
    <m/>
    <m/>
    <n v="2347.8360000000002"/>
    <n v="1931.8872000000001"/>
    <n v="0"/>
    <n v="0"/>
    <n v="0"/>
    <n v="0"/>
    <n v="16"/>
    <n v="17"/>
  </r>
  <r>
    <x v="113"/>
    <n v="5181"/>
    <n v="5030"/>
    <n v="43.15"/>
    <n v="35.75"/>
    <n v="5033"/>
    <n v="41.56"/>
    <n v="34.14"/>
    <n v="5446"/>
    <n v="631.99"/>
    <n v="52.28"/>
    <n v="27.64"/>
    <n v="2170.4450000000002"/>
    <n v="1798.2249999999999"/>
    <n v="209171.48"/>
    <n v="1718.2662"/>
    <n v="330.40437200000002"/>
    <n v="174.68203600000001"/>
    <n v="17"/>
    <n v="17"/>
  </r>
  <r>
    <x v="114"/>
    <n v="5074"/>
    <n v="4926"/>
    <n v="42.3"/>
    <n v="35.270000000000003"/>
    <n v="5033"/>
    <n v="41"/>
    <n v="33.67"/>
    <n v="5372"/>
    <n v="634.75"/>
    <n v="52.08"/>
    <n v="26.67"/>
    <n v="2083.6979999999999"/>
    <n v="1737.4002000000003"/>
    <n v="206353"/>
    <n v="1694.6111000000001"/>
    <n v="330.57779999999997"/>
    <n v="169.287825"/>
    <n v="17"/>
    <n v="17"/>
  </r>
  <r>
    <x v="115"/>
    <n v="5012"/>
    <n v="4866"/>
    <n v="39.47"/>
    <n v="36.799999999999997"/>
    <n v="5026"/>
    <n v="39.340000000000003"/>
    <n v="34.380000000000003"/>
    <n v="5238"/>
    <n v="613.28"/>
    <n v="53.27"/>
    <n v="27.37"/>
    <n v="1920.6101999999998"/>
    <n v="1790.6879999999999"/>
    <n v="197722.84000000003"/>
    <n v="1727.9388000000001"/>
    <n v="326.694256"/>
    <n v="167.854736"/>
    <n v="17"/>
    <n v="17"/>
  </r>
  <r>
    <x v="116"/>
    <n v="5656"/>
    <n v="5491"/>
    <n v="43.28"/>
    <n v="37.46"/>
    <n v="5027"/>
    <n v="40.22"/>
    <n v="35.24"/>
    <n v="5729"/>
    <n v="629.52"/>
    <n v="52.33"/>
    <n v="27.42"/>
    <n v="2376.5048000000002"/>
    <n v="2056.9286000000002"/>
    <n v="202185.94"/>
    <n v="1771.5148000000002"/>
    <n v="329.42781599999995"/>
    <n v="172.614384"/>
    <n v="17"/>
    <n v="17"/>
  </r>
  <r>
    <x v="117"/>
    <m/>
    <m/>
    <m/>
    <m/>
    <n v="5757"/>
    <n v="40.64"/>
    <n v="35.1"/>
    <m/>
    <n v="715.81"/>
    <n v="52.09"/>
    <n v="27.58"/>
    <n v="0"/>
    <n v="0"/>
    <n v="233964.48"/>
    <n v="2020.7070000000001"/>
    <n v="372.86542900000001"/>
    <n v="197.42039799999998"/>
    <n v="17"/>
    <n v="17"/>
  </r>
  <r>
    <x v="118"/>
    <m/>
    <m/>
    <m/>
    <m/>
    <m/>
    <m/>
    <m/>
    <m/>
    <m/>
    <m/>
    <m/>
    <n v="0"/>
    <n v="0"/>
    <n v="0"/>
    <n v="0"/>
    <n v="0"/>
    <n v="0"/>
    <n v="17"/>
    <n v="17"/>
  </r>
  <r>
    <x v="119"/>
    <n v="5076"/>
    <n v="4928"/>
    <n v="46.3"/>
    <n v="35.82"/>
    <m/>
    <m/>
    <m/>
    <n v="4928"/>
    <m/>
    <m/>
    <m/>
    <n v="2281.6639999999998"/>
    <n v="1765.2095999999999"/>
    <n v="0"/>
    <n v="0"/>
    <n v="0"/>
    <n v="0"/>
    <n v="17"/>
    <n v="18"/>
  </r>
  <r>
    <x v="120"/>
    <n v="5106"/>
    <n v="4957"/>
    <n v="42.65"/>
    <n v="34.83"/>
    <n v="5028"/>
    <n v="42.43"/>
    <n v="33.72"/>
    <n v="4885"/>
    <n v="635.51"/>
    <n v="50.68"/>
    <n v="26.12"/>
    <n v="2114.1605"/>
    <n v="1726.5230999999999"/>
    <n v="213338.04"/>
    <n v="1695.4416000000001"/>
    <n v="322.07646799999998"/>
    <n v="165.99521199999998"/>
    <n v="18"/>
    <n v="18"/>
  </r>
  <r>
    <x v="121"/>
    <n v="5111"/>
    <n v="4962"/>
    <n v="43.28"/>
    <n v="34"/>
    <n v="5033"/>
    <n v="41.74"/>
    <n v="33.03"/>
    <n v="4847"/>
    <n v="612.29999999999995"/>
    <n v="53.39"/>
    <n v="26.78"/>
    <n v="2147.5536000000002"/>
    <n v="1687.08"/>
    <n v="210077.42"/>
    <n v="1662.3999000000001"/>
    <n v="326.90696999999994"/>
    <n v="163.97394"/>
    <n v="18"/>
    <n v="18"/>
  </r>
  <r>
    <x v="122"/>
    <n v="4837"/>
    <n v="4696"/>
    <n v="41.57"/>
    <n v="36.700000000000003"/>
    <n v="5021"/>
    <n v="40.880000000000003"/>
    <n v="33.869999999999997"/>
    <n v="4543"/>
    <n v="636.91999999999996"/>
    <n v="51.44"/>
    <n v="26.45"/>
    <n v="1952.1271999999999"/>
    <n v="1723.432"/>
    <n v="205258.48"/>
    <n v="1700.6126999999999"/>
    <n v="327.63164799999993"/>
    <n v="168.46534"/>
    <n v="18"/>
    <n v="18"/>
  </r>
  <r>
    <x v="123"/>
    <n v="5276"/>
    <n v="5122"/>
    <n v="41.92"/>
    <n v="35.92"/>
    <n v="5032"/>
    <n v="40.159999999999997"/>
    <n v="34.020000000000003"/>
    <n v="4665"/>
    <n v="635.9"/>
    <n v="51.01"/>
    <n v="26.51"/>
    <n v="2147.1424000000002"/>
    <n v="1839.8224000000002"/>
    <n v="202085.12"/>
    <n v="1711.8864000000001"/>
    <n v="324.37259"/>
    <n v="168.57709"/>
    <n v="18"/>
    <n v="18"/>
  </r>
  <r>
    <x v="124"/>
    <m/>
    <m/>
    <m/>
    <m/>
    <n v="4681"/>
    <n v="40.619999999999997"/>
    <n v="34.479999999999997"/>
    <m/>
    <n v="572.20000000000005"/>
    <n v="53.52"/>
    <n v="27.67"/>
    <n v="0"/>
    <n v="0"/>
    <n v="190142.22"/>
    <n v="1614.0087999999998"/>
    <n v="306.24144000000001"/>
    <n v="158.32774000000003"/>
    <n v="18"/>
    <n v="18"/>
  </r>
  <r>
    <x v="125"/>
    <m/>
    <m/>
    <m/>
    <m/>
    <m/>
    <m/>
    <m/>
    <m/>
    <m/>
    <m/>
    <m/>
    <n v="0"/>
    <n v="0"/>
    <n v="0"/>
    <n v="0"/>
    <n v="0"/>
    <n v="0"/>
    <n v="18"/>
    <n v="18"/>
  </r>
  <r>
    <x v="126"/>
    <n v="4752"/>
    <n v="4614"/>
    <n v="40.119999999999997"/>
    <n v="36.11"/>
    <m/>
    <m/>
    <m/>
    <n v="4614"/>
    <m/>
    <m/>
    <m/>
    <n v="1851.1368"/>
    <n v="1666.1154000000001"/>
    <n v="0"/>
    <n v="0"/>
    <n v="0"/>
    <n v="0"/>
    <n v="18"/>
    <n v="19"/>
  </r>
  <r>
    <x v="127"/>
    <n v="5359"/>
    <n v="5203"/>
    <n v="42.6"/>
    <n v="35"/>
    <n v="5024"/>
    <n v="39.08"/>
    <n v="33.9"/>
    <n v="4817"/>
    <n v="647.1"/>
    <n v="50.74"/>
    <n v="26.33"/>
    <n v="2216.4780000000001"/>
    <n v="1821.05"/>
    <n v="196337.91999999998"/>
    <n v="1703.136"/>
    <n v="328.33853999999997"/>
    <n v="170.38142999999999"/>
    <n v="19"/>
    <n v="19"/>
  </r>
  <r>
    <x v="128"/>
    <n v="4751"/>
    <n v="4613"/>
    <n v="42.61"/>
    <n v="33.090000000000003"/>
    <n v="5024"/>
    <n v="40.32"/>
    <n v="32.479999999999997"/>
    <n v="4430"/>
    <n v="628.73"/>
    <n v="52.25"/>
    <n v="27.17"/>
    <n v="1965.5992999999999"/>
    <n v="1526.4417000000001"/>
    <n v="202567.67999999999"/>
    <n v="1631.7951999999998"/>
    <n v="328.51142500000003"/>
    <n v="170.82594100000003"/>
    <n v="19"/>
    <n v="19"/>
  </r>
  <r>
    <x v="129"/>
    <n v="4886"/>
    <n v="4744"/>
    <n v="43.89"/>
    <n v="36.479999999999997"/>
    <n v="5030"/>
    <n v="40.75"/>
    <n v="33.65"/>
    <n v="4174"/>
    <n v="637.9"/>
    <n v="51.65"/>
    <n v="27.6"/>
    <n v="2082.1415999999999"/>
    <n v="1730.6112000000001"/>
    <n v="204972.5"/>
    <n v="1692.595"/>
    <n v="329.47534999999993"/>
    <n v="176.06040000000002"/>
    <n v="19"/>
    <n v="19"/>
  </r>
  <r>
    <x v="130"/>
    <n v="5110"/>
    <n v="4961"/>
    <n v="40.619999999999997"/>
    <n v="36.590000000000003"/>
    <n v="5020"/>
    <n v="39.71"/>
    <n v="34.54"/>
    <n v="4135"/>
    <n v="593.29999999999995"/>
    <n v="55.27"/>
    <n v="28.73"/>
    <n v="2015.1581999999999"/>
    <n v="1815.2299000000003"/>
    <n v="199344.2"/>
    <n v="1733.9079999999999"/>
    <n v="327.91690999999997"/>
    <n v="170.45508999999998"/>
    <n v="19"/>
    <n v="19"/>
  </r>
  <r>
    <x v="131"/>
    <m/>
    <m/>
    <m/>
    <m/>
    <n v="4154"/>
    <n v="39.85"/>
    <n v="34.36"/>
    <m/>
    <n v="531.41"/>
    <n v="51.18"/>
    <n v="27.28"/>
    <n v="0"/>
    <n v="0"/>
    <n v="165536.9"/>
    <n v="1427.3144"/>
    <n v="271.975638"/>
    <n v="144.968648"/>
    <n v="19"/>
    <n v="19"/>
  </r>
  <r>
    <x v="132"/>
    <m/>
    <m/>
    <m/>
    <m/>
    <m/>
    <m/>
    <m/>
    <m/>
    <m/>
    <m/>
    <m/>
    <n v="0"/>
    <n v="0"/>
    <n v="0"/>
    <n v="0"/>
    <n v="0"/>
    <n v="0"/>
    <n v="19"/>
    <n v="19"/>
  </r>
  <r>
    <x v="133"/>
    <n v="4987"/>
    <n v="4842"/>
    <n v="42.26"/>
    <n v="36.35"/>
    <m/>
    <m/>
    <m/>
    <n v="4842"/>
    <m/>
    <m/>
    <m/>
    <n v="2046.2291999999998"/>
    <n v="1760.067"/>
    <n v="0"/>
    <n v="0"/>
    <n v="0"/>
    <n v="0"/>
    <n v="19"/>
    <n v="20"/>
  </r>
  <r>
    <x v="134"/>
    <n v="5636"/>
    <n v="5472"/>
    <n v="40.85"/>
    <n v="35.78"/>
    <n v="5031"/>
    <n v="40.14"/>
    <n v="34.5"/>
    <n v="5314"/>
    <n v="626.47"/>
    <n v="52.11"/>
    <n v="26.62"/>
    <n v="2235.3119999999999"/>
    <n v="1957.8815999999999"/>
    <n v="201944.34"/>
    <n v="1735.6949999999999"/>
    <n v="326.45351699999998"/>
    <n v="166.76631400000002"/>
    <n v="20"/>
    <n v="20"/>
  </r>
  <r>
    <x v="135"/>
    <n v="5615"/>
    <n v="5451"/>
    <n v="44.17"/>
    <n v="34.450000000000003"/>
    <n v="5018"/>
    <n v="41"/>
    <n v="33.46"/>
    <n v="5765"/>
    <n v="650.65"/>
    <n v="49.52"/>
    <n v="25.26"/>
    <n v="2407.7067000000002"/>
    <n v="1877.8695"/>
    <n v="205738"/>
    <n v="1679.0228"/>
    <n v="322.20188000000002"/>
    <n v="164.35419000000002"/>
    <n v="20"/>
    <n v="20"/>
  </r>
  <r>
    <x v="136"/>
    <n v="5439"/>
    <n v="5281"/>
    <n v="42.59"/>
    <n v="35"/>
    <n v="5018"/>
    <n v="40.86"/>
    <n v="33.61"/>
    <n v="6046"/>
    <n v="624.69000000000005"/>
    <n v="52.13"/>
    <n v="26.88"/>
    <n v="2249.1779000000001"/>
    <n v="1848.35"/>
    <n v="205035.48"/>
    <n v="1686.5498"/>
    <n v="325.65089700000004"/>
    <n v="167.91667200000001"/>
    <n v="20"/>
    <n v="20"/>
  </r>
  <r>
    <x v="137"/>
    <n v="5250"/>
    <n v="5097"/>
    <n v="40.9"/>
    <n v="36.299999999999997"/>
    <n v="5023"/>
    <n v="39.72"/>
    <n v="34.08"/>
    <n v="6143"/>
    <n v="633.86"/>
    <n v="51.11"/>
    <n v="26.98"/>
    <n v="2084.6729999999998"/>
    <n v="1850.2109999999998"/>
    <n v="199513.56"/>
    <n v="1711.8383999999999"/>
    <n v="323.965846"/>
    <n v="171.01542799999999"/>
    <n v="20"/>
    <n v="20"/>
  </r>
  <r>
    <x v="138"/>
    <m/>
    <m/>
    <m/>
    <m/>
    <n v="6171"/>
    <n v="40.04"/>
    <n v="34.03"/>
    <m/>
    <n v="761.67"/>
    <n v="52.49"/>
    <n v="28.03"/>
    <n v="0"/>
    <n v="0"/>
    <n v="247086.84"/>
    <n v="2099.9913000000001"/>
    <n v="399.80058299999996"/>
    <n v="213.49610099999998"/>
    <n v="20"/>
    <n v="20"/>
  </r>
  <r>
    <x v="139"/>
    <m/>
    <m/>
    <m/>
    <m/>
    <m/>
    <m/>
    <m/>
    <m/>
    <m/>
    <m/>
    <m/>
    <n v="0"/>
    <n v="0"/>
    <n v="0"/>
    <n v="0"/>
    <n v="0"/>
    <n v="0"/>
    <n v="20"/>
    <n v="20"/>
  </r>
  <r>
    <x v="140"/>
    <n v="4904"/>
    <n v="4761"/>
    <n v="40.72"/>
    <n v="35.53"/>
    <m/>
    <m/>
    <m/>
    <n v="4761"/>
    <m/>
    <m/>
    <m/>
    <n v="1938.6791999999998"/>
    <n v="1691.5833000000002"/>
    <n v="0"/>
    <n v="0"/>
    <n v="0"/>
    <n v="0"/>
    <n v="20"/>
    <n v="21"/>
  </r>
  <r>
    <x v="141"/>
    <n v="5224"/>
    <n v="5072"/>
    <n v="40.630000000000003"/>
    <n v="35.74"/>
    <n v="5025"/>
    <n v="38.64"/>
    <n v="33.94"/>
    <n v="4833"/>
    <n v="610.59"/>
    <n v="53.76"/>
    <n v="28.08"/>
    <n v="2060.7536"/>
    <n v="1812.7328"/>
    <n v="194166"/>
    <n v="1705.4849999999999"/>
    <n v="328.25318400000003"/>
    <n v="171.45367200000001"/>
    <n v="21"/>
    <n v="21"/>
  </r>
  <r>
    <x v="142"/>
    <n v="4950"/>
    <n v="4806"/>
    <n v="42.33"/>
    <n v="35.549999999999997"/>
    <n v="5024"/>
    <n v="39.86"/>
    <n v="33.86"/>
    <n v="4639"/>
    <n v="652.09"/>
    <n v="49.86"/>
    <n v="25.84"/>
    <n v="2034.3797999999997"/>
    <n v="1708.5329999999999"/>
    <n v="200256.63999999998"/>
    <n v="1701.1263999999999"/>
    <n v="325.13207400000005"/>
    <n v="168.500056"/>
    <n v="21"/>
    <n v="21"/>
  </r>
  <r>
    <x v="143"/>
    <n v="5310"/>
    <n v="5155"/>
    <n v="43.33"/>
    <n v="34.619999999999997"/>
    <n v="5024"/>
    <n v="40.44"/>
    <n v="33.869999999999997"/>
    <n v="4794"/>
    <n v="630.08000000000004"/>
    <n v="52.02"/>
    <n v="27.59"/>
    <n v="2233.6615000000002"/>
    <n v="1784.6609999999998"/>
    <n v="203170.56"/>
    <n v="1701.6287999999997"/>
    <n v="327.76761600000003"/>
    <n v="173.83907200000002"/>
    <n v="21"/>
    <n v="21"/>
  </r>
  <r>
    <x v="144"/>
    <n v="4993"/>
    <n v="4848"/>
    <n v="42.82"/>
    <n v="37.5"/>
    <n v="5011"/>
    <n v="40.950000000000003"/>
    <n v="34.5"/>
    <n v="4642"/>
    <n v="649.64"/>
    <n v="50.08"/>
    <n v="26.26"/>
    <n v="2075.9136000000003"/>
    <n v="1818"/>
    <n v="205200.45"/>
    <n v="1728.7950000000001"/>
    <n v="325.33971200000002"/>
    <n v="170.59546399999999"/>
    <n v="21"/>
    <n v="21"/>
  </r>
  <r>
    <x v="145"/>
    <m/>
    <m/>
    <m/>
    <m/>
    <n v="4668"/>
    <n v="40.86"/>
    <n v="34.520000000000003"/>
    <m/>
    <n v="570.69000000000005"/>
    <n v="52.59"/>
    <n v="26.64"/>
    <n v="0"/>
    <n v="0"/>
    <n v="190734.48"/>
    <n v="1611.3936000000001"/>
    <n v="300.12587100000002"/>
    <n v="152.03181600000002"/>
    <n v="21"/>
    <n v="21"/>
  </r>
  <r>
    <x v="146"/>
    <m/>
    <m/>
    <m/>
    <m/>
    <m/>
    <m/>
    <m/>
    <m/>
    <m/>
    <m/>
    <m/>
    <n v="0"/>
    <n v="0"/>
    <n v="0"/>
    <n v="0"/>
    <n v="0"/>
    <n v="0"/>
    <n v="21"/>
    <n v="21"/>
  </r>
  <r>
    <x v="147"/>
    <n v="5599"/>
    <n v="5436"/>
    <n v="41.77"/>
    <n v="36.659999999999997"/>
    <m/>
    <m/>
    <m/>
    <n v="5436"/>
    <m/>
    <m/>
    <m/>
    <n v="2270.6172000000001"/>
    <n v="1992.8375999999998"/>
    <n v="0"/>
    <n v="0"/>
    <n v="0"/>
    <n v="0"/>
    <n v="21"/>
    <n v="22"/>
  </r>
  <r>
    <x v="148"/>
    <n v="5254"/>
    <n v="5101"/>
    <n v="43.33"/>
    <n v="34.86"/>
    <n v="5027"/>
    <n v="40.74"/>
    <n v="34.32"/>
    <n v="5537"/>
    <n v="633.72"/>
    <n v="51.75"/>
    <n v="26.24"/>
    <n v="2210.2633000000001"/>
    <n v="1778.2085999999999"/>
    <n v="204799.98"/>
    <n v="1725.2664000000002"/>
    <n v="327.95010000000002"/>
    <n v="166.288128"/>
    <n v="22"/>
    <n v="22"/>
  </r>
  <r>
    <x v="149"/>
    <n v="5848"/>
    <n v="5678"/>
    <n v="39.57"/>
    <n v="34.93"/>
    <n v="5023"/>
    <n v="39.159999999999997"/>
    <n v="33.79"/>
    <n v="6215"/>
    <n v="648.79"/>
    <n v="51.02"/>
    <n v="26.33"/>
    <n v="2246.7846"/>
    <n v="1983.3254000000002"/>
    <n v="196700.68"/>
    <n v="1697.2716999999998"/>
    <n v="331.01265799999999"/>
    <n v="170.82640699999996"/>
    <n v="22"/>
    <n v="22"/>
  </r>
  <r>
    <x v="150"/>
    <n v="5020"/>
    <n v="4874"/>
    <n v="43.89"/>
    <n v="34.130000000000003"/>
    <n v="5029"/>
    <n v="40.200000000000003"/>
    <n v="33.44"/>
    <n v="6089"/>
    <n v="637.71"/>
    <n v="51.16"/>
    <n v="26.98"/>
    <n v="2139.1986000000002"/>
    <n v="1663.4962000000003"/>
    <n v="202165.80000000002"/>
    <n v="1681.6975999999997"/>
    <n v="326.25243599999999"/>
    <n v="172.05415800000003"/>
    <n v="22"/>
    <n v="22"/>
  </r>
  <r>
    <x v="151"/>
    <n v="5838"/>
    <n v="5668"/>
    <n v="44.35"/>
    <n v="36.01"/>
    <n v="5029"/>
    <n v="41.13"/>
    <n v="33.630000000000003"/>
    <n v="6757"/>
    <n v="634.61"/>
    <n v="51.72"/>
    <n v="26.2"/>
    <n v="2513.7580000000003"/>
    <n v="2041.0467999999998"/>
    <n v="206842.77000000002"/>
    <n v="1691.2527000000002"/>
    <n v="328.22029199999997"/>
    <n v="166.26782"/>
    <n v="22"/>
    <n v="22"/>
  </r>
  <r>
    <x v="152"/>
    <m/>
    <m/>
    <m/>
    <m/>
    <n v="6779"/>
    <n v="41.56"/>
    <n v="33.81"/>
    <m/>
    <n v="859.84"/>
    <n v="51.51"/>
    <n v="26.44"/>
    <n v="0"/>
    <n v="0"/>
    <n v="281735.24"/>
    <n v="2291.9799000000003"/>
    <n v="442.90358399999997"/>
    <n v="227.34169600000001"/>
    <n v="22"/>
    <n v="22"/>
  </r>
  <r>
    <x v="153"/>
    <m/>
    <m/>
    <m/>
    <m/>
    <m/>
    <m/>
    <m/>
    <m/>
    <m/>
    <m/>
    <m/>
    <n v="0"/>
    <n v="0"/>
    <n v="0"/>
    <n v="0"/>
    <n v="0"/>
    <n v="0"/>
    <n v="22"/>
    <n v="22"/>
  </r>
  <r>
    <x v="154"/>
    <n v="5304"/>
    <n v="5150"/>
    <n v="41.69"/>
    <n v="35.71"/>
    <m/>
    <m/>
    <m/>
    <n v="5150"/>
    <m/>
    <m/>
    <m/>
    <n v="2147.0349999999999"/>
    <n v="1839.0650000000001"/>
    <n v="0"/>
    <n v="0"/>
    <n v="0"/>
    <n v="0"/>
    <n v="22"/>
    <n v="23"/>
  </r>
  <r>
    <x v="155"/>
    <n v="5499"/>
    <n v="5339"/>
    <n v="44.45"/>
    <n v="36.35"/>
    <n v="5028"/>
    <n v="41.31"/>
    <n v="34.28"/>
    <n v="5489"/>
    <n v="628.45000000000005"/>
    <n v="52.11"/>
    <n v="26.91"/>
    <n v="2373.1855"/>
    <n v="1940.7265"/>
    <n v="207706.68000000002"/>
    <n v="1723.5983999999999"/>
    <n v="327.48529500000001"/>
    <n v="169.11589500000002"/>
    <n v="23"/>
    <n v="23"/>
  </r>
  <r>
    <x v="156"/>
    <n v="4772"/>
    <n v="4633"/>
    <n v="41.71"/>
    <n v="36.19"/>
    <n v="5029"/>
    <n v="40.630000000000003"/>
    <n v="34.479999999999997"/>
    <n v="5122"/>
    <n v="643.14"/>
    <n v="50.91"/>
    <n v="26.29"/>
    <n v="1932.4242999999999"/>
    <n v="1676.6826999999998"/>
    <n v="204328.27000000002"/>
    <n v="1733.9991999999997"/>
    <n v="327.422574"/>
    <n v="169.08150600000002"/>
    <n v="23"/>
    <n v="23"/>
  </r>
  <r>
    <x v="157"/>
    <n v="5179"/>
    <n v="5028"/>
    <n v="40.19"/>
    <n v="35.32"/>
    <n v="5018"/>
    <n v="39.700000000000003"/>
    <n v="34.49"/>
    <n v="5150"/>
    <n v="618.11"/>
    <n v="52.84"/>
    <n v="27.83"/>
    <n v="2020.7531999999999"/>
    <n v="1775.8896"/>
    <n v="199214.6"/>
    <n v="1730.7082"/>
    <n v="326.60932400000002"/>
    <n v="172.02001300000001"/>
    <n v="23"/>
    <n v="23"/>
  </r>
  <r>
    <x v="158"/>
    <n v="4434"/>
    <n v="4305"/>
    <n v="41.8"/>
    <n v="36.49"/>
    <n v="5022"/>
    <n v="39.700000000000003"/>
    <n v="34.46"/>
    <n v="4455"/>
    <n v="608.64"/>
    <n v="53.25"/>
    <n v="27.75"/>
    <n v="1799.49"/>
    <n v="1570.8945000000001"/>
    <n v="199373.40000000002"/>
    <n v="1730.5811999999999"/>
    <n v="324.10079999999999"/>
    <n v="168.89759999999998"/>
    <n v="23"/>
    <n v="23"/>
  </r>
  <r>
    <x v="159"/>
    <m/>
    <m/>
    <m/>
    <m/>
    <n v="4482"/>
    <n v="39.74"/>
    <n v="34.46"/>
    <m/>
    <n v="581.11"/>
    <n v="50.29"/>
    <n v="25.36"/>
    <n v="0"/>
    <n v="0"/>
    <n v="178114.68000000002"/>
    <n v="1544.4972"/>
    <n v="292.24021900000002"/>
    <n v="147.369496"/>
    <n v="23"/>
    <n v="23"/>
  </r>
  <r>
    <x v="160"/>
    <m/>
    <m/>
    <m/>
    <m/>
    <m/>
    <m/>
    <m/>
    <m/>
    <m/>
    <m/>
    <m/>
    <n v="0"/>
    <n v="0"/>
    <n v="0"/>
    <n v="0"/>
    <n v="0"/>
    <n v="0"/>
    <n v="23"/>
    <n v="23"/>
  </r>
  <r>
    <x v="161"/>
    <n v="5030"/>
    <n v="4883"/>
    <n v="40.44"/>
    <n v="36.43"/>
    <m/>
    <m/>
    <m/>
    <n v="4883"/>
    <m/>
    <m/>
    <m/>
    <n v="1974.6851999999999"/>
    <n v="1778.8769"/>
    <n v="0"/>
    <n v="0"/>
    <n v="0"/>
    <n v="0"/>
    <n v="23"/>
    <n v="24"/>
  </r>
  <r>
    <x v="162"/>
    <n v="5316"/>
    <n v="5161"/>
    <n v="44.22"/>
    <n v="35.51"/>
    <n v="5022"/>
    <n v="40.39"/>
    <n v="34.409999999999997"/>
    <n v="5044"/>
    <n v="622.95000000000005"/>
    <n v="52.38"/>
    <n v="27.07"/>
    <n v="2282.1941999999999"/>
    <n v="1832.6710999999998"/>
    <n v="202838.58000000002"/>
    <n v="1728.0701999999999"/>
    <n v="326.30121000000003"/>
    <n v="168.63256500000003"/>
    <n v="24"/>
    <n v="24"/>
  </r>
  <r>
    <x v="163"/>
    <n v="5368"/>
    <n v="5212"/>
    <n v="41.59"/>
    <n v="35.729999999999997"/>
    <n v="5027"/>
    <n v="40.07"/>
    <n v="34.32"/>
    <n v="5256"/>
    <n v="612.17999999999995"/>
    <n v="54"/>
    <n v="28.52"/>
    <n v="2167.6708000000003"/>
    <n v="1862.2475999999997"/>
    <n v="201431.89"/>
    <n v="1725.2664000000002"/>
    <n v="330.57719999999995"/>
    <n v="174.59373599999998"/>
    <n v="24"/>
    <n v="24"/>
  </r>
  <r>
    <x v="164"/>
    <n v="5483"/>
    <n v="5323"/>
    <n v="41.63"/>
    <n v="33.97"/>
    <n v="5028"/>
    <n v="40.22"/>
    <n v="32.93"/>
    <n v="5579"/>
    <n v="632.47"/>
    <n v="51.85"/>
    <n v="27.17"/>
    <n v="2215.9649000000004"/>
    <n v="1808.2230999999999"/>
    <n v="202226.16"/>
    <n v="1655.7204000000002"/>
    <n v="327.93569500000007"/>
    <n v="171.84209900000002"/>
    <n v="24"/>
    <n v="24"/>
  </r>
  <r>
    <x v="165"/>
    <n v="5295"/>
    <n v="5141"/>
    <n v="42.66"/>
    <n v="35.770000000000003"/>
    <n v="5029"/>
    <n v="40.26"/>
    <n v="33.770000000000003"/>
    <n v="5720"/>
    <n v="611.15"/>
    <n v="53.44"/>
    <n v="27.49"/>
    <n v="2193.1505999999995"/>
    <n v="1838.9357"/>
    <n v="202467.53999999998"/>
    <n v="1698.2933000000003"/>
    <n v="326.59855999999996"/>
    <n v="168.00513499999997"/>
    <n v="24"/>
    <n v="24"/>
  </r>
  <r>
    <x v="166"/>
    <m/>
    <m/>
    <m/>
    <m/>
    <n v="5745"/>
    <n v="40.67"/>
    <n v="34.020000000000003"/>
    <m/>
    <n v="744.79"/>
    <n v="49.14"/>
    <n v="25.35"/>
    <n v="0"/>
    <n v="0"/>
    <n v="233649.15000000002"/>
    <n v="1954.4490000000003"/>
    <n v="365.98980599999993"/>
    <n v="188.80426500000002"/>
    <n v="24"/>
    <n v="24"/>
  </r>
  <r>
    <x v="167"/>
    <m/>
    <m/>
    <m/>
    <m/>
    <m/>
    <m/>
    <m/>
    <m/>
    <m/>
    <m/>
    <m/>
    <n v="0"/>
    <n v="0"/>
    <n v="0"/>
    <n v="0"/>
    <n v="0"/>
    <n v="0"/>
    <n v="24"/>
    <n v="24"/>
  </r>
  <r>
    <x v="168"/>
    <n v="4958"/>
    <n v="4814"/>
    <n v="44.67"/>
    <n v="35.68"/>
    <m/>
    <m/>
    <m/>
    <n v="4814"/>
    <m/>
    <m/>
    <m/>
    <n v="2150.4138000000003"/>
    <n v="1717.6351999999999"/>
    <n v="0"/>
    <n v="0"/>
    <n v="0"/>
    <n v="0"/>
    <n v="24"/>
    <n v="25"/>
  </r>
  <r>
    <x v="169"/>
    <n v="5070"/>
    <n v="4922"/>
    <n v="42.43"/>
    <n v="34.92"/>
    <n v="5019"/>
    <n v="41.77"/>
    <n v="33.61"/>
    <n v="4736"/>
    <n v="620.97"/>
    <n v="52.57"/>
    <n v="27.6"/>
    <n v="2088.4045999999998"/>
    <n v="1718.7624000000003"/>
    <n v="209643.63"/>
    <n v="1686.8859"/>
    <n v="326.44392900000003"/>
    <n v="171.38772"/>
    <n v="25"/>
    <n v="25"/>
  </r>
  <r>
    <x v="170"/>
    <n v="5101"/>
    <n v="4952"/>
    <n v="42.43"/>
    <n v="35.4"/>
    <n v="5024"/>
    <n v="41.08"/>
    <n v="34.14"/>
    <n v="4688"/>
    <n v="626.79999999999995"/>
    <n v="52.2"/>
    <n v="27.41"/>
    <n v="2101.1335999999997"/>
    <n v="1753.0079999999998"/>
    <n v="206385.91999999998"/>
    <n v="1715.1936000000001"/>
    <n v="327.18959999999998"/>
    <n v="171.80588"/>
    <n v="25"/>
    <n v="25"/>
  </r>
  <r>
    <x v="171"/>
    <n v="5152"/>
    <n v="5002"/>
    <n v="43.5"/>
    <n v="35.840000000000003"/>
    <n v="5024"/>
    <n v="41.07"/>
    <n v="34.200000000000003"/>
    <n v="4690"/>
    <n v="637.37"/>
    <n v="51"/>
    <n v="27.45"/>
    <n v="2175.87"/>
    <n v="1792.7168000000001"/>
    <n v="206335.68"/>
    <n v="1718.2080000000001"/>
    <n v="325.05869999999999"/>
    <n v="174.95806499999998"/>
    <n v="25"/>
    <n v="25"/>
  </r>
  <r>
    <x v="172"/>
    <n v="5494"/>
    <n v="5334"/>
    <n v="43.56"/>
    <n v="36.450000000000003"/>
    <n v="5031"/>
    <n v="41.57"/>
    <n v="34.31"/>
    <n v="5024"/>
    <n v="642.23"/>
    <n v="51.38"/>
    <n v="26.63"/>
    <n v="2323.4904000000001"/>
    <n v="1944.2430000000002"/>
    <n v="209138.67"/>
    <n v="1726.1361000000002"/>
    <n v="329.97777400000001"/>
    <n v="171.02584900000002"/>
    <n v="25"/>
    <n v="25"/>
  </r>
  <r>
    <x v="173"/>
    <m/>
    <m/>
    <m/>
    <m/>
    <n v="5052"/>
    <n v="41.67"/>
    <n v="34.4"/>
    <m/>
    <n v="656.88"/>
    <n v="49.58"/>
    <n v="25.52"/>
    <n v="0"/>
    <n v="0"/>
    <n v="210516.84"/>
    <n v="1737.8879999999999"/>
    <n v="325.681104"/>
    <n v="167.63577599999999"/>
    <n v="25"/>
    <n v="25"/>
  </r>
  <r>
    <x v="174"/>
    <m/>
    <m/>
    <m/>
    <m/>
    <m/>
    <m/>
    <m/>
    <m/>
    <m/>
    <m/>
    <m/>
    <n v="0"/>
    <n v="0"/>
    <n v="0"/>
    <n v="0"/>
    <n v="0"/>
    <n v="0"/>
    <n v="25"/>
    <n v="25"/>
  </r>
  <r>
    <x v="175"/>
    <n v="5382"/>
    <n v="5225"/>
    <n v="39.78"/>
    <n v="34.51"/>
    <m/>
    <m/>
    <m/>
    <n v="5225"/>
    <m/>
    <m/>
    <m/>
    <n v="2078.5050000000001"/>
    <n v="1803.1475"/>
    <n v="0"/>
    <n v="0"/>
    <n v="0"/>
    <n v="0"/>
    <n v="25"/>
    <n v="26"/>
  </r>
  <r>
    <x v="176"/>
    <n v="5305"/>
    <n v="5150"/>
    <n v="41.75"/>
    <n v="36.61"/>
    <n v="5017"/>
    <n v="39.01"/>
    <n v="33.68"/>
    <n v="5375"/>
    <n v="607.1"/>
    <n v="53.24"/>
    <n v="28.79"/>
    <n v="2150.125"/>
    <n v="1885.415"/>
    <n v="195713.16999999998"/>
    <n v="1689.7256"/>
    <n v="323.22003999999998"/>
    <n v="174.78408999999999"/>
    <n v="26"/>
    <n v="26"/>
  </r>
  <r>
    <x v="177"/>
    <n v="5544"/>
    <n v="5383"/>
    <n v="44.34"/>
    <n v="37.31"/>
    <n v="5028"/>
    <n v="40.78"/>
    <n v="34.57"/>
    <n v="5758"/>
    <n v="605.64"/>
    <n v="54.07"/>
    <n v="27.57"/>
    <n v="2386.8222000000005"/>
    <n v="2008.3973000000001"/>
    <n v="205041.84"/>
    <n v="1738.1795999999999"/>
    <n v="327.46954799999997"/>
    <n v="166.97494800000001"/>
    <n v="26"/>
    <n v="26"/>
  </r>
  <r>
    <x v="178"/>
    <n v="5099"/>
    <n v="4950"/>
    <n v="42.94"/>
    <n v="37.36"/>
    <n v="5025"/>
    <n v="40.630000000000003"/>
    <n v="35.06"/>
    <n v="5708"/>
    <n v="654.98"/>
    <n v="49.74"/>
    <n v="26.73"/>
    <n v="2125.5300000000002"/>
    <n v="1849.32"/>
    <n v="204165.75"/>
    <n v="1761.7650000000001"/>
    <n v="325.78705200000002"/>
    <n v="175.07615400000003"/>
    <n v="26"/>
    <n v="26"/>
  </r>
  <r>
    <x v="179"/>
    <n v="5187"/>
    <n v="5036"/>
    <n v="42.65"/>
    <n v="36.71"/>
    <n v="5015"/>
    <n v="40.89"/>
    <n v="35.200000000000003"/>
    <n v="5744"/>
    <n v="643.63"/>
    <n v="50.64"/>
    <n v="27.92"/>
    <n v="2147.8539999999998"/>
    <n v="1848.7156"/>
    <n v="205063.35"/>
    <n v="1765.28"/>
    <n v="325.93423200000001"/>
    <n v="179.70149600000002"/>
    <n v="26"/>
    <n v="26"/>
  </r>
  <r>
    <x v="180"/>
    <m/>
    <m/>
    <m/>
    <m/>
    <n v="5766"/>
    <n v="40.840000000000003"/>
    <n v="35.1"/>
    <m/>
    <n v="724.04"/>
    <n v="51.54"/>
    <n v="26.53"/>
    <n v="0"/>
    <n v="0"/>
    <n v="235483.44000000003"/>
    <n v="2023.866"/>
    <n v="373.17021599999998"/>
    <n v="192.08781200000001"/>
    <n v="26"/>
    <n v="26"/>
  </r>
  <r>
    <x v="181"/>
    <m/>
    <m/>
    <m/>
    <m/>
    <m/>
    <m/>
    <m/>
    <m/>
    <m/>
    <m/>
    <m/>
    <n v="0"/>
    <n v="0"/>
    <n v="0"/>
    <n v="0"/>
    <n v="0"/>
    <n v="0"/>
    <n v="26"/>
    <n v="26"/>
  </r>
  <r>
    <x v="182"/>
    <n v="5623"/>
    <n v="5459"/>
    <n v="41.45"/>
    <n v="37.549999999999997"/>
    <m/>
    <m/>
    <m/>
    <n v="5459"/>
    <m/>
    <m/>
    <m/>
    <n v="2262.7555000000002"/>
    <n v="2049.8544999999999"/>
    <n v="0"/>
    <n v="0"/>
    <n v="0"/>
    <n v="0"/>
    <n v="26"/>
    <n v="27"/>
  </r>
  <r>
    <x v="183"/>
    <n v="5586"/>
    <n v="5423"/>
    <n v="44.02"/>
    <n v="36.47"/>
    <n v="5032"/>
    <n v="40.729999999999997"/>
    <n v="35.39"/>
    <n v="5882"/>
    <n v="613.37"/>
    <n v="52.65"/>
    <n v="26.74"/>
    <n v="2387.2046"/>
    <n v="1977.7681"/>
    <n v="204953.36"/>
    <n v="1780.8248000000001"/>
    <n v="322.93930499999999"/>
    <n v="164.01513800000001"/>
    <n v="27"/>
    <n v="27"/>
  </r>
  <r>
    <x v="184"/>
    <n v="5323"/>
    <n v="5168"/>
    <n v="43.53"/>
    <n v="35.14"/>
    <n v="5031"/>
    <n v="41.11"/>
    <n v="33.97"/>
    <n v="6050"/>
    <n v="600.16"/>
    <n v="54.67"/>
    <n v="28.59"/>
    <n v="2249.6304"/>
    <n v="1816.0351999999998"/>
    <n v="206824.41"/>
    <n v="1709.0307"/>
    <n v="328.10747199999997"/>
    <n v="171.58574399999998"/>
    <n v="27"/>
    <n v="27"/>
  </r>
  <r>
    <x v="185"/>
    <n v="5103"/>
    <n v="4954"/>
    <n v="42.86"/>
    <n v="34.26"/>
    <n v="5024"/>
    <n v="40.619999999999997"/>
    <n v="33.85"/>
    <n v="6004"/>
    <n v="622.01"/>
    <n v="52.97"/>
    <n v="27.21"/>
    <n v="2123.2844"/>
    <n v="1697.2403999999997"/>
    <n v="204074.87999999998"/>
    <n v="1700.624"/>
    <n v="329.47869699999995"/>
    <n v="169.248921"/>
    <n v="27"/>
    <n v="27"/>
  </r>
  <r>
    <x v="186"/>
    <n v="5478"/>
    <n v="5318"/>
    <n v="42.46"/>
    <n v="37.549999999999997"/>
    <n v="5025"/>
    <n v="40.96"/>
    <n v="34.69"/>
    <n v="6322"/>
    <n v="609.09"/>
    <n v="53.44"/>
    <n v="27.52"/>
    <n v="2258.0228000000002"/>
    <n v="1996.9089999999999"/>
    <n v="205824"/>
    <n v="1743.1724999999999"/>
    <n v="325.49769600000002"/>
    <n v="167.621568"/>
    <n v="27"/>
    <n v="27"/>
  </r>
  <r>
    <x v="187"/>
    <m/>
    <m/>
    <m/>
    <m/>
    <n v="6338"/>
    <n v="41"/>
    <n v="34.61"/>
    <m/>
    <n v="837.85"/>
    <n v="49.26"/>
    <n v="25.97"/>
    <n v="0"/>
    <n v="0"/>
    <n v="259858"/>
    <n v="2193.5817999999999"/>
    <n v="412.72491000000002"/>
    <n v="217.58964499999999"/>
    <n v="27"/>
    <n v="27"/>
  </r>
  <r>
    <x v="188"/>
    <m/>
    <m/>
    <m/>
    <m/>
    <m/>
    <m/>
    <m/>
    <m/>
    <m/>
    <m/>
    <m/>
    <n v="0"/>
    <n v="0"/>
    <n v="0"/>
    <n v="0"/>
    <n v="0"/>
    <n v="0"/>
    <n v="27"/>
    <n v="27"/>
  </r>
  <r>
    <x v="189"/>
    <n v="5246"/>
    <n v="5093"/>
    <n v="43.05"/>
    <n v="35.33"/>
    <m/>
    <m/>
    <m/>
    <n v="5093"/>
    <m/>
    <m/>
    <m/>
    <n v="2192.5365000000002"/>
    <n v="1799.3569"/>
    <n v="0"/>
    <n v="0"/>
    <n v="0"/>
    <n v="0"/>
    <n v="27"/>
    <n v="28"/>
  </r>
  <r>
    <x v="190"/>
    <n v="5403"/>
    <n v="5246"/>
    <n v="41.4"/>
    <n v="34.32"/>
    <n v="5030"/>
    <n v="40.08"/>
    <n v="33.32"/>
    <n v="5339"/>
    <n v="609.16"/>
    <n v="53.39"/>
    <n v="27.15"/>
    <n v="2171.8440000000001"/>
    <n v="1800.4272000000001"/>
    <n v="201602.4"/>
    <n v="1675.9960000000001"/>
    <n v="325.23052399999995"/>
    <n v="165.38693999999998"/>
    <n v="28"/>
    <n v="28"/>
  </r>
  <r>
    <x v="191"/>
    <n v="5335"/>
    <n v="5180"/>
    <n v="44.35"/>
    <n v="36.93"/>
    <n v="5025"/>
    <n v="41.29"/>
    <n v="34.340000000000003"/>
    <n v="5519"/>
    <n v="605.12"/>
    <n v="53.2"/>
    <n v="27.51"/>
    <n v="2297.33"/>
    <n v="1912.9739999999999"/>
    <n v="207482.25"/>
    <n v="1725.5850000000003"/>
    <n v="321.92384000000004"/>
    <n v="166.468512"/>
    <n v="28"/>
    <n v="28"/>
  </r>
  <r>
    <x v="192"/>
    <n v="5102"/>
    <n v="4953"/>
    <n v="43.76"/>
    <n v="35.22"/>
    <n v="5014"/>
    <n v="41.6"/>
    <n v="34.22"/>
    <n v="5472"/>
    <n v="617.05999999999995"/>
    <n v="52.92"/>
    <n v="26.24"/>
    <n v="2167.4328"/>
    <n v="1744.4466"/>
    <n v="208582.39999999999"/>
    <n v="1715.7907999999998"/>
    <n v="326.54815199999996"/>
    <n v="161.91654399999999"/>
    <n v="28"/>
    <n v="28"/>
  </r>
  <r>
    <x v="193"/>
    <n v="5101"/>
    <n v="4952"/>
    <n v="42.48"/>
    <n v="34.520000000000003"/>
    <n v="5025"/>
    <n v="40.99"/>
    <n v="33.61"/>
    <n v="5424"/>
    <n v="643.24"/>
    <n v="50.76"/>
    <n v="25.92"/>
    <n v="2103.6095999999998"/>
    <n v="1709.4304000000002"/>
    <n v="205974.75"/>
    <n v="1688.9024999999999"/>
    <n v="326.508624"/>
    <n v="166.72780800000001"/>
    <n v="28"/>
    <n v="28"/>
  </r>
  <r>
    <x v="194"/>
    <m/>
    <m/>
    <m/>
    <m/>
    <n v="5452"/>
    <n v="41.17"/>
    <n v="33.97"/>
    <m/>
    <n v="696.12"/>
    <n v="50.89"/>
    <n v="26.25"/>
    <n v="0"/>
    <n v="0"/>
    <n v="224458.84"/>
    <n v="1852.0444"/>
    <n v="354.25546800000006"/>
    <n v="182.73150000000001"/>
    <n v="28"/>
    <n v="28"/>
  </r>
  <r>
    <x v="195"/>
    <m/>
    <m/>
    <m/>
    <m/>
    <m/>
    <m/>
    <m/>
    <m/>
    <m/>
    <m/>
    <m/>
    <n v="0"/>
    <n v="0"/>
    <n v="0"/>
    <n v="0"/>
    <n v="0"/>
    <n v="0"/>
    <n v="28"/>
    <n v="28"/>
  </r>
  <r>
    <x v="196"/>
    <n v="5083"/>
    <n v="4935"/>
    <n v="39.56"/>
    <n v="34.67"/>
    <m/>
    <m/>
    <m/>
    <n v="4935"/>
    <m/>
    <m/>
    <m/>
    <n v="1952.2860000000001"/>
    <n v="1710.9645"/>
    <n v="0"/>
    <n v="0"/>
    <n v="0"/>
    <n v="0"/>
    <n v="28"/>
    <n v="29"/>
  </r>
  <r>
    <x v="197"/>
    <n v="5529"/>
    <n v="5368"/>
    <n v="43.65"/>
    <n v="36.31"/>
    <n v="5024"/>
    <n v="39.99"/>
    <n v="34.04"/>
    <n v="5303"/>
    <n v="623.27"/>
    <n v="51.63"/>
    <n v="26.56"/>
    <n v="2343.1319999999996"/>
    <n v="1949.1208000000001"/>
    <n v="200909.76"/>
    <n v="1710.1695999999999"/>
    <n v="321.79430100000002"/>
    <n v="165.54051199999998"/>
    <n v="29"/>
    <n v="29"/>
  </r>
  <r>
    <x v="198"/>
    <n v="5039"/>
    <n v="4892"/>
    <n v="43.19"/>
    <n v="35.68"/>
    <n v="5025"/>
    <n v="40.54"/>
    <n v="33.82"/>
    <n v="5195"/>
    <n v="611.35"/>
    <n v="52.54"/>
    <n v="26.66"/>
    <n v="2112.8547999999996"/>
    <n v="1745.4656"/>
    <n v="203713.5"/>
    <n v="1699.4549999999999"/>
    <n v="321.20329000000004"/>
    <n v="162.98590999999999"/>
    <n v="29"/>
    <n v="29"/>
  </r>
  <r>
    <x v="199"/>
    <n v="5711"/>
    <n v="5545"/>
    <n v="43.05"/>
    <n v="34.450000000000003"/>
    <n v="5019"/>
    <n v="40.69"/>
    <n v="33.479999999999997"/>
    <n v="5740"/>
    <n v="634.48"/>
    <n v="51.76"/>
    <n v="25.75"/>
    <n v="2387.1224999999995"/>
    <n v="1910.2525000000003"/>
    <n v="204223.11"/>
    <n v="1680.3612000000001"/>
    <n v="328.40684800000002"/>
    <n v="163.37860000000001"/>
    <n v="29"/>
    <n v="29"/>
  </r>
  <r>
    <x v="200"/>
    <n v="5415"/>
    <n v="5257"/>
    <n v="42.06"/>
    <n v="36.4"/>
    <n v="5026"/>
    <n v="40.56"/>
    <n v="34.200000000000003"/>
    <n v="5997"/>
    <n v="639.69000000000005"/>
    <n v="51.01"/>
    <n v="26.58"/>
    <n v="2211.0942"/>
    <n v="1913.5479999999998"/>
    <n v="203854.56"/>
    <n v="1718.8920000000001"/>
    <n v="326.30586900000003"/>
    <n v="170.02960200000001"/>
    <n v="29"/>
    <n v="29"/>
  </r>
  <r>
    <x v="201"/>
    <m/>
    <m/>
    <m/>
    <m/>
    <n v="6026"/>
    <n v="40.67"/>
    <n v="34.299999999999997"/>
    <m/>
    <n v="751.54"/>
    <n v="52.15"/>
    <n v="27.24"/>
    <n v="0"/>
    <n v="0"/>
    <n v="245077.42"/>
    <n v="2066.9179999999997"/>
    <n v="391.92810999999995"/>
    <n v="204.71949599999996"/>
    <n v="29"/>
    <n v="29"/>
  </r>
  <r>
    <x v="202"/>
    <m/>
    <m/>
    <m/>
    <m/>
    <m/>
    <m/>
    <m/>
    <m/>
    <m/>
    <m/>
    <m/>
    <n v="0"/>
    <n v="0"/>
    <n v="0"/>
    <n v="0"/>
    <n v="0"/>
    <n v="0"/>
    <n v="29"/>
    <n v="29"/>
  </r>
  <r>
    <x v="203"/>
    <n v="4805"/>
    <n v="4665"/>
    <n v="42.05"/>
    <n v="35.57"/>
    <m/>
    <m/>
    <m/>
    <n v="4665"/>
    <m/>
    <m/>
    <m/>
    <n v="1961.6324999999999"/>
    <n v="1659.3404999999998"/>
    <n v="0"/>
    <n v="0"/>
    <n v="0"/>
    <n v="0"/>
    <n v="29"/>
    <n v="30"/>
  </r>
  <r>
    <x v="204"/>
    <n v="5153"/>
    <n v="5003"/>
    <n v="45.16"/>
    <n v="36.700000000000003"/>
    <n v="5014"/>
    <n v="42.02"/>
    <n v="34.74"/>
    <n v="4668"/>
    <n v="627.39"/>
    <n v="52.04"/>
    <n v="27.09"/>
    <n v="2259.3547999999996"/>
    <n v="1836.1010000000001"/>
    <n v="210688.28000000003"/>
    <n v="1741.8636000000001"/>
    <n v="326.49375600000002"/>
    <n v="169.95995099999999"/>
    <n v="30"/>
    <n v="30"/>
  </r>
  <r>
    <x v="205"/>
    <n v="5282"/>
    <n v="5128"/>
    <n v="40.69"/>
    <n v="34.56"/>
    <n v="5020"/>
    <n v="40.51"/>
    <n v="33.72"/>
    <n v="4796"/>
    <n v="625.51"/>
    <n v="52.12"/>
    <n v="27.12"/>
    <n v="2086.5831999999996"/>
    <n v="1772.2368000000001"/>
    <n v="203360.19999999998"/>
    <n v="1692.7439999999999"/>
    <n v="326.01581199999998"/>
    <n v="169.63831200000001"/>
    <n v="30"/>
    <n v="30"/>
  </r>
  <r>
    <x v="206"/>
    <n v="5319"/>
    <n v="5164"/>
    <n v="45.38"/>
    <n v="36.01"/>
    <n v="5023"/>
    <n v="42.05"/>
    <n v="34.17"/>
    <n v="4960"/>
    <n v="626.01"/>
    <n v="52.17"/>
    <n v="27.26"/>
    <n v="2343.4232000000002"/>
    <n v="1859.5563999999999"/>
    <n v="211217.15"/>
    <n v="1716.3591000000001"/>
    <n v="326.58941699999997"/>
    <n v="170.65032600000004"/>
    <n v="30"/>
    <n v="30"/>
  </r>
  <r>
    <x v="207"/>
    <n v="5134"/>
    <n v="4984"/>
    <n v="39.450000000000003"/>
    <n v="34.979999999999997"/>
    <n v="5030"/>
    <n v="39.590000000000003"/>
    <n v="33.86"/>
    <n v="4944"/>
    <n v="619.46"/>
    <n v="52.88"/>
    <n v="27.01"/>
    <n v="1966.1880000000001"/>
    <n v="1743.4031999999997"/>
    <n v="199137.7"/>
    <n v="1703.1579999999999"/>
    <n v="327.57044800000006"/>
    <n v="167.316146"/>
    <n v="30"/>
    <n v="30"/>
  </r>
  <r>
    <x v="208"/>
    <m/>
    <m/>
    <m/>
    <m/>
    <n v="4975"/>
    <n v="39.32"/>
    <n v="33.61"/>
    <m/>
    <n v="638.41"/>
    <n v="51.3"/>
    <n v="26.89"/>
    <n v="0"/>
    <n v="0"/>
    <n v="195617"/>
    <n v="1672.0975000000001"/>
    <n v="327.50432999999998"/>
    <n v="171.66844900000001"/>
    <n v="30"/>
    <n v="30"/>
  </r>
  <r>
    <x v="209"/>
    <m/>
    <m/>
    <m/>
    <m/>
    <m/>
    <m/>
    <m/>
    <m/>
    <m/>
    <m/>
    <m/>
    <n v="0"/>
    <n v="0"/>
    <n v="0"/>
    <n v="0"/>
    <n v="0"/>
    <n v="0"/>
    <n v="30"/>
    <n v="30"/>
  </r>
  <r>
    <x v="210"/>
    <n v="5177"/>
    <n v="5026"/>
    <n v="43.53"/>
    <n v="34.85"/>
    <m/>
    <m/>
    <m/>
    <n v="5026"/>
    <m/>
    <m/>
    <m/>
    <n v="2187.8177999999998"/>
    <n v="1751.5610000000001"/>
    <n v="0"/>
    <n v="0"/>
    <n v="0"/>
    <n v="0"/>
    <n v="30"/>
    <n v="31"/>
  </r>
  <r>
    <x v="211"/>
    <n v="4818"/>
    <n v="4678"/>
    <n v="42.93"/>
    <n v="37.229999999999997"/>
    <n v="5028"/>
    <n v="41.3"/>
    <n v="34.590000000000003"/>
    <n v="4704"/>
    <n v="633.24"/>
    <n v="51.43"/>
    <n v="27.21"/>
    <n v="2008.2654"/>
    <n v="1741.6193999999998"/>
    <n v="207656.4"/>
    <n v="1739.1852000000001"/>
    <n v="325.67533200000003"/>
    <n v="172.30460400000001"/>
    <n v="31"/>
    <n v="31"/>
  </r>
  <r>
    <x v="212"/>
    <n v="5604"/>
    <n v="5441"/>
    <n v="41.38"/>
    <n v="34.619999999999997"/>
    <n v="5030"/>
    <n v="40.39"/>
    <n v="33.74"/>
    <n v="5145"/>
    <n v="599.30999999999995"/>
    <n v="54.07"/>
    <n v="27.87"/>
    <n v="2251.4858000000004"/>
    <n v="1883.6741999999999"/>
    <n v="203161.7"/>
    <n v="1697.1220000000001"/>
    <n v="324.04691699999995"/>
    <n v="167.02769700000002"/>
    <n v="31"/>
    <n v="31"/>
  </r>
  <r>
    <x v="213"/>
    <n v="5097"/>
    <n v="4949"/>
    <n v="42.8"/>
    <n v="35.6"/>
    <n v="5021"/>
    <n v="40.479999999999997"/>
    <n v="33.83"/>
    <n v="5094"/>
    <n v="622.54999999999995"/>
    <n v="52.55"/>
    <n v="26.65"/>
    <n v="2118.172"/>
    <n v="1761.8440000000001"/>
    <n v="203250.08"/>
    <n v="1698.6043"/>
    <n v="327.15002499999997"/>
    <n v="165.90957499999996"/>
    <n v="31"/>
    <n v="31"/>
  </r>
  <r>
    <x v="214"/>
    <n v="5247"/>
    <n v="5094"/>
    <n v="42.49"/>
    <n v="35.9"/>
    <n v="5023"/>
    <n v="41"/>
    <n v="33.869999999999997"/>
    <n v="5188"/>
    <n v="623.52"/>
    <n v="51.81"/>
    <n v="27.62"/>
    <n v="2164.4405999999999"/>
    <n v="1828.7460000000001"/>
    <n v="205943"/>
    <n v="1701.2900999999997"/>
    <n v="323.04571200000004"/>
    <n v="172.21622400000001"/>
    <n v="31"/>
    <n v="31"/>
  </r>
  <r>
    <x v="215"/>
    <m/>
    <m/>
    <m/>
    <m/>
    <n v="5211"/>
    <n v="40.770000000000003"/>
    <n v="34.06"/>
    <m/>
    <n v="654.39"/>
    <n v="52.54"/>
    <n v="27.26"/>
    <n v="0"/>
    <n v="0"/>
    <n v="212452.47000000003"/>
    <n v="1774.8666000000001"/>
    <n v="343.816506"/>
    <n v="178.38671399999998"/>
    <n v="31"/>
    <n v="31"/>
  </r>
  <r>
    <x v="216"/>
    <m/>
    <m/>
    <m/>
    <m/>
    <m/>
    <m/>
    <m/>
    <m/>
    <m/>
    <m/>
    <m/>
    <n v="0"/>
    <n v="0"/>
    <n v="0"/>
    <n v="0"/>
    <n v="0"/>
    <n v="0"/>
    <n v="31"/>
    <n v="31"/>
  </r>
  <r>
    <x v="217"/>
    <n v="5131"/>
    <n v="4982"/>
    <n v="42.78"/>
    <n v="35.229999999999997"/>
    <m/>
    <m/>
    <m/>
    <n v="4982"/>
    <m/>
    <m/>
    <m/>
    <n v="2131.2995999999998"/>
    <n v="1755.1585999999998"/>
    <n v="0"/>
    <n v="0"/>
    <n v="0"/>
    <n v="0"/>
    <n v="31"/>
    <n v="32"/>
  </r>
  <r>
    <x v="218"/>
    <n v="5207"/>
    <n v="5055"/>
    <n v="43.3"/>
    <n v="34.24"/>
    <n v="5026"/>
    <n v="41.08"/>
    <n v="33.11"/>
    <n v="5037"/>
    <n v="604.87"/>
    <n v="54.62"/>
    <n v="27.67"/>
    <n v="2188.8150000000001"/>
    <n v="1730.8320000000001"/>
    <n v="206468.08"/>
    <n v="1664.1085999999998"/>
    <n v="330.37999400000001"/>
    <n v="167.36752899999999"/>
    <n v="32"/>
    <n v="32"/>
  </r>
  <r>
    <x v="219"/>
    <n v="5212"/>
    <n v="5060"/>
    <n v="40.020000000000003"/>
    <n v="38.299999999999997"/>
    <n v="5024"/>
    <n v="39.340000000000003"/>
    <n v="34.81"/>
    <n v="5097"/>
    <n v="636.6"/>
    <n v="51.11"/>
    <n v="27.87"/>
    <n v="2025.0120000000002"/>
    <n v="1937.98"/>
    <n v="197644.16"/>
    <n v="1748.8543999999999"/>
    <n v="325.36626000000001"/>
    <n v="177.42042000000001"/>
    <n v="32"/>
    <n v="32"/>
  </r>
  <r>
    <x v="220"/>
    <n v="5096"/>
    <n v="4948"/>
    <n v="40.49"/>
    <n v="35.53"/>
    <n v="5033"/>
    <n v="39.119999999999997"/>
    <n v="34.28"/>
    <n v="5045"/>
    <n v="660.25"/>
    <n v="49.61"/>
    <n v="26.08"/>
    <n v="2003.4452000000001"/>
    <n v="1758.0244"/>
    <n v="196890.96"/>
    <n v="1725.3124000000003"/>
    <n v="327.55002500000001"/>
    <n v="172.19319999999999"/>
    <n v="32"/>
    <n v="32"/>
  </r>
  <r>
    <x v="221"/>
    <n v="4771"/>
    <n v="4632"/>
    <n v="44.86"/>
    <n v="36.299999999999997"/>
    <n v="5025"/>
    <n v="41.07"/>
    <n v="34.44"/>
    <n v="4677"/>
    <n v="611.54"/>
    <n v="53.32"/>
    <n v="28.07"/>
    <n v="2077.9151999999999"/>
    <n v="1681.4159999999997"/>
    <n v="206376.75"/>
    <n v="1730.61"/>
    <n v="326.073128"/>
    <n v="171.65927799999997"/>
    <n v="32"/>
    <n v="32"/>
  </r>
  <r>
    <x v="222"/>
    <m/>
    <m/>
    <m/>
    <m/>
    <n v="4693"/>
    <n v="41.01"/>
    <n v="34.71"/>
    <m/>
    <n v="547.62"/>
    <n v="55.61"/>
    <n v="27.92"/>
    <n v="0"/>
    <n v="0"/>
    <n v="192459.93"/>
    <n v="1628.9403"/>
    <n v="304.53148199999998"/>
    <n v="152.89550400000002"/>
    <n v="32"/>
    <n v="32"/>
  </r>
  <r>
    <x v="223"/>
    <m/>
    <m/>
    <m/>
    <m/>
    <m/>
    <m/>
    <m/>
    <m/>
    <m/>
    <m/>
    <m/>
    <n v="0"/>
    <n v="0"/>
    <n v="0"/>
    <n v="0"/>
    <n v="0"/>
    <n v="0"/>
    <n v="32"/>
    <n v="32"/>
  </r>
  <r>
    <x v="224"/>
    <n v="5048"/>
    <n v="4901"/>
    <n v="42.85"/>
    <n v="36.1"/>
    <m/>
    <m/>
    <m/>
    <n v="4901"/>
    <m/>
    <m/>
    <m/>
    <n v="2100.0785000000001"/>
    <n v="1769.261"/>
    <n v="0"/>
    <n v="0"/>
    <n v="0"/>
    <n v="0"/>
    <n v="32"/>
    <n v="33"/>
  </r>
  <r>
    <x v="225"/>
    <n v="5028"/>
    <n v="4882"/>
    <n v="41.78"/>
    <n v="35.14"/>
    <n v="5024"/>
    <n v="40.39"/>
    <n v="33.9"/>
    <n v="4783"/>
    <n v="617.22"/>
    <n v="53.52"/>
    <n v="28"/>
    <n v="2039.6995999999999"/>
    <n v="1715.5348000000001"/>
    <n v="202919.36000000002"/>
    <n v="1703.136"/>
    <n v="330.33614400000005"/>
    <n v="172.82159999999999"/>
    <n v="33"/>
    <n v="33"/>
  </r>
  <r>
    <x v="226"/>
    <n v="5377"/>
    <n v="5220"/>
    <n v="42.09"/>
    <n v="37.11"/>
    <n v="5028"/>
    <n v="40.19"/>
    <n v="34.729999999999997"/>
    <n v="5003"/>
    <n v="634.52"/>
    <n v="51.64"/>
    <n v="27.35"/>
    <n v="2197.098"/>
    <n v="1937.1419999999998"/>
    <n v="202075.31999999998"/>
    <n v="1746.2243999999998"/>
    <n v="327.66612800000001"/>
    <n v="173.54121999999998"/>
    <n v="33"/>
    <n v="33"/>
  </r>
  <r>
    <x v="227"/>
    <n v="4977"/>
    <n v="4832"/>
    <n v="44.07"/>
    <n v="34.29"/>
    <n v="5023"/>
    <n v="41.1"/>
    <n v="33.53"/>
    <n v="4835"/>
    <n v="621.79"/>
    <n v="51.94"/>
    <n v="27.39"/>
    <n v="2129.4623999999999"/>
    <n v="1656.8928000000001"/>
    <n v="206445.30000000002"/>
    <n v="1684.2119"/>
    <n v="322.95772599999998"/>
    <n v="170.30828099999999"/>
    <n v="33"/>
    <n v="33"/>
  </r>
  <r>
    <x v="228"/>
    <n v="5204"/>
    <n v="5052"/>
    <n v="42.15"/>
    <n v="36.6"/>
    <n v="5025"/>
    <n v="40.58"/>
    <n v="34.33"/>
    <n v="4887"/>
    <n v="628.05999999999995"/>
    <n v="52.75"/>
    <n v="28"/>
    <n v="2129.4179999999997"/>
    <n v="1849.0320000000002"/>
    <n v="203914.5"/>
    <n v="1725.0825"/>
    <n v="331.30164999999994"/>
    <n v="175.85679999999999"/>
    <n v="33"/>
    <n v="33"/>
  </r>
  <r>
    <x v="229"/>
    <m/>
    <m/>
    <m/>
    <m/>
    <n v="4917"/>
    <n v="40.659999999999997"/>
    <n v="34.299999999999997"/>
    <m/>
    <n v="603.04"/>
    <n v="52.98"/>
    <n v="27.2"/>
    <n v="0"/>
    <n v="0"/>
    <n v="199925.21999999997"/>
    <n v="1686.5309999999997"/>
    <n v="319.49059199999994"/>
    <n v="164.02687999999998"/>
    <n v="33"/>
    <n v="33"/>
  </r>
  <r>
    <x v="230"/>
    <m/>
    <m/>
    <m/>
    <m/>
    <m/>
    <m/>
    <m/>
    <m/>
    <m/>
    <m/>
    <m/>
    <n v="0"/>
    <n v="0"/>
    <n v="0"/>
    <n v="0"/>
    <n v="0"/>
    <n v="0"/>
    <n v="33"/>
    <n v="33"/>
  </r>
  <r>
    <x v="231"/>
    <n v="5253"/>
    <n v="5100"/>
    <n v="42.73"/>
    <n v="36.18"/>
    <m/>
    <m/>
    <m/>
    <n v="5100"/>
    <m/>
    <m/>
    <m/>
    <n v="2179.2299999999996"/>
    <n v="1845.18"/>
    <n v="0"/>
    <n v="0"/>
    <n v="0"/>
    <n v="0"/>
    <n v="33"/>
    <n v="34"/>
  </r>
  <r>
    <x v="232"/>
    <n v="4540"/>
    <n v="4408"/>
    <n v="43.82"/>
    <n v="36.81"/>
    <n v="5026"/>
    <n v="41.48"/>
    <n v="34.78"/>
    <n v="4508"/>
    <n v="624.62"/>
    <n v="52.52"/>
    <n v="27.08"/>
    <n v="1931.5855999999999"/>
    <n v="1622.5848000000001"/>
    <n v="208478.47999999998"/>
    <n v="1748.0427999999999"/>
    <n v="328.05042400000008"/>
    <n v="169.14709599999998"/>
    <n v="34"/>
    <n v="34"/>
  </r>
  <r>
    <x v="233"/>
    <n v="5611"/>
    <n v="5448"/>
    <n v="42"/>
    <n v="35.72"/>
    <n v="5020"/>
    <n v="40.44"/>
    <n v="34.33"/>
    <n v="4956"/>
    <n v="634.82000000000005"/>
    <n v="51.61"/>
    <n v="26.36"/>
    <n v="2288.16"/>
    <n v="1946.0255999999999"/>
    <n v="203008.8"/>
    <n v="1723.366"/>
    <n v="327.63060200000001"/>
    <n v="167.33855200000002"/>
    <n v="34"/>
    <n v="34"/>
  </r>
  <r>
    <x v="234"/>
    <n v="4796"/>
    <n v="4656"/>
    <n v="43.16"/>
    <n v="36.43"/>
    <n v="5027"/>
    <n v="40.82"/>
    <n v="34.44"/>
    <n v="4612"/>
    <n v="632.48"/>
    <n v="51.53"/>
    <n v="27.6"/>
    <n v="2009.5295999999998"/>
    <n v="1696.1807999999999"/>
    <n v="205202.14"/>
    <n v="1731.2987999999998"/>
    <n v="325.916944"/>
    <n v="174.56448"/>
    <n v="34"/>
    <n v="34"/>
  </r>
  <r>
    <x v="235"/>
    <n v="5482"/>
    <n v="5322"/>
    <n v="42.69"/>
    <n v="34.94"/>
    <n v="5030"/>
    <n v="40.4"/>
    <n v="34.520000000000003"/>
    <n v="4934"/>
    <n v="609.51"/>
    <n v="53.99"/>
    <n v="27.3"/>
    <n v="2271.9618"/>
    <n v="1859.5067999999999"/>
    <n v="203212"/>
    <n v="1736.356"/>
    <n v="329.07444900000002"/>
    <n v="166.39623"/>
    <n v="34"/>
    <n v="34"/>
  </r>
  <r>
    <x v="236"/>
    <m/>
    <m/>
    <m/>
    <m/>
    <n v="4962"/>
    <n v="40.729999999999997"/>
    <n v="33.68"/>
    <m/>
    <n v="628.05999999999995"/>
    <n v="51.31"/>
    <n v="25.66"/>
    <n v="0"/>
    <n v="0"/>
    <n v="202102.25999999998"/>
    <n v="1671.2016000000001"/>
    <n v="322.25758599999995"/>
    <n v="161.16019599999998"/>
    <n v="34"/>
    <n v="34"/>
  </r>
  <r>
    <x v="237"/>
    <m/>
    <m/>
    <m/>
    <m/>
    <m/>
    <m/>
    <m/>
    <m/>
    <m/>
    <m/>
    <m/>
    <n v="0"/>
    <n v="0"/>
    <n v="0"/>
    <n v="0"/>
    <n v="0"/>
    <n v="0"/>
    <n v="34"/>
    <n v="34"/>
  </r>
  <r>
    <x v="238"/>
    <n v="4914"/>
    <n v="4771"/>
    <n v="41.92"/>
    <n v="37.61"/>
    <m/>
    <m/>
    <m/>
    <n v="4771"/>
    <m/>
    <m/>
    <m/>
    <n v="2000.0032000000001"/>
    <n v="1794.3731"/>
    <n v="0"/>
    <n v="0"/>
    <n v="0"/>
    <n v="0"/>
    <n v="34"/>
    <n v="35"/>
  </r>
  <r>
    <x v="239"/>
    <n v="4925"/>
    <n v="4782"/>
    <n v="39.659999999999997"/>
    <n v="35.53"/>
    <n v="5023"/>
    <n v="39.1"/>
    <n v="34.85"/>
    <n v="4553"/>
    <n v="638.21"/>
    <n v="50.74"/>
    <n v="25.72"/>
    <n v="1896.5411999999999"/>
    <n v="1699.0445999999999"/>
    <n v="196399.30000000002"/>
    <n v="1750.5155000000002"/>
    <n v="323.82775400000003"/>
    <n v="164.14761200000001"/>
    <n v="35"/>
    <n v="35"/>
  </r>
  <r>
    <x v="240"/>
    <n v="5292"/>
    <n v="5138"/>
    <n v="42.54"/>
    <n v="35.5"/>
    <n v="5032"/>
    <n v="39.58"/>
    <n v="34.47"/>
    <n v="4691"/>
    <n v="636.26"/>
    <n v="51.66"/>
    <n v="27.35"/>
    <n v="2185.7051999999999"/>
    <n v="1823.99"/>
    <n v="199166.56"/>
    <n v="1734.5304000000001"/>
    <n v="328.69191599999999"/>
    <n v="174.01711"/>
    <n v="35"/>
    <n v="35"/>
  </r>
  <r>
    <x v="241"/>
    <n v="4661"/>
    <n v="4525"/>
    <n v="44.8"/>
    <n v="37.340000000000003"/>
    <n v="5035"/>
    <n v="41.28"/>
    <n v="34.700000000000003"/>
    <n v="4216"/>
    <n v="631.61"/>
    <n v="52.37"/>
    <n v="27.93"/>
    <n v="2027.2"/>
    <n v="1689.6350000000002"/>
    <n v="207844.80000000002"/>
    <n v="1747.145"/>
    <n v="330.774157"/>
    <n v="176.40867300000002"/>
    <n v="35"/>
    <n v="35"/>
  </r>
  <r>
    <x v="242"/>
    <n v="4789"/>
    <n v="4650"/>
    <n v="40.19"/>
    <n v="36.729999999999997"/>
    <n v="5027"/>
    <n v="39.76"/>
    <n v="35.03"/>
    <n v="3866"/>
    <n v="614.83000000000004"/>
    <n v="52.9"/>
    <n v="27"/>
    <n v="1868.835"/>
    <n v="1707.9449999999999"/>
    <n v="199873.52"/>
    <n v="1760.9581000000001"/>
    <n v="325.24507"/>
    <n v="166.00409999999999"/>
    <n v="35"/>
    <n v="35"/>
  </r>
  <r>
    <x v="243"/>
    <m/>
    <m/>
    <m/>
    <m/>
    <n v="3881"/>
    <n v="40.19"/>
    <n v="35.25"/>
    <m/>
    <n v="459.09"/>
    <n v="54.91"/>
    <n v="27.6"/>
    <n v="0"/>
    <n v="0"/>
    <n v="155977.38999999998"/>
    <n v="1368.0525"/>
    <n v="252.08631899999997"/>
    <n v="126.70884"/>
    <n v="35"/>
    <n v="35"/>
  </r>
  <r>
    <x v="244"/>
    <m/>
    <m/>
    <m/>
    <m/>
    <m/>
    <m/>
    <m/>
    <m/>
    <m/>
    <m/>
    <m/>
    <n v="0"/>
    <n v="0"/>
    <n v="0"/>
    <n v="0"/>
    <n v="0"/>
    <n v="0"/>
    <n v="35"/>
    <n v="35"/>
  </r>
  <r>
    <x v="245"/>
    <n v="4833"/>
    <n v="4692"/>
    <n v="41.22"/>
    <n v="36.57"/>
    <m/>
    <m/>
    <m/>
    <n v="4692"/>
    <m/>
    <m/>
    <m/>
    <n v="1934.0423999999998"/>
    <n v="1715.8643999999999"/>
    <n v="0"/>
    <n v="0"/>
    <n v="0"/>
    <n v="0"/>
    <n v="35"/>
    <n v="36"/>
  </r>
  <r>
    <x v="246"/>
    <n v="5381"/>
    <n v="5224"/>
    <n v="43.22"/>
    <n v="36.36"/>
    <n v="5022"/>
    <n v="40.74"/>
    <n v="34.79"/>
    <n v="4916"/>
    <n v="625.92999999999995"/>
    <n v="51.82"/>
    <n v="27.27"/>
    <n v="2257.8128000000002"/>
    <n v="1899.4463999999998"/>
    <n v="204596.28"/>
    <n v="1747.1538"/>
    <n v="324.35692599999999"/>
    <n v="170.69111099999998"/>
    <n v="36"/>
    <n v="36"/>
  </r>
  <r>
    <x v="247"/>
    <n v="5134"/>
    <n v="4984"/>
    <n v="45.82"/>
    <n v="34.520000000000003"/>
    <n v="5022"/>
    <n v="42.29"/>
    <n v="33.75"/>
    <n v="4900"/>
    <n v="637.71"/>
    <n v="51.77"/>
    <n v="27.38"/>
    <n v="2283.6687999999999"/>
    <n v="1720.4768000000001"/>
    <n v="212380.38"/>
    <n v="1694.925"/>
    <n v="330.14246700000001"/>
    <n v="174.60499800000002"/>
    <n v="36"/>
    <n v="36"/>
  </r>
  <r>
    <x v="248"/>
    <n v="5389"/>
    <n v="5232"/>
    <n v="41.46"/>
    <n v="36.520000000000003"/>
    <n v="5023"/>
    <n v="40.68"/>
    <n v="34.18"/>
    <n v="5132"/>
    <n v="641.13"/>
    <n v="50.6"/>
    <n v="25.51"/>
    <n v="2169.1871999999998"/>
    <n v="1910.7264000000002"/>
    <n v="204335.63999999998"/>
    <n v="1716.8613999999998"/>
    <n v="324.41178000000002"/>
    <n v="163.55226300000001"/>
    <n v="36"/>
    <n v="36"/>
  </r>
  <r>
    <x v="249"/>
    <n v="5155"/>
    <n v="5005"/>
    <n v="43.7"/>
    <n v="36.01"/>
    <n v="5038"/>
    <n v="40.950000000000003"/>
    <n v="34.229999999999997"/>
    <n v="5137"/>
    <n v="650.29"/>
    <n v="50.08"/>
    <n v="26.72"/>
    <n v="2187.1849999999999"/>
    <n v="1802.3004999999998"/>
    <n v="206306.1"/>
    <n v="1724.5074"/>
    <n v="325.66523199999995"/>
    <n v="173.75748799999997"/>
    <n v="36"/>
    <n v="36"/>
  </r>
  <r>
    <x v="250"/>
    <m/>
    <m/>
    <m/>
    <m/>
    <n v="5168"/>
    <n v="41.14"/>
    <n v="34.75"/>
    <m/>
    <n v="654.24"/>
    <n v="50.9"/>
    <n v="27.14"/>
    <n v="0"/>
    <n v="0"/>
    <n v="212611.52"/>
    <n v="1795.88"/>
    <n v="333.00815999999998"/>
    <n v="177.56073599999999"/>
    <n v="36"/>
    <n v="36"/>
  </r>
  <r>
    <x v="251"/>
    <m/>
    <m/>
    <m/>
    <m/>
    <m/>
    <m/>
    <m/>
    <m/>
    <m/>
    <m/>
    <m/>
    <n v="0"/>
    <n v="0"/>
    <n v="0"/>
    <n v="0"/>
    <n v="0"/>
    <n v="0"/>
    <n v="36"/>
    <n v="36"/>
  </r>
  <r>
    <x v="252"/>
    <n v="5189"/>
    <n v="5038"/>
    <n v="44.34"/>
    <n v="34.14"/>
    <m/>
    <m/>
    <m/>
    <n v="5038"/>
    <m/>
    <m/>
    <m/>
    <n v="2233.8492000000001"/>
    <n v="1719.9732000000001"/>
    <n v="0"/>
    <n v="0"/>
    <n v="0"/>
    <n v="0"/>
    <n v="36"/>
    <n v="37"/>
  </r>
  <r>
    <x v="253"/>
    <n v="5238"/>
    <n v="5085"/>
    <n v="41.98"/>
    <n v="37.700000000000003"/>
    <n v="5036"/>
    <n v="41.17"/>
    <n v="34.46"/>
    <n v="5123"/>
    <n v="637.59"/>
    <n v="50.88"/>
    <n v="26.05"/>
    <n v="2134.683"/>
    <n v="1917.0450000000001"/>
    <n v="207332.12"/>
    <n v="1735.4056"/>
    <n v="324.40579200000002"/>
    <n v="166.09219500000003"/>
    <n v="37"/>
    <n v="37"/>
  </r>
  <r>
    <x v="254"/>
    <n v="4825"/>
    <n v="4684"/>
    <n v="39.659999999999997"/>
    <n v="34.43"/>
    <n v="5026"/>
    <n v="39.39"/>
    <n v="33.840000000000003"/>
    <n v="4807"/>
    <n v="646.74"/>
    <n v="51.36"/>
    <n v="26.52"/>
    <n v="1857.6743999999997"/>
    <n v="1612.7012"/>
    <n v="197974.14"/>
    <n v="1700.7984000000004"/>
    <n v="332.16566400000005"/>
    <n v="171.51544799999999"/>
    <n v="37"/>
    <n v="37"/>
  </r>
  <r>
    <x v="255"/>
    <n v="5026"/>
    <n v="4880"/>
    <n v="42.59"/>
    <n v="34.619999999999997"/>
    <n v="5023"/>
    <n v="40.56"/>
    <n v="33.200000000000003"/>
    <n v="4687"/>
    <n v="632.46"/>
    <n v="51.87"/>
    <n v="28.37"/>
    <n v="2078.3920000000003"/>
    <n v="1689.4559999999997"/>
    <n v="203732.88"/>
    <n v="1667.636"/>
    <n v="328.05700200000001"/>
    <n v="179.42890200000002"/>
    <n v="37"/>
    <n v="37"/>
  </r>
  <r>
    <x v="256"/>
    <n v="5321"/>
    <n v="5166"/>
    <n v="40.229999999999997"/>
    <n v="34.78"/>
    <n v="5022"/>
    <n v="39.33"/>
    <n v="33.54"/>
    <n v="4853"/>
    <n v="661.92"/>
    <n v="49.41"/>
    <n v="26.36"/>
    <n v="2078.2817999999997"/>
    <n v="1796.7348000000002"/>
    <n v="197515.25999999998"/>
    <n v="1684.3788"/>
    <n v="327.05467199999998"/>
    <n v="174.48211199999997"/>
    <n v="37"/>
    <n v="37"/>
  </r>
  <r>
    <x v="257"/>
    <m/>
    <m/>
    <m/>
    <m/>
    <n v="4873"/>
    <n v="39.54"/>
    <n v="33.46"/>
    <m/>
    <n v="627.13"/>
    <n v="51.1"/>
    <n v="27.44"/>
    <n v="0"/>
    <n v="0"/>
    <n v="192678.41999999998"/>
    <n v="1630.5058000000001"/>
    <n v="320.46343000000002"/>
    <n v="172.08447200000003"/>
    <n v="37"/>
    <n v="37"/>
  </r>
  <r>
    <x v="258"/>
    <m/>
    <m/>
    <m/>
    <m/>
    <m/>
    <m/>
    <m/>
    <m/>
    <m/>
    <m/>
    <m/>
    <n v="0"/>
    <n v="0"/>
    <n v="0"/>
    <n v="0"/>
    <n v="0"/>
    <n v="0"/>
    <n v="37"/>
    <n v="37"/>
  </r>
  <r>
    <x v="259"/>
    <n v="5075"/>
    <n v="4927"/>
    <n v="43.3"/>
    <n v="35.53"/>
    <m/>
    <m/>
    <m/>
    <n v="4927"/>
    <m/>
    <m/>
    <m/>
    <n v="2133.3909999999996"/>
    <n v="1750.5631000000001"/>
    <n v="0"/>
    <n v="0"/>
    <n v="0"/>
    <n v="0"/>
    <n v="37"/>
    <n v="38"/>
  </r>
  <r>
    <x v="260"/>
    <n v="5318"/>
    <n v="5163"/>
    <n v="42.61"/>
    <n v="35.03"/>
    <n v="5025"/>
    <n v="41.13"/>
    <n v="33.6"/>
    <n v="5090"/>
    <n v="653.04"/>
    <n v="50.06"/>
    <n v="26.58"/>
    <n v="2199.9542999999999"/>
    <n v="1808.5989000000002"/>
    <n v="206678.25"/>
    <n v="1688.4"/>
    <n v="326.91182399999997"/>
    <n v="173.57803199999998"/>
    <n v="38"/>
    <n v="38"/>
  </r>
  <r>
    <x v="261"/>
    <n v="5074"/>
    <n v="4926"/>
    <n v="40.92"/>
    <n v="36"/>
    <n v="5012"/>
    <n v="40.43"/>
    <n v="34.380000000000003"/>
    <n v="5016"/>
    <n v="644.14"/>
    <n v="50.6"/>
    <n v="27.17"/>
    <n v="2015.7192000000002"/>
    <n v="1773.36"/>
    <n v="202635.16"/>
    <n v="1723.1256000000003"/>
    <n v="325.93484000000001"/>
    <n v="175.01283800000002"/>
    <n v="38"/>
    <n v="38"/>
  </r>
  <r>
    <x v="262"/>
    <n v="5354"/>
    <n v="5198"/>
    <n v="41"/>
    <n v="36.08"/>
    <n v="5027"/>
    <n v="39.479999999999997"/>
    <n v="34.14"/>
    <n v="5214"/>
    <n v="623.97"/>
    <n v="52.3"/>
    <n v="26.45"/>
    <n v="2131.1799999999998"/>
    <n v="1875.4384"/>
    <n v="198465.96"/>
    <n v="1716.2177999999999"/>
    <n v="326.33631000000003"/>
    <n v="165.040065"/>
    <n v="38"/>
    <n v="38"/>
  </r>
  <r>
    <x v="263"/>
    <n v="5438"/>
    <n v="5280"/>
    <n v="40.17"/>
    <n v="34.29"/>
    <n v="5028"/>
    <n v="38.9"/>
    <n v="33.409999999999997"/>
    <n v="5494"/>
    <n v="622.69000000000005"/>
    <n v="52.4"/>
    <n v="26.99"/>
    <n v="2120.9760000000001"/>
    <n v="1810.5119999999997"/>
    <n v="195589.19999999998"/>
    <n v="1679.8547999999998"/>
    <n v="326.28955999999999"/>
    <n v="168.064031"/>
    <n v="38"/>
    <n v="38"/>
  </r>
  <r>
    <x v="264"/>
    <m/>
    <m/>
    <m/>
    <m/>
    <n v="5519"/>
    <n v="38.9"/>
    <n v="33.47"/>
    <m/>
    <n v="711.84"/>
    <n v="50.01"/>
    <n v="26.29"/>
    <n v="0"/>
    <n v="0"/>
    <n v="214689.1"/>
    <n v="1847.2093"/>
    <n v="355.99118399999998"/>
    <n v="187.14273600000001"/>
    <n v="38"/>
    <n v="38"/>
  </r>
  <r>
    <x v="265"/>
    <m/>
    <m/>
    <m/>
    <m/>
    <m/>
    <m/>
    <m/>
    <m/>
    <m/>
    <m/>
    <m/>
    <n v="0"/>
    <n v="0"/>
    <n v="0"/>
    <n v="0"/>
    <n v="0"/>
    <n v="0"/>
    <n v="38"/>
    <n v="38"/>
  </r>
  <r>
    <x v="266"/>
    <n v="5292"/>
    <n v="5138"/>
    <n v="40.840000000000003"/>
    <n v="35.200000000000003"/>
    <m/>
    <m/>
    <m/>
    <n v="5138"/>
    <m/>
    <m/>
    <m/>
    <n v="2098.3592000000003"/>
    <n v="1808.576"/>
    <n v="0"/>
    <n v="0"/>
    <n v="0"/>
    <n v="0"/>
    <n v="38"/>
    <n v="39"/>
  </r>
  <r>
    <x v="267"/>
    <n v="5662"/>
    <n v="5497"/>
    <n v="44.44"/>
    <n v="34.549999999999997"/>
    <n v="5020"/>
    <n v="40.590000000000003"/>
    <n v="33.28"/>
    <n v="5635"/>
    <n v="640.41"/>
    <n v="51.25"/>
    <n v="25.61"/>
    <n v="2442.8667999999998"/>
    <n v="1899.2134999999998"/>
    <n v="203761.80000000002"/>
    <n v="1670.6559999999999"/>
    <n v="328.21012499999995"/>
    <n v="164.00900099999998"/>
    <n v="39"/>
    <n v="39"/>
  </r>
  <r>
    <x v="268"/>
    <n v="4970"/>
    <n v="4825"/>
    <n v="42.03"/>
    <n v="35.299999999999997"/>
    <n v="5025"/>
    <n v="40.39"/>
    <n v="33.47"/>
    <n v="5460"/>
    <n v="626.65"/>
    <n v="52.12"/>
    <n v="28.05"/>
    <n v="2027.9475"/>
    <n v="1703.2249999999999"/>
    <n v="202959.75"/>
    <n v="1681.8675000000001"/>
    <n v="326.60997999999995"/>
    <n v="175.77532500000001"/>
    <n v="39"/>
    <n v="39"/>
  </r>
  <r>
    <x v="269"/>
    <n v="5312"/>
    <n v="5157"/>
    <n v="46.08"/>
    <n v="36.61"/>
    <n v="5021"/>
    <n v="42.01"/>
    <n v="34.369999999999997"/>
    <n v="5617"/>
    <n v="617.83000000000004"/>
    <n v="52.8"/>
    <n v="27.07"/>
    <n v="2376.3456000000001"/>
    <n v="1887.9776999999999"/>
    <n v="210932.21"/>
    <n v="1725.7176999999999"/>
    <n v="326.21424000000002"/>
    <n v="167.24658099999999"/>
    <n v="39"/>
    <n v="39"/>
  </r>
  <r>
    <x v="270"/>
    <n v="5263"/>
    <n v="5110"/>
    <n v="41.08"/>
    <n v="35.32"/>
    <n v="5029"/>
    <n v="40.98"/>
    <n v="34.200000000000003"/>
    <n v="5727"/>
    <n v="620.45000000000005"/>
    <n v="53.1"/>
    <n v="27.01"/>
    <n v="2099.1880000000001"/>
    <n v="1804.8520000000001"/>
    <n v="206088.41999999998"/>
    <n v="1719.9180000000001"/>
    <n v="329.45895000000002"/>
    <n v="167.58354500000002"/>
    <n v="39"/>
    <n v="39"/>
  </r>
  <r>
    <x v="271"/>
    <m/>
    <m/>
    <m/>
    <m/>
    <n v="5753"/>
    <n v="40.950000000000003"/>
    <n v="33.950000000000003"/>
    <m/>
    <n v="732.54"/>
    <n v="51.63"/>
    <n v="26.28"/>
    <n v="0"/>
    <n v="0"/>
    <n v="235585.35"/>
    <n v="1953.1435000000001"/>
    <n v="378.21040200000004"/>
    <n v="192.51151200000001"/>
    <n v="39"/>
    <n v="39"/>
  </r>
  <r>
    <x v="272"/>
    <m/>
    <m/>
    <m/>
    <m/>
    <m/>
    <m/>
    <m/>
    <m/>
    <m/>
    <m/>
    <m/>
    <n v="0"/>
    <n v="0"/>
    <n v="0"/>
    <n v="0"/>
    <n v="0"/>
    <n v="0"/>
    <n v="39"/>
    <n v="39"/>
  </r>
  <r>
    <x v="273"/>
    <n v="4469"/>
    <n v="4339"/>
    <n v="42.66"/>
    <n v="37.409999999999997"/>
    <m/>
    <m/>
    <m/>
    <n v="4339"/>
    <m/>
    <m/>
    <m/>
    <n v="1851.0174"/>
    <n v="1623.2198999999998"/>
    <n v="0"/>
    <n v="0"/>
    <n v="0"/>
    <n v="0"/>
    <n v="39"/>
    <n v="40"/>
  </r>
  <r>
    <x v="274"/>
    <n v="5334"/>
    <n v="5179"/>
    <n v="42.37"/>
    <n v="36.42"/>
    <n v="5021"/>
    <n v="40.43"/>
    <n v="35.200000000000003"/>
    <n v="4518"/>
    <n v="625.36"/>
    <n v="52.55"/>
    <n v="25.91"/>
    <n v="2194.3422999999998"/>
    <n v="1886.1918000000003"/>
    <n v="202999.03"/>
    <n v="1767.3920000000001"/>
    <n v="328.62667999999996"/>
    <n v="162.030776"/>
    <n v="40"/>
    <n v="40"/>
  </r>
  <r>
    <x v="275"/>
    <n v="5231"/>
    <n v="5079"/>
    <n v="43.8"/>
    <n v="37.68"/>
    <n v="5030"/>
    <n v="41.32"/>
    <n v="35.979999999999997"/>
    <n v="4597"/>
    <n v="602.30999999999995"/>
    <n v="54.17"/>
    <n v="27.61"/>
    <n v="2224.6019999999999"/>
    <n v="1913.7672"/>
    <n v="207839.6"/>
    <n v="1809.7939999999999"/>
    <n v="326.27132699999999"/>
    <n v="166.29779099999999"/>
    <n v="40"/>
    <n v="40"/>
  </r>
  <r>
    <x v="276"/>
    <n v="5492"/>
    <n v="5332"/>
    <n v="43.2"/>
    <n v="34.200000000000003"/>
    <n v="5024"/>
    <n v="41.26"/>
    <n v="33.97"/>
    <n v="4929"/>
    <n v="628.73"/>
    <n v="52.34"/>
    <n v="26.24"/>
    <n v="2303.4240000000004"/>
    <n v="1823.5440000000003"/>
    <n v="207290.23999999999"/>
    <n v="1706.6528000000001"/>
    <n v="329.07728200000003"/>
    <n v="164.97875199999999"/>
    <n v="40"/>
    <n v="40"/>
  </r>
  <r>
    <x v="277"/>
    <n v="5210"/>
    <n v="5058"/>
    <n v="42.83"/>
    <n v="34.69"/>
    <n v="5018"/>
    <n v="41.01"/>
    <n v="33.08"/>
    <n v="4987"/>
    <n v="636.87"/>
    <n v="50.53"/>
    <n v="26.47"/>
    <n v="2166.3413999999998"/>
    <n v="1754.6201999999998"/>
    <n v="205788.18"/>
    <n v="1659.9544000000001"/>
    <n v="321.81041100000004"/>
    <n v="168.579489"/>
    <n v="40"/>
    <n v="40"/>
  </r>
  <r>
    <x v="278"/>
    <m/>
    <m/>
    <m/>
    <m/>
    <n v="5013"/>
    <n v="40.9"/>
    <n v="33.71"/>
    <m/>
    <n v="618.78"/>
    <n v="52.86"/>
    <n v="27.41"/>
    <n v="0"/>
    <n v="0"/>
    <n v="205031.69999999998"/>
    <n v="1689.8823000000002"/>
    <n v="327.08710799999994"/>
    <n v="169.607598"/>
    <n v="40"/>
    <n v="40"/>
  </r>
  <r>
    <x v="279"/>
    <m/>
    <m/>
    <m/>
    <m/>
    <m/>
    <m/>
    <m/>
    <m/>
    <m/>
    <m/>
    <m/>
    <n v="0"/>
    <n v="0"/>
    <n v="0"/>
    <n v="0"/>
    <n v="0"/>
    <n v="0"/>
    <n v="40"/>
    <n v="40"/>
  </r>
  <r>
    <x v="280"/>
    <n v="5335"/>
    <n v="5180"/>
    <n v="39.83"/>
    <n v="37.79"/>
    <m/>
    <m/>
    <m/>
    <n v="5180"/>
    <m/>
    <m/>
    <m/>
    <n v="2063.194"/>
    <n v="1957.5219999999999"/>
    <n v="0"/>
    <n v="0"/>
    <n v="0"/>
    <n v="0"/>
    <n v="40"/>
    <n v="41"/>
  </r>
  <r>
    <x v="281"/>
    <n v="5681"/>
    <n v="5516"/>
    <n v="39.32"/>
    <n v="35.01"/>
    <n v="5022"/>
    <n v="37.67"/>
    <n v="34.79"/>
    <n v="5696"/>
    <n v="628.78"/>
    <n v="52.02"/>
    <n v="27.55"/>
    <n v="2168.8912"/>
    <n v="1931.1516000000001"/>
    <n v="189178.74000000002"/>
    <n v="1747.1538"/>
    <n v="327.09135600000002"/>
    <n v="173.22888999999998"/>
    <n v="41"/>
    <n v="41"/>
  </r>
  <r>
    <x v="282"/>
    <n v="5862"/>
    <n v="5691"/>
    <n v="44.92"/>
    <n v="35.31"/>
    <n v="5026"/>
    <n v="40.340000000000003"/>
    <n v="34.5"/>
    <n v="6387"/>
    <n v="616.87"/>
    <n v="52.61"/>
    <n v="27.34"/>
    <n v="2556.3971999999999"/>
    <n v="2009.4921000000002"/>
    <n v="202748.84000000003"/>
    <n v="1733.97"/>
    <n v="324.53530699999999"/>
    <n v="168.65225799999999"/>
    <n v="41"/>
    <n v="41"/>
  </r>
  <r>
    <x v="283"/>
    <n v="5491"/>
    <n v="5331"/>
    <n v="42.25"/>
    <n v="35.01"/>
    <n v="5014"/>
    <n v="40.33"/>
    <n v="33.78"/>
    <n v="6718"/>
    <n v="619.27"/>
    <n v="52.94"/>
    <n v="27.21"/>
    <n v="2252.3474999999999"/>
    <n v="1866.3831"/>
    <n v="202214.62"/>
    <n v="1693.7292000000002"/>
    <n v="327.84153800000001"/>
    <n v="168.503367"/>
    <n v="41"/>
    <n v="41"/>
  </r>
  <r>
    <x v="284"/>
    <n v="5587"/>
    <n v="5424"/>
    <n v="41.94"/>
    <n v="35.6"/>
    <n v="5020"/>
    <n v="40.15"/>
    <n v="34.119999999999997"/>
    <n v="7142"/>
    <n v="606.51"/>
    <n v="54.28"/>
    <n v="27.65"/>
    <n v="2274.8256000000001"/>
    <n v="1930.944"/>
    <n v="201553"/>
    <n v="1712.8239999999998"/>
    <n v="329.21362800000003"/>
    <n v="167.70001499999998"/>
    <n v="41"/>
    <n v="41"/>
  </r>
  <r>
    <x v="285"/>
    <m/>
    <m/>
    <m/>
    <m/>
    <n v="7163"/>
    <n v="40.46"/>
    <n v="33.86"/>
    <m/>
    <n v="940.29"/>
    <n v="49.43"/>
    <n v="25.45"/>
    <n v="0"/>
    <n v="0"/>
    <n v="289814.98"/>
    <n v="2425.3917999999999"/>
    <n v="464.78534699999994"/>
    <n v="239.30380499999998"/>
    <n v="41"/>
    <n v="41"/>
  </r>
  <r>
    <x v="286"/>
    <m/>
    <m/>
    <m/>
    <m/>
    <m/>
    <m/>
    <m/>
    <m/>
    <m/>
    <m/>
    <m/>
    <n v="0"/>
    <n v="0"/>
    <n v="0"/>
    <n v="0"/>
    <n v="0"/>
    <n v="0"/>
    <n v="41"/>
    <n v="41"/>
  </r>
  <r>
    <x v="287"/>
    <n v="5033"/>
    <n v="4886"/>
    <n v="40.86"/>
    <n v="35.78"/>
    <m/>
    <m/>
    <m/>
    <n v="4886"/>
    <m/>
    <m/>
    <m/>
    <n v="1996.4195999999999"/>
    <n v="1748.2108000000001"/>
    <n v="0"/>
    <n v="0"/>
    <n v="0"/>
    <n v="0"/>
    <n v="41"/>
    <n v="42"/>
  </r>
  <r>
    <x v="288"/>
    <n v="4760"/>
    <n v="4621"/>
    <n v="42.48"/>
    <n v="36.83"/>
    <n v="5026"/>
    <n v="39.67"/>
    <n v="34.78"/>
    <n v="4507"/>
    <n v="605.20000000000005"/>
    <n v="54.38"/>
    <n v="27.33"/>
    <n v="1963.0007999999998"/>
    <n v="1701.9142999999999"/>
    <n v="199381.42"/>
    <n v="1748.0427999999999"/>
    <n v="329.10776000000004"/>
    <n v="165.40116"/>
    <n v="42"/>
    <n v="42"/>
  </r>
  <r>
    <x v="289"/>
    <n v="4826"/>
    <n v="4685"/>
    <n v="40.98"/>
    <n v="35.32"/>
    <n v="5022"/>
    <n v="39.24"/>
    <n v="34.21"/>
    <n v="4192"/>
    <n v="633.1"/>
    <n v="51.42"/>
    <n v="25.78"/>
    <n v="1919.9129999999998"/>
    <n v="1654.7420000000002"/>
    <n v="197063.28"/>
    <n v="1718.0262"/>
    <n v="325.54002000000003"/>
    <n v="163.21318000000002"/>
    <n v="42"/>
    <n v="42"/>
  </r>
  <r>
    <x v="290"/>
    <n v="4873"/>
    <n v="4731"/>
    <n v="41.87"/>
    <n v="36.6"/>
    <n v="5019"/>
    <n v="39.67"/>
    <n v="34.909999999999997"/>
    <n v="3923"/>
    <n v="623.75"/>
    <n v="52.71"/>
    <n v="26.8"/>
    <n v="1980.8697"/>
    <n v="1731.546"/>
    <n v="199103.73"/>
    <n v="1752.1328999999998"/>
    <n v="328.77862500000003"/>
    <n v="167.16499999999999"/>
    <n v="42"/>
    <n v="42"/>
  </r>
  <r>
    <x v="291"/>
    <n v="5228"/>
    <n v="5076"/>
    <n v="41.89"/>
    <n v="36.18"/>
    <n v="5029"/>
    <n v="39.65"/>
    <n v="34.79"/>
    <n v="3999"/>
    <n v="607.79"/>
    <n v="53.57"/>
    <n v="28.15"/>
    <n v="2126.3364000000001"/>
    <n v="1836.4967999999999"/>
    <n v="199399.85"/>
    <n v="1749.5891000000001"/>
    <n v="325.59310299999999"/>
    <n v="171.092885"/>
    <n v="42"/>
    <n v="42"/>
  </r>
  <r>
    <x v="292"/>
    <m/>
    <m/>
    <m/>
    <m/>
    <n v="4017"/>
    <n v="40.200000000000003"/>
    <n v="34.61"/>
    <m/>
    <n v="513.66"/>
    <n v="50.84"/>
    <n v="27.15"/>
    <n v="0"/>
    <n v="0"/>
    <n v="161483.40000000002"/>
    <n v="1390.2837"/>
    <n v="261.144744"/>
    <n v="139.45868999999999"/>
    <n v="42"/>
    <n v="42"/>
  </r>
  <r>
    <x v="293"/>
    <m/>
    <m/>
    <m/>
    <m/>
    <m/>
    <m/>
    <m/>
    <m/>
    <m/>
    <m/>
    <m/>
    <n v="0"/>
    <n v="0"/>
    <n v="0"/>
    <n v="0"/>
    <n v="0"/>
    <n v="0"/>
    <n v="42"/>
    <n v="42"/>
  </r>
  <r>
    <x v="294"/>
    <n v="5260"/>
    <n v="5107"/>
    <n v="42.32"/>
    <n v="36.409999999999997"/>
    <m/>
    <m/>
    <m/>
    <n v="5107"/>
    <m/>
    <m/>
    <m/>
    <n v="2161.2824000000001"/>
    <n v="1859.4586999999999"/>
    <n v="0"/>
    <n v="0"/>
    <n v="0"/>
    <n v="0"/>
    <n v="42"/>
    <n v="43"/>
  </r>
  <r>
    <x v="295"/>
    <n v="5184"/>
    <n v="5033"/>
    <n v="45.2"/>
    <n v="34.9"/>
    <n v="5028"/>
    <n v="41.35"/>
    <n v="34.33"/>
    <n v="5140"/>
    <n v="618.29"/>
    <n v="52.9"/>
    <n v="28.03"/>
    <n v="2274.9160000000002"/>
    <n v="1756.5169999999998"/>
    <n v="207907.80000000002"/>
    <n v="1726.1124"/>
    <n v="327.07540999999998"/>
    <n v="173.30668699999998"/>
    <n v="43"/>
    <n v="43"/>
  </r>
  <r>
    <x v="296"/>
    <n v="5073"/>
    <n v="4925"/>
    <n v="41.68"/>
    <n v="35.22"/>
    <n v="5028"/>
    <n v="40.31"/>
    <n v="33.590000000000003"/>
    <n v="5065"/>
    <n v="648.84"/>
    <n v="50.09"/>
    <n v="25.39"/>
    <n v="2052.7399999999998"/>
    <n v="1734.585"/>
    <n v="202678.68000000002"/>
    <n v="1688.9052000000001"/>
    <n v="325.00395600000002"/>
    <n v="164.74047600000003"/>
    <n v="43"/>
    <n v="43"/>
  </r>
  <r>
    <x v="297"/>
    <n v="5500"/>
    <n v="5340"/>
    <n v="44.31"/>
    <n v="35.880000000000003"/>
    <n v="5030"/>
    <n v="41.45"/>
    <n v="33.729999999999997"/>
    <n v="5405"/>
    <n v="638"/>
    <n v="51.27"/>
    <n v="26.52"/>
    <n v="2366.1540000000005"/>
    <n v="1915.9920000000002"/>
    <n v="208493.5"/>
    <n v="1696.6189999999999"/>
    <n v="327.1026"/>
    <n v="169.19759999999999"/>
    <n v="43"/>
    <n v="43"/>
  </r>
  <r>
    <x v="298"/>
    <n v="5140"/>
    <n v="4990"/>
    <n v="42.64"/>
    <n v="34.630000000000003"/>
    <n v="5028"/>
    <n v="40.93"/>
    <n v="33.42"/>
    <n v="5395"/>
    <n v="620.9"/>
    <n v="52.52"/>
    <n v="27.85"/>
    <n v="2127.7359999999999"/>
    <n v="1728.037"/>
    <n v="205796.04"/>
    <n v="1680.3576"/>
    <n v="326.09667999999999"/>
    <n v="172.92064999999999"/>
    <n v="43"/>
    <n v="43"/>
  </r>
  <r>
    <x v="299"/>
    <m/>
    <m/>
    <m/>
    <m/>
    <n v="5418"/>
    <n v="41.13"/>
    <n v="33.630000000000003"/>
    <m/>
    <n v="682.46"/>
    <n v="51.61"/>
    <n v="27.17"/>
    <n v="0"/>
    <n v="0"/>
    <n v="222842.34000000003"/>
    <n v="1822.0734000000002"/>
    <n v="352.21760599999999"/>
    <n v="185.42438200000001"/>
    <n v="43"/>
    <n v="43"/>
  </r>
  <r>
    <x v="300"/>
    <m/>
    <m/>
    <m/>
    <m/>
    <m/>
    <m/>
    <m/>
    <m/>
    <m/>
    <m/>
    <m/>
    <n v="0"/>
    <n v="0"/>
    <n v="0"/>
    <n v="0"/>
    <n v="0"/>
    <n v="0"/>
    <n v="43"/>
    <n v="43"/>
  </r>
  <r>
    <x v="301"/>
    <n v="5129"/>
    <n v="4980"/>
    <n v="42.82"/>
    <n v="38.36"/>
    <m/>
    <m/>
    <m/>
    <n v="4980"/>
    <m/>
    <m/>
    <m/>
    <n v="2132.4360000000001"/>
    <n v="1910.328"/>
    <n v="0"/>
    <n v="0"/>
    <n v="0"/>
    <n v="0"/>
    <n v="43"/>
    <n v="44"/>
  </r>
  <r>
    <x v="302"/>
    <n v="5165"/>
    <n v="5015"/>
    <n v="42"/>
    <n v="36.93"/>
    <n v="5022"/>
    <n v="40.58"/>
    <n v="36.03"/>
    <n v="4995"/>
    <n v="615.46"/>
    <n v="52.55"/>
    <n v="28.51"/>
    <n v="2106.3000000000002"/>
    <n v="1852.0395000000001"/>
    <n v="203792.75999999998"/>
    <n v="1809.4266"/>
    <n v="323.42422999999997"/>
    <n v="175.46764600000003"/>
    <n v="44"/>
    <n v="44"/>
  </r>
  <r>
    <x v="303"/>
    <n v="4993"/>
    <n v="4848"/>
    <n v="42"/>
    <n v="35.630000000000003"/>
    <n v="5035"/>
    <n v="40.65"/>
    <n v="34.99"/>
    <n v="4843"/>
    <n v="617.54999999999995"/>
    <n v="52.84"/>
    <n v="27.43"/>
    <n v="2036.16"/>
    <n v="1727.3424000000002"/>
    <n v="204672.75"/>
    <n v="1761.7465000000002"/>
    <n v="326.31342000000001"/>
    <n v="169.39396499999998"/>
    <n v="44"/>
    <n v="44"/>
  </r>
  <r>
    <x v="304"/>
    <n v="5009"/>
    <n v="4863"/>
    <n v="42.51"/>
    <n v="35"/>
    <n v="5016"/>
    <n v="40.36"/>
    <n v="34.42"/>
    <n v="4706"/>
    <n v="623.02"/>
    <n v="52.43"/>
    <n v="27.4"/>
    <n v="2067.2613000000001"/>
    <n v="1702.05"/>
    <n v="202445.76"/>
    <n v="1726.5072"/>
    <n v="326.64938599999999"/>
    <n v="170.70748"/>
    <n v="44"/>
    <n v="44"/>
  </r>
  <r>
    <x v="305"/>
    <n v="5416"/>
    <n v="5258"/>
    <n v="42.16"/>
    <n v="35.47"/>
    <n v="5021"/>
    <n v="40.119999999999997"/>
    <n v="34.08"/>
    <n v="4964"/>
    <n v="636.12"/>
    <n v="50.44"/>
    <n v="26.46"/>
    <n v="2216.7727999999997"/>
    <n v="1865.0125999999998"/>
    <n v="201442.52"/>
    <n v="1711.1568"/>
    <n v="320.85892799999999"/>
    <n v="168.317352"/>
    <n v="44"/>
    <n v="44"/>
  </r>
  <r>
    <x v="306"/>
    <m/>
    <m/>
    <m/>
    <m/>
    <n v="4989"/>
    <n v="40.76"/>
    <n v="33.82"/>
    <m/>
    <n v="608.71"/>
    <n v="52.94"/>
    <n v="27.5"/>
    <n v="0"/>
    <n v="0"/>
    <n v="203351.63999999998"/>
    <n v="1687.2798"/>
    <n v="322.25107400000002"/>
    <n v="167.39525"/>
    <n v="44"/>
    <n v="44"/>
  </r>
  <r>
    <x v="307"/>
    <m/>
    <m/>
    <m/>
    <m/>
    <m/>
    <m/>
    <m/>
    <m/>
    <m/>
    <m/>
    <m/>
    <n v="0"/>
    <n v="0"/>
    <n v="0"/>
    <n v="0"/>
    <n v="0"/>
    <n v="0"/>
    <n v="44"/>
    <n v="44"/>
  </r>
  <r>
    <x v="308"/>
    <n v="5366"/>
    <n v="5210"/>
    <n v="44.39"/>
    <n v="34.5"/>
    <m/>
    <m/>
    <m/>
    <n v="5210"/>
    <m/>
    <m/>
    <m/>
    <n v="2312.7190000000001"/>
    <n v="1797.45"/>
    <n v="0"/>
    <n v="0"/>
    <n v="0"/>
    <n v="0"/>
    <n v="44"/>
    <n v="45"/>
  </r>
  <r>
    <x v="309"/>
    <n v="5148"/>
    <n v="4998"/>
    <n v="45.25"/>
    <n v="35.97"/>
    <n v="5026"/>
    <n v="42.71"/>
    <n v="33.450000000000003"/>
    <n v="5208"/>
    <n v="634.64"/>
    <n v="51"/>
    <n v="26.62"/>
    <n v="2261.5949999999998"/>
    <n v="1797.7806"/>
    <n v="214660.46"/>
    <n v="1681.1970000000001"/>
    <n v="323.66640000000001"/>
    <n v="168.941168"/>
    <n v="45"/>
    <n v="45"/>
  </r>
  <r>
    <x v="310"/>
    <n v="5029"/>
    <n v="4883"/>
    <n v="39.92"/>
    <n v="34.840000000000003"/>
    <n v="5027"/>
    <n v="40.5"/>
    <n v="33.29"/>
    <n v="5091"/>
    <n v="637.29"/>
    <n v="51.75"/>
    <n v="26.09"/>
    <n v="1949.2936000000002"/>
    <n v="1701.2372000000003"/>
    <n v="203593.5"/>
    <n v="1673.4883"/>
    <n v="329.79757499999999"/>
    <n v="166.26896099999999"/>
    <n v="45"/>
    <n v="45"/>
  </r>
  <r>
    <x v="311"/>
    <n v="5351"/>
    <n v="5195"/>
    <n v="42.06"/>
    <n v="35.97"/>
    <n v="5031"/>
    <n v="40.369999999999997"/>
    <n v="33.590000000000003"/>
    <n v="5286"/>
    <n v="641.77"/>
    <n v="51.27"/>
    <n v="26.61"/>
    <n v="2185.0170000000003"/>
    <n v="1868.6415"/>
    <n v="203101.47"/>
    <n v="1689.9129"/>
    <n v="329.03547899999995"/>
    <n v="170.77499700000001"/>
    <n v="45"/>
    <n v="45"/>
  </r>
  <r>
    <x v="312"/>
    <n v="4921"/>
    <n v="4778"/>
    <n v="44.83"/>
    <n v="35.69"/>
    <n v="5021"/>
    <n v="41.45"/>
    <n v="33.729999999999997"/>
    <n v="5064"/>
    <n v="615.73"/>
    <n v="52.84"/>
    <n v="26.49"/>
    <n v="2141.9773999999998"/>
    <n v="1705.2681999999998"/>
    <n v="208120.45"/>
    <n v="1693.5832999999998"/>
    <n v="325.35173200000003"/>
    <n v="163.106877"/>
    <n v="45"/>
    <n v="45"/>
  </r>
  <r>
    <x v="313"/>
    <m/>
    <m/>
    <m/>
    <m/>
    <n v="5087"/>
    <n v="41.24"/>
    <n v="33.869999999999997"/>
    <m/>
    <n v="616.48"/>
    <n v="52.84"/>
    <n v="26.51"/>
    <n v="0"/>
    <n v="0"/>
    <n v="209787.88"/>
    <n v="1722.9668999999997"/>
    <n v="325.74803200000002"/>
    <n v="163.42884800000002"/>
    <n v="45"/>
    <n v="45"/>
  </r>
  <r>
    <x v="314"/>
    <m/>
    <m/>
    <m/>
    <m/>
    <m/>
    <m/>
    <m/>
    <m/>
    <m/>
    <m/>
    <m/>
    <n v="0"/>
    <n v="0"/>
    <n v="0"/>
    <n v="0"/>
    <n v="0"/>
    <n v="0"/>
    <n v="45"/>
    <n v="45"/>
  </r>
  <r>
    <x v="315"/>
    <n v="5129"/>
    <n v="4980"/>
    <n v="43.05"/>
    <n v="34.64"/>
    <m/>
    <m/>
    <m/>
    <n v="4980"/>
    <m/>
    <m/>
    <m/>
    <n v="2143.89"/>
    <n v="1725.0720000000001"/>
    <n v="0"/>
    <n v="0"/>
    <n v="0"/>
    <n v="0"/>
    <n v="45"/>
    <n v="46"/>
  </r>
  <r>
    <x v="316"/>
    <n v="5235"/>
    <n v="5083"/>
    <n v="40.46"/>
    <n v="35.57"/>
    <n v="5025"/>
    <n v="39.96"/>
    <n v="33.49"/>
    <n v="5063"/>
    <n v="641.04"/>
    <n v="51.2"/>
    <n v="26.66"/>
    <n v="2056.5817999999999"/>
    <n v="1808.0230999999999"/>
    <n v="200799"/>
    <n v="1682.8724999999999"/>
    <n v="328.21247999999997"/>
    <n v="170.90126399999997"/>
    <n v="46"/>
    <n v="46"/>
  </r>
  <r>
    <x v="317"/>
    <n v="5616"/>
    <n v="5452"/>
    <n v="43.22"/>
    <n v="34.049999999999997"/>
    <n v="5026"/>
    <n v="40.25"/>
    <n v="33.14"/>
    <n v="5515"/>
    <n v="630.75"/>
    <n v="52.25"/>
    <n v="27.55"/>
    <n v="2356.3544000000002"/>
    <n v="1856.4059999999997"/>
    <n v="202296.5"/>
    <n v="1665.6164000000001"/>
    <n v="329.56687499999998"/>
    <n v="173.77162500000003"/>
    <n v="46"/>
    <n v="46"/>
  </r>
  <r>
    <x v="318"/>
    <n v="5434"/>
    <n v="5276"/>
    <n v="40.71"/>
    <n v="39.130000000000003"/>
    <n v="5024"/>
    <n v="39.71"/>
    <n v="35.28"/>
    <n v="5791"/>
    <n v="634.94000000000005"/>
    <n v="51.33"/>
    <n v="26.77"/>
    <n v="2147.8595999999998"/>
    <n v="2064.4987999999998"/>
    <n v="199503.04"/>
    <n v="1772.4672"/>
    <n v="325.91470200000003"/>
    <n v="169.97343800000002"/>
    <n v="46"/>
    <n v="46"/>
  </r>
  <r>
    <x v="319"/>
    <n v="5182"/>
    <n v="5031"/>
    <n v="42.04"/>
    <n v="36.21"/>
    <n v="5026"/>
    <n v="40.159999999999997"/>
    <n v="34.659999999999997"/>
    <n v="5822"/>
    <n v="630.48"/>
    <n v="52.51"/>
    <n v="28.45"/>
    <n v="2115.0324000000001"/>
    <n v="1821.7251000000001"/>
    <n v="201844.15999999997"/>
    <n v="1742.0115999999998"/>
    <n v="331.06504800000005"/>
    <n v="179.37155999999999"/>
    <n v="46"/>
    <n v="46"/>
  </r>
  <r>
    <x v="320"/>
    <m/>
    <m/>
    <m/>
    <m/>
    <n v="5852"/>
    <n v="39.880000000000003"/>
    <n v="35.04"/>
    <m/>
    <n v="747.78"/>
    <n v="50.66"/>
    <n v="26.76"/>
    <n v="0"/>
    <n v="0"/>
    <n v="233377.76"/>
    <n v="2050.5407999999998"/>
    <n v="378.82534799999996"/>
    <n v="200.10592800000003"/>
    <n v="46"/>
    <n v="46"/>
  </r>
  <r>
    <x v="321"/>
    <m/>
    <m/>
    <m/>
    <m/>
    <m/>
    <m/>
    <m/>
    <m/>
    <m/>
    <m/>
    <m/>
    <n v="0"/>
    <n v="0"/>
    <n v="0"/>
    <n v="0"/>
    <n v="0"/>
    <n v="0"/>
    <n v="46"/>
    <n v="46"/>
  </r>
  <r>
    <x v="322"/>
    <n v="4694"/>
    <n v="4557"/>
    <n v="42.78"/>
    <n v="35.770000000000003"/>
    <m/>
    <m/>
    <m/>
    <n v="4557"/>
    <m/>
    <m/>
    <m/>
    <n v="1949.4846"/>
    <n v="1630.0389000000002"/>
    <n v="0"/>
    <n v="0"/>
    <n v="0"/>
    <n v="0"/>
    <n v="46"/>
    <n v="47"/>
  </r>
  <r>
    <x v="323"/>
    <n v="5473"/>
    <n v="5314"/>
    <n v="41.88"/>
    <n v="34.64"/>
    <n v="5020"/>
    <n v="40.200000000000003"/>
    <n v="33.74"/>
    <n v="4871"/>
    <n v="621.53"/>
    <n v="52.75"/>
    <n v="27.32"/>
    <n v="2225.5032000000001"/>
    <n v="1840.7695999999999"/>
    <n v="201804"/>
    <n v="1693.7480000000003"/>
    <n v="327.85707499999995"/>
    <n v="169.801996"/>
    <n v="47"/>
    <n v="47"/>
  </r>
  <r>
    <x v="324"/>
    <n v="4887"/>
    <n v="4745"/>
    <n v="39.729999999999997"/>
    <n v="35.85"/>
    <n v="5028"/>
    <n v="39.1"/>
    <n v="33.89"/>
    <n v="4616"/>
    <n v="642.97"/>
    <n v="51"/>
    <n v="26.52"/>
    <n v="1885.1884999999997"/>
    <n v="1701.0825"/>
    <n v="196594.80000000002"/>
    <n v="1703.9892000000002"/>
    <n v="327.91470000000004"/>
    <n v="170.51564399999998"/>
    <n v="47"/>
    <n v="47"/>
  </r>
  <r>
    <x v="325"/>
    <n v="4836"/>
    <n v="4695"/>
    <n v="40.61"/>
    <n v="35.200000000000003"/>
    <n v="5032"/>
    <n v="39.03"/>
    <n v="34.130000000000003"/>
    <n v="4311"/>
    <n v="653.83000000000004"/>
    <n v="49.84"/>
    <n v="26.63"/>
    <n v="1906.6395000000002"/>
    <n v="1652.64"/>
    <n v="196398.96"/>
    <n v="1717.4216000000001"/>
    <n v="325.86887200000007"/>
    <n v="174.11492900000002"/>
    <n v="47"/>
    <n v="47"/>
  </r>
  <r>
    <x v="326"/>
    <n v="4728"/>
    <n v="4590"/>
    <n v="41.85"/>
    <n v="34.909999999999997"/>
    <n v="5023"/>
    <n v="39.19"/>
    <n v="33.74"/>
    <n v="3901"/>
    <n v="649.9"/>
    <n v="50.5"/>
    <n v="26.34"/>
    <n v="1920.915"/>
    <n v="1602.3689999999999"/>
    <n v="196851.37"/>
    <n v="1694.7602000000002"/>
    <n v="328.19949999999994"/>
    <n v="171.18365999999997"/>
    <n v="47"/>
    <n v="47"/>
  </r>
  <r>
    <x v="327"/>
    <m/>
    <m/>
    <m/>
    <m/>
    <n v="3926"/>
    <n v="39.51"/>
    <n v="33.61"/>
    <m/>
    <n v="497.81"/>
    <n v="51.09"/>
    <n v="25.83"/>
    <n v="0"/>
    <n v="0"/>
    <n v="155116.25999999998"/>
    <n v="1319.5285999999999"/>
    <n v="254.331129"/>
    <n v="128.58432299999998"/>
    <n v="47"/>
    <n v="47"/>
  </r>
  <r>
    <x v="328"/>
    <m/>
    <m/>
    <m/>
    <m/>
    <m/>
    <m/>
    <m/>
    <m/>
    <m/>
    <m/>
    <m/>
    <n v="0"/>
    <n v="0"/>
    <n v="0"/>
    <n v="0"/>
    <n v="0"/>
    <n v="0"/>
    <n v="47"/>
    <n v="47"/>
  </r>
  <r>
    <x v="329"/>
    <n v="5194"/>
    <n v="5043"/>
    <n v="40.22"/>
    <n v="36.14"/>
    <m/>
    <m/>
    <m/>
    <n v="5043"/>
    <m/>
    <m/>
    <m/>
    <n v="2028.2945999999999"/>
    <n v="1822.5401999999999"/>
    <n v="0"/>
    <n v="0"/>
    <n v="0"/>
    <n v="0"/>
    <n v="47"/>
    <n v="48"/>
  </r>
  <r>
    <x v="330"/>
    <n v="4279"/>
    <n v="4154"/>
    <n v="41.48"/>
    <n v="34.72"/>
    <n v="5028"/>
    <n v="39.159999999999997"/>
    <n v="33.909999999999997"/>
    <n v="4197"/>
    <n v="651.95000000000005"/>
    <n v="50.54"/>
    <n v="26.23"/>
    <n v="1723.0791999999999"/>
    <n v="1442.2688000000001"/>
    <n v="196896.47999999998"/>
    <n v="1704.9947999999997"/>
    <n v="329.49552999999997"/>
    <n v="171.00648500000003"/>
    <n v="48"/>
    <n v="48"/>
  </r>
  <r>
    <x v="331"/>
    <n v="4981"/>
    <n v="4836"/>
    <n v="41.7"/>
    <n v="35.57"/>
    <n v="5024"/>
    <n v="39.26"/>
    <n v="34.17"/>
    <n v="4033"/>
    <n v="629.91"/>
    <n v="51.98"/>
    <n v="27.56"/>
    <n v="2016.6120000000001"/>
    <n v="1720.1651999999999"/>
    <n v="197242.23999999999"/>
    <n v="1716.7008000000001"/>
    <n v="327.42721799999998"/>
    <n v="173.603196"/>
    <n v="48"/>
    <n v="48"/>
  </r>
  <r>
    <x v="332"/>
    <n v="5102"/>
    <n v="4953"/>
    <n v="43.65"/>
    <n v="36.39"/>
    <n v="5033"/>
    <n v="40.700000000000003"/>
    <n v="34.15"/>
    <n v="3986"/>
    <n v="636.16"/>
    <n v="51.35"/>
    <n v="26.42"/>
    <n v="2161.9845"/>
    <n v="1802.3967000000002"/>
    <n v="204843.1"/>
    <n v="1718.7694999999999"/>
    <n v="326.66816"/>
    <n v="168.07347200000001"/>
    <n v="48"/>
    <n v="48"/>
  </r>
  <r>
    <x v="333"/>
    <n v="5081"/>
    <n v="4933"/>
    <n v="40.97"/>
    <n v="34.49"/>
    <n v="5023"/>
    <n v="40.1"/>
    <n v="33.369999999999997"/>
    <n v="3919"/>
    <n v="625.5"/>
    <n v="52.08"/>
    <n v="25.99"/>
    <n v="2021.0500999999997"/>
    <n v="1701.3917000000001"/>
    <n v="201422.30000000002"/>
    <n v="1676.1750999999997"/>
    <n v="325.76039999999995"/>
    <n v="162.56744999999998"/>
    <n v="48"/>
    <n v="48"/>
  </r>
  <r>
    <x v="334"/>
    <m/>
    <m/>
    <m/>
    <m/>
    <n v="3933"/>
    <n v="40.159999999999997"/>
    <n v="33.630000000000003"/>
    <m/>
    <n v="484.77"/>
    <n v="52.7"/>
    <n v="27.38"/>
    <n v="0"/>
    <n v="0"/>
    <n v="157949.28"/>
    <n v="1322.6679000000001"/>
    <n v="255.47379000000001"/>
    <n v="132.73002600000001"/>
    <n v="48"/>
    <n v="48"/>
  </r>
  <r>
    <x v="335"/>
    <m/>
    <m/>
    <m/>
    <m/>
    <m/>
    <m/>
    <m/>
    <m/>
    <m/>
    <m/>
    <m/>
    <n v="0"/>
    <n v="0"/>
    <n v="0"/>
    <n v="0"/>
    <n v="0"/>
    <n v="0"/>
    <n v="48"/>
    <n v="48"/>
  </r>
  <r>
    <x v="336"/>
    <n v="5452"/>
    <n v="5293"/>
    <n v="44.41"/>
    <n v="36.01"/>
    <m/>
    <m/>
    <m/>
    <n v="5293"/>
    <m/>
    <m/>
    <m/>
    <n v="2350.6212999999998"/>
    <n v="1906.0092999999999"/>
    <n v="0"/>
    <n v="0"/>
    <n v="0"/>
    <n v="0"/>
    <n v="48"/>
    <n v="49"/>
  </r>
  <r>
    <x v="337"/>
    <n v="5364"/>
    <n v="5208"/>
    <n v="45.4"/>
    <n v="34.57"/>
    <n v="5027"/>
    <n v="42.43"/>
    <n v="33.99"/>
    <n v="5501"/>
    <n v="635.79"/>
    <n v="51.55"/>
    <n v="26.39"/>
    <n v="2364.4319999999998"/>
    <n v="1800.4056"/>
    <n v="213295.61"/>
    <n v="1708.6773000000001"/>
    <n v="327.74974499999996"/>
    <n v="167.78498100000002"/>
    <n v="49"/>
    <n v="49"/>
  </r>
  <r>
    <x v="338"/>
    <n v="5132"/>
    <n v="4983"/>
    <n v="43.82"/>
    <n v="36.58"/>
    <n v="5038"/>
    <n v="42.33"/>
    <n v="34.159999999999997"/>
    <n v="5484"/>
    <n v="640"/>
    <n v="51.28"/>
    <n v="26.21"/>
    <n v="2183.5506"/>
    <n v="1822.7813999999998"/>
    <n v="213258.53999999998"/>
    <n v="1720.9807999999998"/>
    <n v="328.19199999999995"/>
    <n v="167.74400000000003"/>
    <n v="49"/>
    <n v="49"/>
  </r>
  <r>
    <x v="339"/>
    <n v="5069"/>
    <n v="4921"/>
    <n v="44.4"/>
    <n v="34.46"/>
    <n v="5025"/>
    <n v="42.39"/>
    <n v="33.770000000000003"/>
    <n v="5405"/>
    <n v="628.59"/>
    <n v="52.28"/>
    <n v="27.77"/>
    <n v="2184.924"/>
    <n v="1695.7766000000001"/>
    <n v="213009.75"/>
    <n v="1696.9425000000003"/>
    <n v="328.62685199999999"/>
    <n v="174.55944299999999"/>
    <n v="49"/>
    <n v="49"/>
  </r>
  <r>
    <x v="340"/>
    <n v="5064"/>
    <n v="4917"/>
    <n v="44.19"/>
    <n v="36.29"/>
    <n v="5029"/>
    <n v="42.24"/>
    <n v="34.01"/>
    <n v="5322"/>
    <n v="647.52"/>
    <n v="50.81"/>
    <n v="27.2"/>
    <n v="2172.8222999999998"/>
    <n v="1784.3792999999998"/>
    <n v="212424.96000000002"/>
    <n v="1710.3628999999999"/>
    <n v="329.00491200000005"/>
    <n v="176.12543999999997"/>
    <n v="49"/>
    <n v="49"/>
  </r>
  <r>
    <x v="341"/>
    <m/>
    <m/>
    <m/>
    <m/>
    <n v="5348"/>
    <n v="42.39"/>
    <n v="34.14"/>
    <m/>
    <n v="664.15"/>
    <n v="52.32"/>
    <n v="26.86"/>
    <n v="0"/>
    <n v="0"/>
    <n v="226701.72"/>
    <n v="1825.8072"/>
    <n v="347.48328000000004"/>
    <n v="178.39069000000001"/>
    <n v="49"/>
    <n v="49"/>
  </r>
  <r>
    <x v="342"/>
    <m/>
    <m/>
    <m/>
    <m/>
    <m/>
    <m/>
    <m/>
    <m/>
    <m/>
    <m/>
    <m/>
    <n v="0"/>
    <n v="0"/>
    <n v="0"/>
    <n v="0"/>
    <n v="0"/>
    <n v="0"/>
    <n v="49"/>
    <n v="49"/>
  </r>
  <r>
    <x v="343"/>
    <n v="5236"/>
    <n v="5083"/>
    <n v="44.17"/>
    <n v="35.869999999999997"/>
    <m/>
    <m/>
    <m/>
    <n v="5083"/>
    <m/>
    <m/>
    <m/>
    <n v="2245.1611000000003"/>
    <n v="1823.2720999999999"/>
    <n v="0"/>
    <n v="0"/>
    <n v="0"/>
    <n v="0"/>
    <n v="49"/>
    <n v="50"/>
  </r>
  <r>
    <x v="344"/>
    <n v="5673"/>
    <n v="5508"/>
    <n v="42.35"/>
    <n v="36.880000000000003"/>
    <n v="5022"/>
    <n v="41.5"/>
    <n v="34.65"/>
    <n v="5591"/>
    <n v="618.55999999999995"/>
    <n v="52.72"/>
    <n v="27.38"/>
    <n v="2332.6380000000004"/>
    <n v="2031.3504"/>
    <n v="208413"/>
    <n v="1740.1229999999998"/>
    <n v="326.10483199999993"/>
    <n v="169.36172799999997"/>
    <n v="50"/>
    <n v="50"/>
  </r>
  <r>
    <x v="345"/>
    <n v="4641"/>
    <n v="4506"/>
    <n v="41.46"/>
    <n v="36.1"/>
    <n v="5026"/>
    <n v="40.619999999999997"/>
    <n v="34.770000000000003"/>
    <n v="5097"/>
    <n v="645.77"/>
    <n v="50.29"/>
    <n v="25.8"/>
    <n v="1868.1876000000002"/>
    <n v="1626.6660000000002"/>
    <n v="204156.12"/>
    <n v="1747.5402000000001"/>
    <n v="324.75773299999997"/>
    <n v="166.60866000000001"/>
    <n v="50"/>
    <n v="50"/>
  </r>
  <r>
    <x v="346"/>
    <n v="4875"/>
    <n v="4733"/>
    <n v="44.66"/>
    <n v="33.92"/>
    <n v="5028"/>
    <n v="41.6"/>
    <n v="33.54"/>
    <n v="4830"/>
    <n v="642.59"/>
    <n v="50.94"/>
    <n v="26.65"/>
    <n v="2113.7577999999999"/>
    <n v="1605.4336000000001"/>
    <n v="209164.80000000002"/>
    <n v="1686.3912"/>
    <n v="327.33534600000002"/>
    <n v="171.250235"/>
    <n v="50"/>
    <n v="50"/>
  </r>
  <r>
    <x v="347"/>
    <n v="5273"/>
    <n v="5119"/>
    <n v="40.82"/>
    <n v="35.68"/>
    <n v="5027"/>
    <n v="40.53"/>
    <n v="33.69"/>
    <n v="4949"/>
    <n v="670.5"/>
    <n v="48.38"/>
    <n v="25.91"/>
    <n v="2089.5758000000001"/>
    <n v="1826.4592000000002"/>
    <n v="203744.31"/>
    <n v="1693.5962999999997"/>
    <n v="324.3879"/>
    <n v="173.72654999999997"/>
    <n v="50"/>
    <n v="50"/>
  </r>
  <r>
    <x v="348"/>
    <m/>
    <m/>
    <m/>
    <m/>
    <n v="4967"/>
    <n v="40.78"/>
    <n v="34.01"/>
    <m/>
    <n v="623.27"/>
    <n v="51.85"/>
    <n v="26.94"/>
    <n v="0"/>
    <n v="0"/>
    <n v="202554.26"/>
    <n v="1689.2766999999999"/>
    <n v="323.16549500000002"/>
    <n v="167.90893800000001"/>
    <n v="50"/>
    <n v="50"/>
  </r>
  <r>
    <x v="349"/>
    <m/>
    <m/>
    <m/>
    <m/>
    <m/>
    <m/>
    <m/>
    <m/>
    <m/>
    <m/>
    <m/>
    <n v="0"/>
    <n v="0"/>
    <n v="0"/>
    <n v="0"/>
    <n v="0"/>
    <n v="0"/>
    <n v="50"/>
    <n v="50"/>
  </r>
  <r>
    <x v="350"/>
    <n v="4850"/>
    <n v="4709"/>
    <n v="43.67"/>
    <n v="34.909999999999997"/>
    <m/>
    <m/>
    <m/>
    <n v="4709"/>
    <m/>
    <m/>
    <m/>
    <n v="2056.4202999999998"/>
    <n v="1643.9118999999998"/>
    <n v="0"/>
    <n v="0"/>
    <n v="0"/>
    <n v="0"/>
    <n v="50"/>
    <n v="51"/>
  </r>
  <r>
    <x v="351"/>
    <n v="4558"/>
    <n v="4425"/>
    <n v="43.54"/>
    <n v="34.96"/>
    <n v="5029"/>
    <n v="41.87"/>
    <n v="33.22"/>
    <n v="4134"/>
    <n v="625.09"/>
    <n v="52.67"/>
    <n v="27.12"/>
    <n v="1926.645"/>
    <n v="1546.98"/>
    <n v="210564.22999999998"/>
    <n v="1670.6338000000001"/>
    <n v="329.23490300000003"/>
    <n v="169.52440799999999"/>
    <n v="51"/>
    <n v="51"/>
  </r>
  <r>
    <x v="352"/>
    <n v="5383"/>
    <n v="5226"/>
    <n v="42.83"/>
    <n v="35.19"/>
    <n v="5025"/>
    <n v="41.16"/>
    <n v="33.36"/>
    <n v="4360"/>
    <n v="632.25"/>
    <n v="51.58"/>
    <n v="26.91"/>
    <n v="2238.2957999999999"/>
    <n v="1839.0294000000001"/>
    <n v="206828.99999999997"/>
    <n v="1676.34"/>
    <n v="326.11455000000001"/>
    <n v="170.138475"/>
    <n v="51"/>
    <n v="51"/>
  </r>
  <r>
    <x v="353"/>
    <n v="5145"/>
    <n v="4995"/>
    <n v="42.14"/>
    <n v="38.369999999999997"/>
    <n v="5033"/>
    <n v="40.64"/>
    <n v="35.06"/>
    <n v="4355"/>
    <n v="642.96"/>
    <n v="51.33"/>
    <n v="27.06"/>
    <n v="2104.893"/>
    <n v="1916.5815"/>
    <n v="204541.12"/>
    <n v="1764.5698000000002"/>
    <n v="330.03136799999999"/>
    <n v="173.98497599999999"/>
    <n v="51"/>
    <n v="51"/>
  </r>
  <r>
    <x v="354"/>
    <n v="4677"/>
    <n v="4541"/>
    <n v="42.63"/>
    <n v="38.99"/>
    <n v="5013"/>
    <n v="40.83"/>
    <n v="36.19"/>
    <n v="3896"/>
    <n v="624.92999999999995"/>
    <n v="51.85"/>
    <n v="26.44"/>
    <n v="1935.8283000000001"/>
    <n v="1770.5358999999999"/>
    <n v="204680.78999999998"/>
    <n v="1814.2047"/>
    <n v="324.02620499999995"/>
    <n v="165.231492"/>
    <n v="51"/>
    <n v="51"/>
  </r>
  <r>
    <x v="355"/>
    <m/>
    <m/>
    <m/>
    <m/>
    <n v="3918"/>
    <n v="40.53"/>
    <n v="36.159999999999997"/>
    <m/>
    <n v="508.42"/>
    <n v="50.21"/>
    <n v="26.24"/>
    <n v="0"/>
    <n v="0"/>
    <n v="158796.54"/>
    <n v="1416.7487999999998"/>
    <n v="255.27768200000003"/>
    <n v="133.40940800000001"/>
    <n v="51"/>
    <n v="51"/>
  </r>
  <r>
    <x v="356"/>
    <m/>
    <m/>
    <m/>
    <m/>
    <m/>
    <m/>
    <m/>
    <m/>
    <m/>
    <m/>
    <m/>
    <n v="0"/>
    <n v="0"/>
    <n v="0"/>
    <n v="0"/>
    <n v="0"/>
    <n v="0"/>
    <n v="51"/>
    <n v="51"/>
  </r>
  <r>
    <x v="357"/>
    <n v="5031"/>
    <n v="4884"/>
    <n v="40.85"/>
    <n v="34.49"/>
    <m/>
    <m/>
    <m/>
    <n v="4884"/>
    <m/>
    <m/>
    <m/>
    <n v="1995.114"/>
    <n v="1684.4916000000001"/>
    <n v="0"/>
    <n v="0"/>
    <n v="0"/>
    <n v="0"/>
    <n v="51"/>
    <n v="52"/>
  </r>
  <r>
    <x v="358"/>
    <n v="5499"/>
    <n v="5339"/>
    <n v="42.27"/>
    <n v="36.9"/>
    <n v="5017"/>
    <n v="39.76"/>
    <n v="34.67"/>
    <n v="5223"/>
    <n v="631.80999999999995"/>
    <n v="51.28"/>
    <n v="27.12"/>
    <n v="2256.7953000000002"/>
    <n v="1970.0910000000001"/>
    <n v="199475.91999999998"/>
    <n v="1739.3939"/>
    <n v="323.99216799999999"/>
    <n v="171.34687199999999"/>
    <n v="52"/>
    <n v="52"/>
  </r>
  <r>
    <x v="359"/>
    <n v="4992"/>
    <n v="4847"/>
    <n v="42.23"/>
    <n v="34.82"/>
    <n v="5033"/>
    <n v="40.08"/>
    <n v="33.76"/>
    <n v="5070"/>
    <n v="653.25"/>
    <n v="50.43"/>
    <n v="26.51"/>
    <n v="2046.8880999999999"/>
    <n v="1687.7254"/>
    <n v="201722.63999999998"/>
    <n v="1699.1407999999999"/>
    <n v="329.43397499999998"/>
    <n v="173.17657500000001"/>
    <n v="52"/>
    <n v="52"/>
  </r>
  <r>
    <x v="360"/>
    <n v="4668"/>
    <n v="4532"/>
    <n v="43.56"/>
    <n v="35.5"/>
    <n v="5015"/>
    <n v="41.05"/>
    <n v="33.659999999999997"/>
    <n v="4602"/>
    <n v="615.79"/>
    <n v="52.65"/>
    <n v="27.94"/>
    <n v="1974.1392000000001"/>
    <n v="1608.86"/>
    <n v="205865.75"/>
    <n v="1688.049"/>
    <n v="324.21343499999995"/>
    <n v="172.05172599999997"/>
    <n v="52"/>
    <n v="52"/>
  </r>
  <r>
    <x v="361"/>
    <n v="5238"/>
    <n v="5085"/>
    <n v="41.47"/>
    <n v="36.26"/>
    <n v="5027"/>
    <n v="40.08"/>
    <n v="34.39"/>
    <n v="4687"/>
    <n v="640.57000000000005"/>
    <n v="51.29"/>
    <n v="27.16"/>
    <n v="2108.7494999999999"/>
    <n v="1843.8209999999997"/>
    <n v="201482.16"/>
    <n v="1728.7853"/>
    <n v="328.54835299999996"/>
    <n v="173.978812"/>
    <n v="52"/>
    <n v="52"/>
  </r>
  <r>
    <x v="362"/>
    <m/>
    <m/>
    <m/>
    <m/>
    <n v="4708"/>
    <n v="40.44"/>
    <n v="34.119999999999997"/>
    <m/>
    <n v="584.87"/>
    <n v="52.23"/>
    <n v="27.73"/>
    <n v="0"/>
    <n v="0"/>
    <n v="190391.52"/>
    <n v="1606.3696"/>
    <n v="305.47760099999999"/>
    <n v="162.184451"/>
    <n v="52"/>
    <n v="52"/>
  </r>
  <r>
    <x v="363"/>
    <m/>
    <m/>
    <m/>
    <m/>
    <m/>
    <m/>
    <m/>
    <m/>
    <m/>
    <m/>
    <m/>
    <n v="0"/>
    <n v="0"/>
    <n v="0"/>
    <n v="0"/>
    <n v="0"/>
    <n v="0"/>
    <n v="52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8F149-C130-472B-A868-E1B9EB4C7E25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8" firstHeaderRow="0" firstDataRow="1" firstDataCol="1"/>
  <pivotFields count="23"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x="2"/>
        <item sd="0" x="3"/>
        <item t="default"/>
      </items>
    </pivotField>
  </pivotFields>
  <rowFields count="2">
    <field x="22"/>
    <field x="20"/>
  </rowFields>
  <rowItems count="15"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entrada_grasa_kg" fld="12" baseField="0" baseItem="0" numFmtId="164"/>
    <dataField name="Suma de cuba_fab_grasa_kg" fld="14" baseField="0" baseItem="0" numFmtId="164"/>
    <dataField name="Suma de queso_kg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C0C17-8164-4471-AD43-74C17C79B417}" name="Tabla1" displayName="Tabla1" ref="A1:T365" totalsRowShown="0">
  <autoFilter ref="A1:T365" xr:uid="{824C0C17-8164-4471-AD43-74C17C79B417}"/>
  <tableColumns count="20">
    <tableColumn id="1" xr3:uid="{99A0AE4C-39DD-400F-9F23-11CE96BF9E3F}" name="fecha" dataDxfId="8"/>
    <tableColumn id="2" xr3:uid="{411A109F-AD82-48BE-8350-D61F83D41937}" name="entrada_kg"/>
    <tableColumn id="3" xr3:uid="{C69C38D1-6673-4E9F-BC17-D7833BFA90F5}" name="entrada_litros"/>
    <tableColumn id="4" xr3:uid="{B6E5C5FF-909C-4581-8F09-5A4E147B48B0}" name="entrada_grasa_g_l"/>
    <tableColumn id="5" xr3:uid="{88FAAD0E-E148-47F1-8F19-D40306FBBDA5}" name="entrada_prot_g_l"/>
    <tableColumn id="6" xr3:uid="{D17D2DC1-13B9-4D3A-B166-5672CC4EE30A}" name="cuba_fab_litros"/>
    <tableColumn id="7" xr3:uid="{1266137A-5ACD-4F1A-974C-77B4DB5B22F2}" name="cuba_fab_grasa_g_l"/>
    <tableColumn id="8" xr3:uid="{35B2AD24-630F-4D47-8BE3-930AE2D77C40}" name="cuba_fab_prot_g_l"/>
    <tableColumn id="9" xr3:uid="{F9D683F1-2771-4235-AEB9-CE1F2F78931F}" name="stock_cierre_litros"/>
    <tableColumn id="10" xr3:uid="{B51DB935-E243-465E-BDEA-E25AE00CC453}" name="queso_kg"/>
    <tableColumn id="11" xr3:uid="{6174A9BE-B6ED-4AA1-A2B9-8D1113F62AA0}" name="queso_est_pct"/>
    <tableColumn id="12" xr3:uid="{2E9938F6-65FF-4F02-9B30-18956ED63255}" name="queso_mg_pct"/>
    <tableColumn id="13" xr3:uid="{BA3D3A7D-98AE-465A-A04F-EAFDC5620F57}" name="entrada_grasa_kg" dataDxfId="7">
      <calculatedColumnFormula>Tabla1[[#This Row],[entrada_litros]]*Tabla1[[#This Row],[entrada_grasa_g_l]]/100</calculatedColumnFormula>
    </tableColumn>
    <tableColumn id="14" xr3:uid="{ECAB9C49-9B80-4690-BDFB-33A5C9A5855F}" name="entrada_prot_kg" dataDxfId="6">
      <calculatedColumnFormula>Tabla1[[#This Row],[entrada_prot_g_l]]*Tabla1[[#This Row],[entrada_litros]]/100</calculatedColumnFormula>
    </tableColumn>
    <tableColumn id="15" xr3:uid="{3884887A-AFCB-466C-8516-33532C44D81A}" name="cuba_fab_grasa_kg" dataDxfId="5">
      <calculatedColumnFormula>Tabla1[[#This Row],[cuba_fab_litros]]*Tabla1[[#This Row],[cuba_fab_grasa_g_l]]</calculatedColumnFormula>
    </tableColumn>
    <tableColumn id="16" xr3:uid="{FE93E448-E7E3-4BAA-A21E-1C868C969B6B}" name="cuba_fab_prot_kg" dataDxfId="4">
      <calculatedColumnFormula>Tabla1[[#This Row],[cuba_fab_litros]]*Tabla1[[#This Row],[cuba_fab_prot_g_l]]/100</calculatedColumnFormula>
    </tableColumn>
    <tableColumn id="17" xr3:uid="{9E87A0D2-96E2-47CF-A557-DE77F5489569}" name="queso_est_kg" dataDxfId="3">
      <calculatedColumnFormula>Tabla1[[#This Row],[queso_kg]]*Tabla1[[#This Row],[queso_est_pct]]/100</calculatedColumnFormula>
    </tableColumn>
    <tableColumn id="18" xr3:uid="{7D142DE3-472E-4628-8F12-4F8CCEE02A8D}" name="queso_mg_kg" dataDxfId="2">
      <calculatedColumnFormula>Tabla1[[#This Row],[queso_kg]]*Tabla1[[#This Row],[queso_mg_pct]]/100</calculatedColumnFormula>
    </tableColumn>
    <tableColumn id="19" xr3:uid="{F125589E-13AA-49C5-84DE-A9D2D30D2458}" name="semanaISO" dataDxfId="1">
      <calculatedColumnFormula>_xlfn.ISOWEEKNUM(Tabla1[[#This Row],[fecha]])</calculatedColumnFormula>
    </tableColumn>
    <tableColumn id="20" xr3:uid="{3F3CA61F-0914-466B-ADEE-F97130995988}" name="se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027A-BFE5-48CE-AC49-A5B06ED264A4}">
  <dimension ref="A1:T365"/>
  <sheetViews>
    <sheetView tabSelected="1" topLeftCell="A2" workbookViewId="0">
      <selection activeCell="I31" sqref="I31"/>
    </sheetView>
  </sheetViews>
  <sheetFormatPr baseColWidth="10" defaultRowHeight="15" x14ac:dyDescent="0.25"/>
  <cols>
    <col min="2" max="2" width="12.85546875" customWidth="1"/>
    <col min="3" max="3" width="15.5703125" customWidth="1"/>
    <col min="4" max="4" width="18.85546875" customWidth="1"/>
    <col min="5" max="5" width="17.85546875" customWidth="1"/>
    <col min="6" max="6" width="16.7109375" customWidth="1"/>
    <col min="7" max="7" width="20" customWidth="1"/>
    <col min="8" max="8" width="19" customWidth="1"/>
    <col min="9" max="9" width="19.7109375" customWidth="1"/>
    <col min="10" max="10" width="11.5703125" customWidth="1"/>
    <col min="11" max="11" width="16.140625" customWidth="1"/>
    <col min="12" max="12" width="16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45291</v>
      </c>
      <c r="B2">
        <v>5224</v>
      </c>
      <c r="C2">
        <v>5072</v>
      </c>
      <c r="D2">
        <v>40.229999999999997</v>
      </c>
      <c r="E2">
        <v>35.67</v>
      </c>
      <c r="I2">
        <v>5072</v>
      </c>
      <c r="M2">
        <f>Tabla1[[#This Row],[entrada_litros]]*Tabla1[[#This Row],[entrada_grasa_g_l]]/100</f>
        <v>2040.4656</v>
      </c>
      <c r="N2">
        <f>Tabla1[[#This Row],[entrada_prot_g_l]]*Tabla1[[#This Row],[entrada_litros]]/100</f>
        <v>1809.1824000000001</v>
      </c>
      <c r="O2">
        <f>Tabla1[[#This Row],[cuba_fab_litros]]*Tabla1[[#This Row],[cuba_fab_grasa_g_l]]</f>
        <v>0</v>
      </c>
      <c r="P2">
        <f>Tabla1[[#This Row],[cuba_fab_litros]]*Tabla1[[#This Row],[cuba_fab_prot_g_l]]/100</f>
        <v>0</v>
      </c>
      <c r="Q2">
        <f>Tabla1[[#This Row],[queso_kg]]*Tabla1[[#This Row],[queso_est_pct]]/100</f>
        <v>0</v>
      </c>
      <c r="R2">
        <f>Tabla1[[#This Row],[queso_kg]]*Tabla1[[#This Row],[queso_mg_pct]]/100</f>
        <v>0</v>
      </c>
      <c r="S2">
        <f>_xlfn.ISOWEEKNUM(Tabla1[[#This Row],[fecha]])</f>
        <v>52</v>
      </c>
      <c r="T2">
        <v>1</v>
      </c>
    </row>
    <row r="3" spans="1:20" x14ac:dyDescent="0.25">
      <c r="A3" s="1">
        <v>45292</v>
      </c>
      <c r="B3">
        <v>5323</v>
      </c>
      <c r="C3">
        <v>5168</v>
      </c>
      <c r="D3">
        <v>42.5</v>
      </c>
      <c r="E3">
        <v>34.86</v>
      </c>
      <c r="F3">
        <v>5026</v>
      </c>
      <c r="G3">
        <v>39.79</v>
      </c>
      <c r="H3">
        <v>33.619999999999997</v>
      </c>
      <c r="I3">
        <v>5240</v>
      </c>
      <c r="J3">
        <v>633.41</v>
      </c>
      <c r="K3">
        <v>51.04</v>
      </c>
      <c r="L3">
        <v>27.14</v>
      </c>
      <c r="M3">
        <f>Tabla1[[#This Row],[entrada_litros]]*Tabla1[[#This Row],[entrada_grasa_g_l]]/100</f>
        <v>2196.4</v>
      </c>
      <c r="N3">
        <f>Tabla1[[#This Row],[entrada_prot_g_l]]*Tabla1[[#This Row],[entrada_litros]]/100</f>
        <v>1801.5648000000001</v>
      </c>
      <c r="O3">
        <f>Tabla1[[#This Row],[cuba_fab_litros]]*Tabla1[[#This Row],[cuba_fab_grasa_g_l]]</f>
        <v>199984.54</v>
      </c>
      <c r="P3">
        <f>Tabla1[[#This Row],[cuba_fab_litros]]*Tabla1[[#This Row],[cuba_fab_prot_g_l]]/100</f>
        <v>1689.7411999999999</v>
      </c>
      <c r="Q3">
        <f>Tabla1[[#This Row],[queso_kg]]*Tabla1[[#This Row],[queso_est_pct]]/100</f>
        <v>323.29246399999994</v>
      </c>
      <c r="R3">
        <f>Tabla1[[#This Row],[queso_kg]]*Tabla1[[#This Row],[queso_mg_pct]]/100</f>
        <v>171.90747400000001</v>
      </c>
      <c r="S3">
        <f>_xlfn.ISOWEEKNUM(Tabla1[[#This Row],[fecha]])</f>
        <v>1</v>
      </c>
      <c r="T3">
        <v>1</v>
      </c>
    </row>
    <row r="4" spans="1:20" x14ac:dyDescent="0.25">
      <c r="A4" s="1">
        <v>45293</v>
      </c>
      <c r="B4">
        <v>4626</v>
      </c>
      <c r="C4">
        <v>4491</v>
      </c>
      <c r="D4">
        <v>40.69</v>
      </c>
      <c r="E4">
        <v>36.1</v>
      </c>
      <c r="F4">
        <v>5022</v>
      </c>
      <c r="G4">
        <v>39.590000000000003</v>
      </c>
      <c r="H4">
        <v>33.659999999999997</v>
      </c>
      <c r="I4">
        <v>4731</v>
      </c>
      <c r="J4">
        <v>622.41999999999996</v>
      </c>
      <c r="K4">
        <v>52.27</v>
      </c>
      <c r="L4">
        <v>27.18</v>
      </c>
      <c r="M4">
        <f>Tabla1[[#This Row],[entrada_litros]]*Tabla1[[#This Row],[entrada_grasa_g_l]]/100</f>
        <v>1827.3878999999997</v>
      </c>
      <c r="N4">
        <f>Tabla1[[#This Row],[entrada_prot_g_l]]*Tabla1[[#This Row],[entrada_litros]]/100</f>
        <v>1621.251</v>
      </c>
      <c r="O4">
        <f>Tabla1[[#This Row],[cuba_fab_litros]]*Tabla1[[#This Row],[cuba_fab_grasa_g_l]]</f>
        <v>198820.98</v>
      </c>
      <c r="P4">
        <f>Tabla1[[#This Row],[cuba_fab_litros]]*Tabla1[[#This Row],[cuba_fab_prot_g_l]]/100</f>
        <v>1690.4051999999999</v>
      </c>
      <c r="Q4">
        <f>Tabla1[[#This Row],[queso_kg]]*Tabla1[[#This Row],[queso_est_pct]]/100</f>
        <v>325.33893399999999</v>
      </c>
      <c r="R4">
        <f>Tabla1[[#This Row],[queso_kg]]*Tabla1[[#This Row],[queso_mg_pct]]/100</f>
        <v>169.173756</v>
      </c>
      <c r="S4">
        <f>_xlfn.ISOWEEKNUM(Tabla1[[#This Row],[fecha]])</f>
        <v>1</v>
      </c>
      <c r="T4">
        <v>1</v>
      </c>
    </row>
    <row r="5" spans="1:20" x14ac:dyDescent="0.25">
      <c r="A5" s="1">
        <v>45294</v>
      </c>
      <c r="B5">
        <v>5142</v>
      </c>
      <c r="C5">
        <v>4992</v>
      </c>
      <c r="D5">
        <v>38.380000000000003</v>
      </c>
      <c r="E5">
        <v>34.46</v>
      </c>
      <c r="F5">
        <v>5030</v>
      </c>
      <c r="G5">
        <v>37.590000000000003</v>
      </c>
      <c r="H5">
        <v>33.479999999999997</v>
      </c>
      <c r="I5">
        <v>4723</v>
      </c>
      <c r="J5">
        <v>636.66999999999996</v>
      </c>
      <c r="K5">
        <v>51.56</v>
      </c>
      <c r="L5">
        <v>26.14</v>
      </c>
      <c r="M5">
        <f>Tabla1[[#This Row],[entrada_litros]]*Tabla1[[#This Row],[entrada_grasa_g_l]]/100</f>
        <v>1915.9296000000002</v>
      </c>
      <c r="N5">
        <f>Tabla1[[#This Row],[entrada_prot_g_l]]*Tabla1[[#This Row],[entrada_litros]]/100</f>
        <v>1720.2432000000001</v>
      </c>
      <c r="O5">
        <f>Tabla1[[#This Row],[cuba_fab_litros]]*Tabla1[[#This Row],[cuba_fab_grasa_g_l]]</f>
        <v>189077.7</v>
      </c>
      <c r="P5">
        <f>Tabla1[[#This Row],[cuba_fab_litros]]*Tabla1[[#This Row],[cuba_fab_prot_g_l]]/100</f>
        <v>1684.0439999999999</v>
      </c>
      <c r="Q5">
        <f>Tabla1[[#This Row],[queso_kg]]*Tabla1[[#This Row],[queso_est_pct]]/100</f>
        <v>328.26705199999998</v>
      </c>
      <c r="R5">
        <f>Tabla1[[#This Row],[queso_kg]]*Tabla1[[#This Row],[queso_mg_pct]]/100</f>
        <v>166.42553799999999</v>
      </c>
      <c r="S5">
        <f>_xlfn.ISOWEEKNUM(Tabla1[[#This Row],[fecha]])</f>
        <v>1</v>
      </c>
      <c r="T5">
        <v>1</v>
      </c>
    </row>
    <row r="6" spans="1:20" x14ac:dyDescent="0.25">
      <c r="A6" s="1">
        <v>45295</v>
      </c>
      <c r="B6">
        <v>5603</v>
      </c>
      <c r="C6">
        <v>5440</v>
      </c>
      <c r="D6">
        <v>41.5</v>
      </c>
      <c r="E6">
        <v>36.340000000000003</v>
      </c>
      <c r="F6">
        <v>5024</v>
      </c>
      <c r="G6">
        <v>39.06</v>
      </c>
      <c r="H6">
        <v>34.11</v>
      </c>
      <c r="I6">
        <v>5163</v>
      </c>
      <c r="J6">
        <v>624.74</v>
      </c>
      <c r="K6">
        <v>52.46</v>
      </c>
      <c r="L6">
        <v>27.55</v>
      </c>
      <c r="M6">
        <f>Tabla1[[#This Row],[entrada_litros]]*Tabla1[[#This Row],[entrada_grasa_g_l]]/100</f>
        <v>2257.6</v>
      </c>
      <c r="N6">
        <f>Tabla1[[#This Row],[entrada_prot_g_l]]*Tabla1[[#This Row],[entrada_litros]]/100</f>
        <v>1976.896</v>
      </c>
      <c r="O6">
        <f>Tabla1[[#This Row],[cuba_fab_litros]]*Tabla1[[#This Row],[cuba_fab_grasa_g_l]]</f>
        <v>196237.44</v>
      </c>
      <c r="P6">
        <f>Tabla1[[#This Row],[cuba_fab_litros]]*Tabla1[[#This Row],[cuba_fab_prot_g_l]]/100</f>
        <v>1713.6863999999998</v>
      </c>
      <c r="Q6">
        <f>Tabla1[[#This Row],[queso_kg]]*Tabla1[[#This Row],[queso_est_pct]]/100</f>
        <v>327.73860399999995</v>
      </c>
      <c r="R6">
        <f>Tabla1[[#This Row],[queso_kg]]*Tabla1[[#This Row],[queso_mg_pct]]/100</f>
        <v>172.11587</v>
      </c>
      <c r="S6">
        <f>_xlfn.ISOWEEKNUM(Tabla1[[#This Row],[fecha]])</f>
        <v>1</v>
      </c>
      <c r="T6">
        <v>1</v>
      </c>
    </row>
    <row r="7" spans="1:20" x14ac:dyDescent="0.25">
      <c r="A7" s="1">
        <v>45296</v>
      </c>
      <c r="F7">
        <v>5185</v>
      </c>
      <c r="G7">
        <v>39.01</v>
      </c>
      <c r="H7">
        <v>33.92</v>
      </c>
      <c r="J7">
        <v>657.95</v>
      </c>
      <c r="K7">
        <v>50.95</v>
      </c>
      <c r="L7">
        <v>26.91</v>
      </c>
      <c r="M7">
        <f>Tabla1[[#This Row],[entrada_litros]]*Tabla1[[#This Row],[entrada_grasa_g_l]]/100</f>
        <v>0</v>
      </c>
      <c r="N7">
        <f>Tabla1[[#This Row],[entrada_prot_g_l]]*Tabla1[[#This Row],[entrada_litros]]/100</f>
        <v>0</v>
      </c>
      <c r="O7">
        <f>Tabla1[[#This Row],[cuba_fab_litros]]*Tabla1[[#This Row],[cuba_fab_grasa_g_l]]</f>
        <v>202266.84999999998</v>
      </c>
      <c r="P7">
        <f>Tabla1[[#This Row],[cuba_fab_litros]]*Tabla1[[#This Row],[cuba_fab_prot_g_l]]/100</f>
        <v>1758.7520000000002</v>
      </c>
      <c r="Q7">
        <f>Tabla1[[#This Row],[queso_kg]]*Tabla1[[#This Row],[queso_est_pct]]/100</f>
        <v>335.22552500000006</v>
      </c>
      <c r="R7">
        <f>Tabla1[[#This Row],[queso_kg]]*Tabla1[[#This Row],[queso_mg_pct]]/100</f>
        <v>177.05434500000004</v>
      </c>
      <c r="S7">
        <f>_xlfn.ISOWEEKNUM(Tabla1[[#This Row],[fecha]])</f>
        <v>1</v>
      </c>
      <c r="T7">
        <v>1</v>
      </c>
    </row>
    <row r="8" spans="1:20" x14ac:dyDescent="0.25">
      <c r="A8" s="1">
        <v>45297</v>
      </c>
      <c r="M8">
        <f>Tabla1[[#This Row],[entrada_litros]]*Tabla1[[#This Row],[entrada_grasa_g_l]]/100</f>
        <v>0</v>
      </c>
      <c r="N8">
        <f>Tabla1[[#This Row],[entrada_prot_g_l]]*Tabla1[[#This Row],[entrada_litros]]/100</f>
        <v>0</v>
      </c>
      <c r="O8">
        <f>Tabla1[[#This Row],[cuba_fab_litros]]*Tabla1[[#This Row],[cuba_fab_grasa_g_l]]</f>
        <v>0</v>
      </c>
      <c r="P8">
        <f>Tabla1[[#This Row],[cuba_fab_litros]]*Tabla1[[#This Row],[cuba_fab_prot_g_l]]/100</f>
        <v>0</v>
      </c>
      <c r="Q8">
        <f>Tabla1[[#This Row],[queso_kg]]*Tabla1[[#This Row],[queso_est_pct]]/100</f>
        <v>0</v>
      </c>
      <c r="R8">
        <f>Tabla1[[#This Row],[queso_kg]]*Tabla1[[#This Row],[queso_mg_pct]]/100</f>
        <v>0</v>
      </c>
      <c r="S8">
        <f>_xlfn.ISOWEEKNUM(Tabla1[[#This Row],[fecha]])</f>
        <v>1</v>
      </c>
      <c r="T8">
        <v>1</v>
      </c>
    </row>
    <row r="9" spans="1:20" x14ac:dyDescent="0.25">
      <c r="A9" s="1">
        <v>45298</v>
      </c>
      <c r="B9">
        <v>4685</v>
      </c>
      <c r="C9">
        <v>4549</v>
      </c>
      <c r="D9">
        <v>39.97</v>
      </c>
      <c r="E9">
        <v>36.79</v>
      </c>
      <c r="I9">
        <v>4549</v>
      </c>
      <c r="M9">
        <f>Tabla1[[#This Row],[entrada_litros]]*Tabla1[[#This Row],[entrada_grasa_g_l]]/100</f>
        <v>1818.2353000000001</v>
      </c>
      <c r="N9">
        <f>Tabla1[[#This Row],[entrada_prot_g_l]]*Tabla1[[#This Row],[entrada_litros]]/100</f>
        <v>1673.5771</v>
      </c>
      <c r="O9">
        <f>Tabla1[[#This Row],[cuba_fab_litros]]*Tabla1[[#This Row],[cuba_fab_grasa_g_l]]</f>
        <v>0</v>
      </c>
      <c r="P9">
        <f>Tabla1[[#This Row],[cuba_fab_litros]]*Tabla1[[#This Row],[cuba_fab_prot_g_l]]/100</f>
        <v>0</v>
      </c>
      <c r="Q9">
        <f>Tabla1[[#This Row],[queso_kg]]*Tabla1[[#This Row],[queso_est_pct]]/100</f>
        <v>0</v>
      </c>
      <c r="R9">
        <f>Tabla1[[#This Row],[queso_kg]]*Tabla1[[#This Row],[queso_mg_pct]]/100</f>
        <v>0</v>
      </c>
      <c r="S9">
        <f>_xlfn.ISOWEEKNUM(Tabla1[[#This Row],[fecha]])</f>
        <v>1</v>
      </c>
      <c r="T9">
        <v>2</v>
      </c>
    </row>
    <row r="10" spans="1:20" x14ac:dyDescent="0.25">
      <c r="A10" s="1">
        <v>45299</v>
      </c>
      <c r="B10">
        <v>5157</v>
      </c>
      <c r="C10">
        <v>5007</v>
      </c>
      <c r="D10">
        <v>42.91</v>
      </c>
      <c r="E10">
        <v>35.130000000000003</v>
      </c>
      <c r="F10">
        <v>5021</v>
      </c>
      <c r="G10">
        <v>39.729999999999997</v>
      </c>
      <c r="H10">
        <v>34.270000000000003</v>
      </c>
      <c r="I10">
        <v>4556</v>
      </c>
      <c r="J10">
        <v>625.29999999999995</v>
      </c>
      <c r="K10">
        <v>52.04</v>
      </c>
      <c r="L10">
        <v>27.05</v>
      </c>
      <c r="M10">
        <f>Tabla1[[#This Row],[entrada_litros]]*Tabla1[[#This Row],[entrada_grasa_g_l]]/100</f>
        <v>2148.5036999999998</v>
      </c>
      <c r="N10">
        <f>Tabla1[[#This Row],[entrada_prot_g_l]]*Tabla1[[#This Row],[entrada_litros]]/100</f>
        <v>1758.9591</v>
      </c>
      <c r="O10">
        <f>Tabla1[[#This Row],[cuba_fab_litros]]*Tabla1[[#This Row],[cuba_fab_grasa_g_l]]</f>
        <v>199484.33</v>
      </c>
      <c r="P10">
        <f>Tabla1[[#This Row],[cuba_fab_litros]]*Tabla1[[#This Row],[cuba_fab_prot_g_l]]/100</f>
        <v>1720.6967000000002</v>
      </c>
      <c r="Q10">
        <f>Tabla1[[#This Row],[queso_kg]]*Tabla1[[#This Row],[queso_est_pct]]/100</f>
        <v>325.40611999999999</v>
      </c>
      <c r="R10">
        <f>Tabla1[[#This Row],[queso_kg]]*Tabla1[[#This Row],[queso_mg_pct]]/100</f>
        <v>169.14364999999998</v>
      </c>
      <c r="S10">
        <f>_xlfn.ISOWEEKNUM(Tabla1[[#This Row],[fecha]])</f>
        <v>2</v>
      </c>
      <c r="T10">
        <v>2</v>
      </c>
    </row>
    <row r="11" spans="1:20" x14ac:dyDescent="0.25">
      <c r="A11" s="1">
        <v>45300</v>
      </c>
      <c r="B11">
        <v>5149</v>
      </c>
      <c r="C11">
        <v>4999</v>
      </c>
      <c r="D11">
        <v>43.41</v>
      </c>
      <c r="E11">
        <v>35.36</v>
      </c>
      <c r="F11">
        <v>5027</v>
      </c>
      <c r="G11">
        <v>40.86</v>
      </c>
      <c r="H11">
        <v>34.25</v>
      </c>
      <c r="I11">
        <v>4555</v>
      </c>
      <c r="J11">
        <v>630.48</v>
      </c>
      <c r="K11">
        <v>52.06</v>
      </c>
      <c r="L11">
        <v>26.45</v>
      </c>
      <c r="M11">
        <f>Tabla1[[#This Row],[entrada_litros]]*Tabla1[[#This Row],[entrada_grasa_g_l]]/100</f>
        <v>2170.0659000000001</v>
      </c>
      <c r="N11">
        <f>Tabla1[[#This Row],[entrada_prot_g_l]]*Tabla1[[#This Row],[entrada_litros]]/100</f>
        <v>1767.6463999999999</v>
      </c>
      <c r="O11">
        <f>Tabla1[[#This Row],[cuba_fab_litros]]*Tabla1[[#This Row],[cuba_fab_grasa_g_l]]</f>
        <v>205403.22</v>
      </c>
      <c r="P11">
        <f>Tabla1[[#This Row],[cuba_fab_litros]]*Tabla1[[#This Row],[cuba_fab_prot_g_l]]/100</f>
        <v>1721.7474999999999</v>
      </c>
      <c r="Q11">
        <f>Tabla1[[#This Row],[queso_kg]]*Tabla1[[#This Row],[queso_est_pct]]/100</f>
        <v>328.22788800000001</v>
      </c>
      <c r="R11">
        <f>Tabla1[[#This Row],[queso_kg]]*Tabla1[[#This Row],[queso_mg_pct]]/100</f>
        <v>166.76195999999999</v>
      </c>
      <c r="S11">
        <f>_xlfn.ISOWEEKNUM(Tabla1[[#This Row],[fecha]])</f>
        <v>2</v>
      </c>
      <c r="T11">
        <v>2</v>
      </c>
    </row>
    <row r="12" spans="1:20" x14ac:dyDescent="0.25">
      <c r="A12" s="1">
        <v>45301</v>
      </c>
      <c r="B12">
        <v>5089</v>
      </c>
      <c r="C12">
        <v>4941</v>
      </c>
      <c r="D12">
        <v>43.55</v>
      </c>
      <c r="E12">
        <v>36.32</v>
      </c>
      <c r="F12">
        <v>5007</v>
      </c>
      <c r="G12">
        <v>41.45</v>
      </c>
      <c r="H12">
        <v>34.67</v>
      </c>
      <c r="I12">
        <v>4496</v>
      </c>
      <c r="J12">
        <v>638.45000000000005</v>
      </c>
      <c r="K12">
        <v>50.88</v>
      </c>
      <c r="L12">
        <v>26.12</v>
      </c>
      <c r="M12">
        <f>Tabla1[[#This Row],[entrada_litros]]*Tabla1[[#This Row],[entrada_grasa_g_l]]/100</f>
        <v>2151.8054999999999</v>
      </c>
      <c r="N12">
        <f>Tabla1[[#This Row],[entrada_prot_g_l]]*Tabla1[[#This Row],[entrada_litros]]/100</f>
        <v>1794.5711999999999</v>
      </c>
      <c r="O12">
        <f>Tabla1[[#This Row],[cuba_fab_litros]]*Tabla1[[#This Row],[cuba_fab_grasa_g_l]]</f>
        <v>207540.15000000002</v>
      </c>
      <c r="P12">
        <f>Tabla1[[#This Row],[cuba_fab_litros]]*Tabla1[[#This Row],[cuba_fab_prot_g_l]]/100</f>
        <v>1735.9268999999999</v>
      </c>
      <c r="Q12">
        <f>Tabla1[[#This Row],[queso_kg]]*Tabla1[[#This Row],[queso_est_pct]]/100</f>
        <v>324.84336000000002</v>
      </c>
      <c r="R12">
        <f>Tabla1[[#This Row],[queso_kg]]*Tabla1[[#This Row],[queso_mg_pct]]/100</f>
        <v>166.76314000000002</v>
      </c>
      <c r="S12">
        <f>_xlfn.ISOWEEKNUM(Tabla1[[#This Row],[fecha]])</f>
        <v>2</v>
      </c>
      <c r="T12">
        <v>2</v>
      </c>
    </row>
    <row r="13" spans="1:20" x14ac:dyDescent="0.25">
      <c r="A13" s="1">
        <v>45302</v>
      </c>
      <c r="B13">
        <v>5033</v>
      </c>
      <c r="C13">
        <v>4886</v>
      </c>
      <c r="D13">
        <v>43.15</v>
      </c>
      <c r="E13">
        <v>34.770000000000003</v>
      </c>
      <c r="F13">
        <v>5022</v>
      </c>
      <c r="G13">
        <v>41.5</v>
      </c>
      <c r="H13">
        <v>33.83</v>
      </c>
      <c r="I13">
        <v>4382</v>
      </c>
      <c r="J13">
        <v>635.92999999999995</v>
      </c>
      <c r="K13">
        <v>51.33</v>
      </c>
      <c r="L13">
        <v>26.6</v>
      </c>
      <c r="M13">
        <f>Tabla1[[#This Row],[entrada_litros]]*Tabla1[[#This Row],[entrada_grasa_g_l]]/100</f>
        <v>2108.3089999999997</v>
      </c>
      <c r="N13">
        <f>Tabla1[[#This Row],[entrada_prot_g_l]]*Tabla1[[#This Row],[entrada_litros]]/100</f>
        <v>1698.8622</v>
      </c>
      <c r="O13">
        <f>Tabla1[[#This Row],[cuba_fab_litros]]*Tabla1[[#This Row],[cuba_fab_grasa_g_l]]</f>
        <v>208413</v>
      </c>
      <c r="P13">
        <f>Tabla1[[#This Row],[cuba_fab_litros]]*Tabla1[[#This Row],[cuba_fab_prot_g_l]]/100</f>
        <v>1698.9425999999999</v>
      </c>
      <c r="Q13">
        <f>Tabla1[[#This Row],[queso_kg]]*Tabla1[[#This Row],[queso_est_pct]]/100</f>
        <v>326.42286899999993</v>
      </c>
      <c r="R13">
        <f>Tabla1[[#This Row],[queso_kg]]*Tabla1[[#This Row],[queso_mg_pct]]/100</f>
        <v>169.15738000000002</v>
      </c>
      <c r="S13">
        <f>_xlfn.ISOWEEKNUM(Tabla1[[#This Row],[fecha]])</f>
        <v>2</v>
      </c>
      <c r="T13">
        <v>2</v>
      </c>
    </row>
    <row r="14" spans="1:20" x14ac:dyDescent="0.25">
      <c r="A14" s="1">
        <v>45303</v>
      </c>
      <c r="F14">
        <v>4405</v>
      </c>
      <c r="G14">
        <v>41.17</v>
      </c>
      <c r="H14">
        <v>33.75</v>
      </c>
      <c r="J14">
        <v>533.91</v>
      </c>
      <c r="K14">
        <v>53.55</v>
      </c>
      <c r="L14">
        <v>27.63</v>
      </c>
      <c r="M14">
        <f>Tabla1[[#This Row],[entrada_litros]]*Tabla1[[#This Row],[entrada_grasa_g_l]]/100</f>
        <v>0</v>
      </c>
      <c r="N14">
        <f>Tabla1[[#This Row],[entrada_prot_g_l]]*Tabla1[[#This Row],[entrada_litros]]/100</f>
        <v>0</v>
      </c>
      <c r="O14">
        <f>Tabla1[[#This Row],[cuba_fab_litros]]*Tabla1[[#This Row],[cuba_fab_grasa_g_l]]</f>
        <v>181353.85</v>
      </c>
      <c r="P14">
        <f>Tabla1[[#This Row],[cuba_fab_litros]]*Tabla1[[#This Row],[cuba_fab_prot_g_l]]/100</f>
        <v>1486.6875</v>
      </c>
      <c r="Q14">
        <f>Tabla1[[#This Row],[queso_kg]]*Tabla1[[#This Row],[queso_est_pct]]/100</f>
        <v>285.90880499999997</v>
      </c>
      <c r="R14">
        <f>Tabla1[[#This Row],[queso_kg]]*Tabla1[[#This Row],[queso_mg_pct]]/100</f>
        <v>147.51933299999999</v>
      </c>
      <c r="S14">
        <f>_xlfn.ISOWEEKNUM(Tabla1[[#This Row],[fecha]])</f>
        <v>2</v>
      </c>
      <c r="T14">
        <v>2</v>
      </c>
    </row>
    <row r="15" spans="1:20" x14ac:dyDescent="0.25">
      <c r="A15" s="1">
        <v>45304</v>
      </c>
      <c r="M15">
        <f>Tabla1[[#This Row],[entrada_litros]]*Tabla1[[#This Row],[entrada_grasa_g_l]]/100</f>
        <v>0</v>
      </c>
      <c r="N15">
        <f>Tabla1[[#This Row],[entrada_prot_g_l]]*Tabla1[[#This Row],[entrada_litros]]/100</f>
        <v>0</v>
      </c>
      <c r="O15">
        <f>Tabla1[[#This Row],[cuba_fab_litros]]*Tabla1[[#This Row],[cuba_fab_grasa_g_l]]</f>
        <v>0</v>
      </c>
      <c r="P15">
        <f>Tabla1[[#This Row],[cuba_fab_litros]]*Tabla1[[#This Row],[cuba_fab_prot_g_l]]/100</f>
        <v>0</v>
      </c>
      <c r="Q15">
        <f>Tabla1[[#This Row],[queso_kg]]*Tabla1[[#This Row],[queso_est_pct]]/100</f>
        <v>0</v>
      </c>
      <c r="R15">
        <f>Tabla1[[#This Row],[queso_kg]]*Tabla1[[#This Row],[queso_mg_pct]]/100</f>
        <v>0</v>
      </c>
      <c r="S15">
        <f>_xlfn.ISOWEEKNUM(Tabla1[[#This Row],[fecha]])</f>
        <v>2</v>
      </c>
      <c r="T15">
        <v>2</v>
      </c>
    </row>
    <row r="16" spans="1:20" x14ac:dyDescent="0.25">
      <c r="A16" s="1">
        <v>45305</v>
      </c>
      <c r="B16">
        <v>4925</v>
      </c>
      <c r="C16">
        <v>4782</v>
      </c>
      <c r="D16">
        <v>42.49</v>
      </c>
      <c r="E16">
        <v>36.61</v>
      </c>
      <c r="I16">
        <v>4782</v>
      </c>
      <c r="M16">
        <f>Tabla1[[#This Row],[entrada_litros]]*Tabla1[[#This Row],[entrada_grasa_g_l]]/100</f>
        <v>2031.8718000000001</v>
      </c>
      <c r="N16">
        <f>Tabla1[[#This Row],[entrada_prot_g_l]]*Tabla1[[#This Row],[entrada_litros]]/100</f>
        <v>1750.6902</v>
      </c>
      <c r="O16">
        <f>Tabla1[[#This Row],[cuba_fab_litros]]*Tabla1[[#This Row],[cuba_fab_grasa_g_l]]</f>
        <v>0</v>
      </c>
      <c r="P16">
        <f>Tabla1[[#This Row],[cuba_fab_litros]]*Tabla1[[#This Row],[cuba_fab_prot_g_l]]/100</f>
        <v>0</v>
      </c>
      <c r="Q16">
        <f>Tabla1[[#This Row],[queso_kg]]*Tabla1[[#This Row],[queso_est_pct]]/100</f>
        <v>0</v>
      </c>
      <c r="R16">
        <f>Tabla1[[#This Row],[queso_kg]]*Tabla1[[#This Row],[queso_mg_pct]]/100</f>
        <v>0</v>
      </c>
      <c r="S16">
        <f>_xlfn.ISOWEEKNUM(Tabla1[[#This Row],[fecha]])</f>
        <v>2</v>
      </c>
      <c r="T16">
        <v>3</v>
      </c>
    </row>
    <row r="17" spans="1:20" x14ac:dyDescent="0.25">
      <c r="A17" s="1">
        <v>45306</v>
      </c>
      <c r="B17">
        <v>5213</v>
      </c>
      <c r="C17">
        <v>5061</v>
      </c>
      <c r="D17">
        <v>42.49</v>
      </c>
      <c r="E17">
        <v>36.97</v>
      </c>
      <c r="F17">
        <v>5022</v>
      </c>
      <c r="G17">
        <v>40.36</v>
      </c>
      <c r="H17">
        <v>35.29</v>
      </c>
      <c r="I17">
        <v>4843</v>
      </c>
      <c r="J17">
        <v>626.62</v>
      </c>
      <c r="K17">
        <v>51.85</v>
      </c>
      <c r="L17">
        <v>26.8</v>
      </c>
      <c r="M17">
        <f>Tabla1[[#This Row],[entrada_litros]]*Tabla1[[#This Row],[entrada_grasa_g_l]]/100</f>
        <v>2150.4189000000001</v>
      </c>
      <c r="N17">
        <f>Tabla1[[#This Row],[entrada_prot_g_l]]*Tabla1[[#This Row],[entrada_litros]]/100</f>
        <v>1871.0516999999998</v>
      </c>
      <c r="O17">
        <f>Tabla1[[#This Row],[cuba_fab_litros]]*Tabla1[[#This Row],[cuba_fab_grasa_g_l]]</f>
        <v>202687.91999999998</v>
      </c>
      <c r="P17">
        <f>Tabla1[[#This Row],[cuba_fab_litros]]*Tabla1[[#This Row],[cuba_fab_prot_g_l]]/100</f>
        <v>1772.2637999999999</v>
      </c>
      <c r="Q17">
        <f>Tabla1[[#This Row],[queso_kg]]*Tabla1[[#This Row],[queso_est_pct]]/100</f>
        <v>324.90246999999999</v>
      </c>
      <c r="R17">
        <f>Tabla1[[#This Row],[queso_kg]]*Tabla1[[#This Row],[queso_mg_pct]]/100</f>
        <v>167.93416000000002</v>
      </c>
      <c r="S17">
        <f>_xlfn.ISOWEEKNUM(Tabla1[[#This Row],[fecha]])</f>
        <v>3</v>
      </c>
      <c r="T17">
        <v>3</v>
      </c>
    </row>
    <row r="18" spans="1:20" x14ac:dyDescent="0.25">
      <c r="A18" s="1">
        <v>45307</v>
      </c>
      <c r="B18">
        <v>4981</v>
      </c>
      <c r="C18">
        <v>4836</v>
      </c>
      <c r="D18">
        <v>42.47</v>
      </c>
      <c r="E18">
        <v>35.549999999999997</v>
      </c>
      <c r="F18">
        <v>5029</v>
      </c>
      <c r="G18">
        <v>40.83</v>
      </c>
      <c r="H18">
        <v>34.65</v>
      </c>
      <c r="I18">
        <v>4679</v>
      </c>
      <c r="J18">
        <v>644.38</v>
      </c>
      <c r="K18">
        <v>51.44</v>
      </c>
      <c r="L18">
        <v>27.29</v>
      </c>
      <c r="M18">
        <f>Tabla1[[#This Row],[entrada_litros]]*Tabla1[[#This Row],[entrada_grasa_g_l]]/100</f>
        <v>2053.8491999999997</v>
      </c>
      <c r="N18">
        <f>Tabla1[[#This Row],[entrada_prot_g_l]]*Tabla1[[#This Row],[entrada_litros]]/100</f>
        <v>1719.1979999999999</v>
      </c>
      <c r="O18">
        <f>Tabla1[[#This Row],[cuba_fab_litros]]*Tabla1[[#This Row],[cuba_fab_grasa_g_l]]</f>
        <v>205334.06999999998</v>
      </c>
      <c r="P18">
        <f>Tabla1[[#This Row],[cuba_fab_litros]]*Tabla1[[#This Row],[cuba_fab_prot_g_l]]/100</f>
        <v>1742.5485000000001</v>
      </c>
      <c r="Q18">
        <f>Tabla1[[#This Row],[queso_kg]]*Tabla1[[#This Row],[queso_est_pct]]/100</f>
        <v>331.46907200000004</v>
      </c>
      <c r="R18">
        <f>Tabla1[[#This Row],[queso_kg]]*Tabla1[[#This Row],[queso_mg_pct]]/100</f>
        <v>175.851302</v>
      </c>
      <c r="S18">
        <f>_xlfn.ISOWEEKNUM(Tabla1[[#This Row],[fecha]])</f>
        <v>3</v>
      </c>
      <c r="T18">
        <v>3</v>
      </c>
    </row>
    <row r="19" spans="1:20" x14ac:dyDescent="0.25">
      <c r="A19" s="1">
        <v>45308</v>
      </c>
      <c r="B19">
        <v>5252</v>
      </c>
      <c r="C19">
        <v>5099</v>
      </c>
      <c r="D19">
        <v>41.93</v>
      </c>
      <c r="E19">
        <v>35.67</v>
      </c>
      <c r="F19">
        <v>5023</v>
      </c>
      <c r="G19">
        <v>39.880000000000003</v>
      </c>
      <c r="H19">
        <v>34.520000000000003</v>
      </c>
      <c r="I19">
        <v>4778</v>
      </c>
      <c r="J19">
        <v>609.95000000000005</v>
      </c>
      <c r="K19">
        <v>53.6</v>
      </c>
      <c r="L19">
        <v>27.81</v>
      </c>
      <c r="M19">
        <f>Tabla1[[#This Row],[entrada_litros]]*Tabla1[[#This Row],[entrada_grasa_g_l]]/100</f>
        <v>2138.0107000000003</v>
      </c>
      <c r="N19">
        <f>Tabla1[[#This Row],[entrada_prot_g_l]]*Tabla1[[#This Row],[entrada_litros]]/100</f>
        <v>1818.8133000000003</v>
      </c>
      <c r="O19">
        <f>Tabla1[[#This Row],[cuba_fab_litros]]*Tabla1[[#This Row],[cuba_fab_grasa_g_l]]</f>
        <v>200317.24000000002</v>
      </c>
      <c r="P19">
        <f>Tabla1[[#This Row],[cuba_fab_litros]]*Tabla1[[#This Row],[cuba_fab_prot_g_l]]/100</f>
        <v>1733.9396000000002</v>
      </c>
      <c r="Q19">
        <f>Tabla1[[#This Row],[queso_kg]]*Tabla1[[#This Row],[queso_est_pct]]/100</f>
        <v>326.93320000000006</v>
      </c>
      <c r="R19">
        <f>Tabla1[[#This Row],[queso_kg]]*Tabla1[[#This Row],[queso_mg_pct]]/100</f>
        <v>169.627095</v>
      </c>
      <c r="S19">
        <f>_xlfn.ISOWEEKNUM(Tabla1[[#This Row],[fecha]])</f>
        <v>3</v>
      </c>
      <c r="T19">
        <v>3</v>
      </c>
    </row>
    <row r="20" spans="1:20" x14ac:dyDescent="0.25">
      <c r="A20" s="1">
        <v>45309</v>
      </c>
      <c r="B20">
        <v>5301</v>
      </c>
      <c r="C20">
        <v>5147</v>
      </c>
      <c r="D20">
        <v>43.52</v>
      </c>
      <c r="E20">
        <v>35.76</v>
      </c>
      <c r="F20">
        <v>5023</v>
      </c>
      <c r="G20">
        <v>41.34</v>
      </c>
      <c r="H20">
        <v>34.270000000000003</v>
      </c>
      <c r="I20">
        <v>4925</v>
      </c>
      <c r="J20">
        <v>604.37</v>
      </c>
      <c r="K20">
        <v>54.14</v>
      </c>
      <c r="L20">
        <v>27.15</v>
      </c>
      <c r="M20">
        <f>Tabla1[[#This Row],[entrada_litros]]*Tabla1[[#This Row],[entrada_grasa_g_l]]/100</f>
        <v>2239.9744000000001</v>
      </c>
      <c r="N20">
        <f>Tabla1[[#This Row],[entrada_prot_g_l]]*Tabla1[[#This Row],[entrada_litros]]/100</f>
        <v>1840.5672</v>
      </c>
      <c r="O20">
        <f>Tabla1[[#This Row],[cuba_fab_litros]]*Tabla1[[#This Row],[cuba_fab_grasa_g_l]]</f>
        <v>207650.82</v>
      </c>
      <c r="P20">
        <f>Tabla1[[#This Row],[cuba_fab_litros]]*Tabla1[[#This Row],[cuba_fab_prot_g_l]]/100</f>
        <v>1721.3821000000003</v>
      </c>
      <c r="Q20">
        <f>Tabla1[[#This Row],[queso_kg]]*Tabla1[[#This Row],[queso_est_pct]]/100</f>
        <v>327.205918</v>
      </c>
      <c r="R20">
        <f>Tabla1[[#This Row],[queso_kg]]*Tabla1[[#This Row],[queso_mg_pct]]/100</f>
        <v>164.086455</v>
      </c>
      <c r="S20">
        <f>_xlfn.ISOWEEKNUM(Tabla1[[#This Row],[fecha]])</f>
        <v>3</v>
      </c>
      <c r="T20">
        <v>3</v>
      </c>
    </row>
    <row r="21" spans="1:20" x14ac:dyDescent="0.25">
      <c r="A21" s="1">
        <v>45310</v>
      </c>
      <c r="F21">
        <v>4945</v>
      </c>
      <c r="G21">
        <v>41.04</v>
      </c>
      <c r="H21">
        <v>34.520000000000003</v>
      </c>
      <c r="J21">
        <v>632.57000000000005</v>
      </c>
      <c r="K21">
        <v>51.14</v>
      </c>
      <c r="L21">
        <v>26.51</v>
      </c>
      <c r="M21">
        <f>Tabla1[[#This Row],[entrada_litros]]*Tabla1[[#This Row],[entrada_grasa_g_l]]/100</f>
        <v>0</v>
      </c>
      <c r="N21">
        <f>Tabla1[[#This Row],[entrada_prot_g_l]]*Tabla1[[#This Row],[entrada_litros]]/100</f>
        <v>0</v>
      </c>
      <c r="O21">
        <f>Tabla1[[#This Row],[cuba_fab_litros]]*Tabla1[[#This Row],[cuba_fab_grasa_g_l]]</f>
        <v>202942.8</v>
      </c>
      <c r="P21">
        <f>Tabla1[[#This Row],[cuba_fab_litros]]*Tabla1[[#This Row],[cuba_fab_prot_g_l]]/100</f>
        <v>1707.0140000000001</v>
      </c>
      <c r="Q21">
        <f>Tabla1[[#This Row],[queso_kg]]*Tabla1[[#This Row],[queso_est_pct]]/100</f>
        <v>323.49629800000002</v>
      </c>
      <c r="R21">
        <f>Tabla1[[#This Row],[queso_kg]]*Tabla1[[#This Row],[queso_mg_pct]]/100</f>
        <v>167.69430700000001</v>
      </c>
      <c r="S21">
        <f>_xlfn.ISOWEEKNUM(Tabla1[[#This Row],[fecha]])</f>
        <v>3</v>
      </c>
      <c r="T21">
        <v>3</v>
      </c>
    </row>
    <row r="22" spans="1:20" x14ac:dyDescent="0.25">
      <c r="A22" s="1">
        <v>45311</v>
      </c>
      <c r="M22">
        <f>Tabla1[[#This Row],[entrada_litros]]*Tabla1[[#This Row],[entrada_grasa_g_l]]/100</f>
        <v>0</v>
      </c>
      <c r="N22">
        <f>Tabla1[[#This Row],[entrada_prot_g_l]]*Tabla1[[#This Row],[entrada_litros]]/100</f>
        <v>0</v>
      </c>
      <c r="O22">
        <f>Tabla1[[#This Row],[cuba_fab_litros]]*Tabla1[[#This Row],[cuba_fab_grasa_g_l]]</f>
        <v>0</v>
      </c>
      <c r="P22">
        <f>Tabla1[[#This Row],[cuba_fab_litros]]*Tabla1[[#This Row],[cuba_fab_prot_g_l]]/100</f>
        <v>0</v>
      </c>
      <c r="Q22">
        <f>Tabla1[[#This Row],[queso_kg]]*Tabla1[[#This Row],[queso_est_pct]]/100</f>
        <v>0</v>
      </c>
      <c r="R22">
        <f>Tabla1[[#This Row],[queso_kg]]*Tabla1[[#This Row],[queso_mg_pct]]/100</f>
        <v>0</v>
      </c>
      <c r="S22">
        <f>_xlfn.ISOWEEKNUM(Tabla1[[#This Row],[fecha]])</f>
        <v>3</v>
      </c>
      <c r="T22">
        <v>3</v>
      </c>
    </row>
    <row r="23" spans="1:20" x14ac:dyDescent="0.25">
      <c r="A23" s="1">
        <v>45312</v>
      </c>
      <c r="B23">
        <v>5343</v>
      </c>
      <c r="C23">
        <v>5187</v>
      </c>
      <c r="D23">
        <v>42.15</v>
      </c>
      <c r="E23">
        <v>33.43</v>
      </c>
      <c r="I23">
        <v>5187</v>
      </c>
      <c r="M23">
        <f>Tabla1[[#This Row],[entrada_litros]]*Tabla1[[#This Row],[entrada_grasa_g_l]]/100</f>
        <v>2186.3204999999998</v>
      </c>
      <c r="N23">
        <f>Tabla1[[#This Row],[entrada_prot_g_l]]*Tabla1[[#This Row],[entrada_litros]]/100</f>
        <v>1734.0141000000001</v>
      </c>
      <c r="O23">
        <f>Tabla1[[#This Row],[cuba_fab_litros]]*Tabla1[[#This Row],[cuba_fab_grasa_g_l]]</f>
        <v>0</v>
      </c>
      <c r="P23">
        <f>Tabla1[[#This Row],[cuba_fab_litros]]*Tabla1[[#This Row],[cuba_fab_prot_g_l]]/100</f>
        <v>0</v>
      </c>
      <c r="Q23">
        <f>Tabla1[[#This Row],[queso_kg]]*Tabla1[[#This Row],[queso_est_pct]]/100</f>
        <v>0</v>
      </c>
      <c r="R23">
        <f>Tabla1[[#This Row],[queso_kg]]*Tabla1[[#This Row],[queso_mg_pct]]/100</f>
        <v>0</v>
      </c>
      <c r="S23">
        <f>_xlfn.ISOWEEKNUM(Tabla1[[#This Row],[fecha]])</f>
        <v>3</v>
      </c>
      <c r="T23">
        <v>4</v>
      </c>
    </row>
    <row r="24" spans="1:20" x14ac:dyDescent="0.25">
      <c r="A24" s="1">
        <v>45313</v>
      </c>
      <c r="B24">
        <v>4584</v>
      </c>
      <c r="C24">
        <v>4450</v>
      </c>
      <c r="D24">
        <v>42.06</v>
      </c>
      <c r="E24">
        <v>35.869999999999997</v>
      </c>
      <c r="F24">
        <v>5020</v>
      </c>
      <c r="G24">
        <v>40.270000000000003</v>
      </c>
      <c r="H24">
        <v>33.11</v>
      </c>
      <c r="I24">
        <v>4637</v>
      </c>
      <c r="J24">
        <v>623.38</v>
      </c>
      <c r="K24">
        <v>52.17</v>
      </c>
      <c r="L24">
        <v>26.76</v>
      </c>
      <c r="M24">
        <f>Tabla1[[#This Row],[entrada_litros]]*Tabla1[[#This Row],[entrada_grasa_g_l]]/100</f>
        <v>1871.67</v>
      </c>
      <c r="N24">
        <f>Tabla1[[#This Row],[entrada_prot_g_l]]*Tabla1[[#This Row],[entrada_litros]]/100</f>
        <v>1596.2149999999999</v>
      </c>
      <c r="O24">
        <f>Tabla1[[#This Row],[cuba_fab_litros]]*Tabla1[[#This Row],[cuba_fab_grasa_g_l]]</f>
        <v>202155.40000000002</v>
      </c>
      <c r="P24">
        <f>Tabla1[[#This Row],[cuba_fab_litros]]*Tabla1[[#This Row],[cuba_fab_prot_g_l]]/100</f>
        <v>1662.1220000000001</v>
      </c>
      <c r="Q24">
        <f>Tabla1[[#This Row],[queso_kg]]*Tabla1[[#This Row],[queso_est_pct]]/100</f>
        <v>325.21734600000002</v>
      </c>
      <c r="R24">
        <f>Tabla1[[#This Row],[queso_kg]]*Tabla1[[#This Row],[queso_mg_pct]]/100</f>
        <v>166.81648800000002</v>
      </c>
      <c r="S24">
        <f>_xlfn.ISOWEEKNUM(Tabla1[[#This Row],[fecha]])</f>
        <v>4</v>
      </c>
      <c r="T24">
        <v>4</v>
      </c>
    </row>
    <row r="25" spans="1:20" x14ac:dyDescent="0.25">
      <c r="A25" s="1">
        <v>45314</v>
      </c>
      <c r="B25">
        <v>5393</v>
      </c>
      <c r="C25">
        <v>5236</v>
      </c>
      <c r="D25">
        <v>42.83</v>
      </c>
      <c r="E25">
        <v>34.770000000000003</v>
      </c>
      <c r="F25">
        <v>5020</v>
      </c>
      <c r="G25">
        <v>40.51</v>
      </c>
      <c r="H25">
        <v>32.99</v>
      </c>
      <c r="I25">
        <v>4873</v>
      </c>
      <c r="J25">
        <v>634.66</v>
      </c>
      <c r="K25">
        <v>51.91</v>
      </c>
      <c r="L25">
        <v>27.06</v>
      </c>
      <c r="M25">
        <f>Tabla1[[#This Row],[entrada_litros]]*Tabla1[[#This Row],[entrada_grasa_g_l]]/100</f>
        <v>2242.5788000000002</v>
      </c>
      <c r="N25">
        <f>Tabla1[[#This Row],[entrada_prot_g_l]]*Tabla1[[#This Row],[entrada_litros]]/100</f>
        <v>1820.5572000000002</v>
      </c>
      <c r="O25">
        <f>Tabla1[[#This Row],[cuba_fab_litros]]*Tabla1[[#This Row],[cuba_fab_grasa_g_l]]</f>
        <v>203360.19999999998</v>
      </c>
      <c r="P25">
        <f>Tabla1[[#This Row],[cuba_fab_litros]]*Tabla1[[#This Row],[cuba_fab_prot_g_l]]/100</f>
        <v>1656.0980000000002</v>
      </c>
      <c r="Q25">
        <f>Tabla1[[#This Row],[queso_kg]]*Tabla1[[#This Row],[queso_est_pct]]/100</f>
        <v>329.45200599999998</v>
      </c>
      <c r="R25">
        <f>Tabla1[[#This Row],[queso_kg]]*Tabla1[[#This Row],[queso_mg_pct]]/100</f>
        <v>171.73899599999996</v>
      </c>
      <c r="S25">
        <f>_xlfn.ISOWEEKNUM(Tabla1[[#This Row],[fecha]])</f>
        <v>4</v>
      </c>
      <c r="T25">
        <v>4</v>
      </c>
    </row>
    <row r="26" spans="1:20" x14ac:dyDescent="0.25">
      <c r="A26" s="1">
        <v>45315</v>
      </c>
      <c r="B26">
        <v>5399</v>
      </c>
      <c r="C26">
        <v>5242</v>
      </c>
      <c r="D26">
        <v>47.38</v>
      </c>
      <c r="E26">
        <v>34.659999999999997</v>
      </c>
      <c r="F26">
        <v>5021</v>
      </c>
      <c r="G26">
        <v>43.09</v>
      </c>
      <c r="H26">
        <v>33.119999999999997</v>
      </c>
      <c r="I26">
        <v>5115</v>
      </c>
      <c r="J26">
        <v>618.66999999999996</v>
      </c>
      <c r="K26">
        <v>52.81</v>
      </c>
      <c r="L26">
        <v>27.69</v>
      </c>
      <c r="M26">
        <f>Tabla1[[#This Row],[entrada_litros]]*Tabla1[[#This Row],[entrada_grasa_g_l]]/100</f>
        <v>2483.6596000000004</v>
      </c>
      <c r="N26">
        <f>Tabla1[[#This Row],[entrada_prot_g_l]]*Tabla1[[#This Row],[entrada_litros]]/100</f>
        <v>1816.8771999999997</v>
      </c>
      <c r="O26">
        <f>Tabla1[[#This Row],[cuba_fab_litros]]*Tabla1[[#This Row],[cuba_fab_grasa_g_l]]</f>
        <v>216354.89</v>
      </c>
      <c r="P26">
        <f>Tabla1[[#This Row],[cuba_fab_litros]]*Tabla1[[#This Row],[cuba_fab_prot_g_l]]/100</f>
        <v>1662.9551999999999</v>
      </c>
      <c r="Q26">
        <f>Tabla1[[#This Row],[queso_kg]]*Tabla1[[#This Row],[queso_est_pct]]/100</f>
        <v>326.719627</v>
      </c>
      <c r="R26">
        <f>Tabla1[[#This Row],[queso_kg]]*Tabla1[[#This Row],[queso_mg_pct]]/100</f>
        <v>171.30972300000002</v>
      </c>
      <c r="S26">
        <f>_xlfn.ISOWEEKNUM(Tabla1[[#This Row],[fecha]])</f>
        <v>4</v>
      </c>
      <c r="T26">
        <v>4</v>
      </c>
    </row>
    <row r="27" spans="1:20" x14ac:dyDescent="0.25">
      <c r="A27" s="1">
        <v>45316</v>
      </c>
      <c r="B27">
        <v>4990</v>
      </c>
      <c r="C27">
        <v>4845</v>
      </c>
      <c r="D27">
        <v>43.12</v>
      </c>
      <c r="E27">
        <v>35.799999999999997</v>
      </c>
      <c r="F27">
        <v>5026</v>
      </c>
      <c r="G27">
        <v>42.54</v>
      </c>
      <c r="H27">
        <v>33.53</v>
      </c>
      <c r="I27">
        <v>4960</v>
      </c>
      <c r="J27">
        <v>647.99</v>
      </c>
      <c r="K27">
        <v>50.05</v>
      </c>
      <c r="L27">
        <v>26.12</v>
      </c>
      <c r="M27">
        <f>Tabla1[[#This Row],[entrada_litros]]*Tabla1[[#This Row],[entrada_grasa_g_l]]/100</f>
        <v>2089.1639999999998</v>
      </c>
      <c r="N27">
        <f>Tabla1[[#This Row],[entrada_prot_g_l]]*Tabla1[[#This Row],[entrada_litros]]/100</f>
        <v>1734.51</v>
      </c>
      <c r="O27">
        <f>Tabla1[[#This Row],[cuba_fab_litros]]*Tabla1[[#This Row],[cuba_fab_grasa_g_l]]</f>
        <v>213806.04</v>
      </c>
      <c r="P27">
        <f>Tabla1[[#This Row],[cuba_fab_litros]]*Tabla1[[#This Row],[cuba_fab_prot_g_l]]/100</f>
        <v>1685.2177999999999</v>
      </c>
      <c r="Q27">
        <f>Tabla1[[#This Row],[queso_kg]]*Tabla1[[#This Row],[queso_est_pct]]/100</f>
        <v>324.31899499999997</v>
      </c>
      <c r="R27">
        <f>Tabla1[[#This Row],[queso_kg]]*Tabla1[[#This Row],[queso_mg_pct]]/100</f>
        <v>169.25498800000003</v>
      </c>
      <c r="S27">
        <f>_xlfn.ISOWEEKNUM(Tabla1[[#This Row],[fecha]])</f>
        <v>4</v>
      </c>
      <c r="T27">
        <v>4</v>
      </c>
    </row>
    <row r="28" spans="1:20" x14ac:dyDescent="0.25">
      <c r="A28" s="1">
        <v>45317</v>
      </c>
      <c r="F28">
        <v>4979</v>
      </c>
      <c r="G28">
        <v>42.22</v>
      </c>
      <c r="H28">
        <v>33.909999999999997</v>
      </c>
      <c r="J28">
        <v>632.80999999999995</v>
      </c>
      <c r="K28">
        <v>51.12</v>
      </c>
      <c r="L28">
        <v>26.84</v>
      </c>
      <c r="M28">
        <f>Tabla1[[#This Row],[entrada_litros]]*Tabla1[[#This Row],[entrada_grasa_g_l]]/100</f>
        <v>0</v>
      </c>
      <c r="N28">
        <f>Tabla1[[#This Row],[entrada_prot_g_l]]*Tabla1[[#This Row],[entrada_litros]]/100</f>
        <v>0</v>
      </c>
      <c r="O28">
        <f>Tabla1[[#This Row],[cuba_fab_litros]]*Tabla1[[#This Row],[cuba_fab_grasa_g_l]]</f>
        <v>210213.38</v>
      </c>
      <c r="P28">
        <f>Tabla1[[#This Row],[cuba_fab_litros]]*Tabla1[[#This Row],[cuba_fab_prot_g_l]]/100</f>
        <v>1688.3788999999999</v>
      </c>
      <c r="Q28">
        <f>Tabla1[[#This Row],[queso_kg]]*Tabla1[[#This Row],[queso_est_pct]]/100</f>
        <v>323.49247199999996</v>
      </c>
      <c r="R28">
        <f>Tabla1[[#This Row],[queso_kg]]*Tabla1[[#This Row],[queso_mg_pct]]/100</f>
        <v>169.846204</v>
      </c>
      <c r="S28">
        <f>_xlfn.ISOWEEKNUM(Tabla1[[#This Row],[fecha]])</f>
        <v>4</v>
      </c>
      <c r="T28">
        <v>4</v>
      </c>
    </row>
    <row r="29" spans="1:20" x14ac:dyDescent="0.25">
      <c r="A29" s="1">
        <v>45318</v>
      </c>
      <c r="M29">
        <f>Tabla1[[#This Row],[entrada_litros]]*Tabla1[[#This Row],[entrada_grasa_g_l]]/100</f>
        <v>0</v>
      </c>
      <c r="N29">
        <f>Tabla1[[#This Row],[entrada_prot_g_l]]*Tabla1[[#This Row],[entrada_litros]]/100</f>
        <v>0</v>
      </c>
      <c r="O29">
        <f>Tabla1[[#This Row],[cuba_fab_litros]]*Tabla1[[#This Row],[cuba_fab_grasa_g_l]]</f>
        <v>0</v>
      </c>
      <c r="P29">
        <f>Tabla1[[#This Row],[cuba_fab_litros]]*Tabla1[[#This Row],[cuba_fab_prot_g_l]]/100</f>
        <v>0</v>
      </c>
      <c r="Q29">
        <f>Tabla1[[#This Row],[queso_kg]]*Tabla1[[#This Row],[queso_est_pct]]/100</f>
        <v>0</v>
      </c>
      <c r="R29">
        <f>Tabla1[[#This Row],[queso_kg]]*Tabla1[[#This Row],[queso_mg_pct]]/100</f>
        <v>0</v>
      </c>
      <c r="S29">
        <f>_xlfn.ISOWEEKNUM(Tabla1[[#This Row],[fecha]])</f>
        <v>4</v>
      </c>
      <c r="T29">
        <v>4</v>
      </c>
    </row>
    <row r="30" spans="1:20" x14ac:dyDescent="0.25">
      <c r="A30" s="1">
        <v>45319</v>
      </c>
      <c r="B30">
        <v>5288</v>
      </c>
      <c r="C30">
        <v>5134</v>
      </c>
      <c r="D30">
        <v>45.63</v>
      </c>
      <c r="E30">
        <v>36.49</v>
      </c>
      <c r="I30">
        <v>5134</v>
      </c>
      <c r="M30">
        <f>Tabla1[[#This Row],[entrada_litros]]*Tabla1[[#This Row],[entrada_grasa_g_l]]/100</f>
        <v>2342.6442000000002</v>
      </c>
      <c r="N30">
        <f>Tabla1[[#This Row],[entrada_prot_g_l]]*Tabla1[[#This Row],[entrada_litros]]/100</f>
        <v>1873.3966</v>
      </c>
      <c r="O30">
        <f>Tabla1[[#This Row],[cuba_fab_litros]]*Tabla1[[#This Row],[cuba_fab_grasa_g_l]]</f>
        <v>0</v>
      </c>
      <c r="P30">
        <f>Tabla1[[#This Row],[cuba_fab_litros]]*Tabla1[[#This Row],[cuba_fab_prot_g_l]]/100</f>
        <v>0</v>
      </c>
      <c r="Q30">
        <f>Tabla1[[#This Row],[queso_kg]]*Tabla1[[#This Row],[queso_est_pct]]/100</f>
        <v>0</v>
      </c>
      <c r="R30">
        <f>Tabla1[[#This Row],[queso_kg]]*Tabla1[[#This Row],[queso_mg_pct]]/100</f>
        <v>0</v>
      </c>
      <c r="S30">
        <f>_xlfn.ISOWEEKNUM(Tabla1[[#This Row],[fecha]])</f>
        <v>4</v>
      </c>
      <c r="T30">
        <v>5</v>
      </c>
    </row>
    <row r="31" spans="1:20" x14ac:dyDescent="0.25">
      <c r="A31" s="1">
        <v>45320</v>
      </c>
      <c r="B31">
        <v>5253</v>
      </c>
      <c r="C31">
        <v>5100</v>
      </c>
      <c r="D31">
        <v>44.37</v>
      </c>
      <c r="E31">
        <v>37.049999999999997</v>
      </c>
      <c r="F31">
        <v>5016</v>
      </c>
      <c r="G31">
        <v>42.53</v>
      </c>
      <c r="H31">
        <v>35.340000000000003</v>
      </c>
      <c r="I31">
        <v>5234</v>
      </c>
      <c r="J31">
        <v>620.41999999999996</v>
      </c>
      <c r="K31">
        <v>52.45</v>
      </c>
      <c r="L31">
        <v>26.11</v>
      </c>
      <c r="M31">
        <f>Tabla1[[#This Row],[entrada_litros]]*Tabla1[[#This Row],[entrada_grasa_g_l]]/100</f>
        <v>2262.87</v>
      </c>
      <c r="N31">
        <f>Tabla1[[#This Row],[entrada_prot_g_l]]*Tabla1[[#This Row],[entrada_litros]]/100</f>
        <v>1889.55</v>
      </c>
      <c r="O31">
        <f>Tabla1[[#This Row],[cuba_fab_litros]]*Tabla1[[#This Row],[cuba_fab_grasa_g_l]]</f>
        <v>213330.48</v>
      </c>
      <c r="P31">
        <f>Tabla1[[#This Row],[cuba_fab_litros]]*Tabla1[[#This Row],[cuba_fab_prot_g_l]]/100</f>
        <v>1772.6544000000004</v>
      </c>
      <c r="Q31">
        <f>Tabla1[[#This Row],[queso_kg]]*Tabla1[[#This Row],[queso_est_pct]]/100</f>
        <v>325.41028999999997</v>
      </c>
      <c r="R31">
        <f>Tabla1[[#This Row],[queso_kg]]*Tabla1[[#This Row],[queso_mg_pct]]/100</f>
        <v>161.99166199999999</v>
      </c>
      <c r="S31">
        <f>_xlfn.ISOWEEKNUM(Tabla1[[#This Row],[fecha]])</f>
        <v>5</v>
      </c>
      <c r="T31">
        <v>5</v>
      </c>
    </row>
    <row r="32" spans="1:20" x14ac:dyDescent="0.25">
      <c r="A32" s="1">
        <v>45321</v>
      </c>
      <c r="B32">
        <v>5452</v>
      </c>
      <c r="C32">
        <v>5293</v>
      </c>
      <c r="D32">
        <v>41.1</v>
      </c>
      <c r="E32">
        <v>36.520000000000003</v>
      </c>
      <c r="F32">
        <v>5026</v>
      </c>
      <c r="G32">
        <v>40.869999999999997</v>
      </c>
      <c r="H32">
        <v>34.94</v>
      </c>
      <c r="I32">
        <v>5527</v>
      </c>
      <c r="J32">
        <v>620.17999999999995</v>
      </c>
      <c r="K32">
        <v>52.72</v>
      </c>
      <c r="L32">
        <v>27.55</v>
      </c>
      <c r="M32">
        <f>Tabla1[[#This Row],[entrada_litros]]*Tabla1[[#This Row],[entrada_grasa_g_l]]/100</f>
        <v>2175.4230000000002</v>
      </c>
      <c r="N32">
        <f>Tabla1[[#This Row],[entrada_prot_g_l]]*Tabla1[[#This Row],[entrada_litros]]/100</f>
        <v>1933.0036000000002</v>
      </c>
      <c r="O32">
        <f>Tabla1[[#This Row],[cuba_fab_litros]]*Tabla1[[#This Row],[cuba_fab_grasa_g_l]]</f>
        <v>205412.62</v>
      </c>
      <c r="P32">
        <f>Tabla1[[#This Row],[cuba_fab_litros]]*Tabla1[[#This Row],[cuba_fab_prot_g_l]]/100</f>
        <v>1756.0844</v>
      </c>
      <c r="Q32">
        <f>Tabla1[[#This Row],[queso_kg]]*Tabla1[[#This Row],[queso_est_pct]]/100</f>
        <v>326.95889599999992</v>
      </c>
      <c r="R32">
        <f>Tabla1[[#This Row],[queso_kg]]*Tabla1[[#This Row],[queso_mg_pct]]/100</f>
        <v>170.85959</v>
      </c>
      <c r="S32">
        <f>_xlfn.ISOWEEKNUM(Tabla1[[#This Row],[fecha]])</f>
        <v>5</v>
      </c>
      <c r="T32">
        <v>5</v>
      </c>
    </row>
    <row r="33" spans="1:20" x14ac:dyDescent="0.25">
      <c r="A33" s="1">
        <v>45322</v>
      </c>
      <c r="B33">
        <v>5283</v>
      </c>
      <c r="C33">
        <v>5129</v>
      </c>
      <c r="D33">
        <v>41.36</v>
      </c>
      <c r="E33">
        <v>34.39</v>
      </c>
      <c r="F33">
        <v>5019</v>
      </c>
      <c r="G33">
        <v>40.79</v>
      </c>
      <c r="H33">
        <v>34.28</v>
      </c>
      <c r="I33">
        <v>5656</v>
      </c>
      <c r="J33">
        <v>644.16</v>
      </c>
      <c r="K33">
        <v>51.33</v>
      </c>
      <c r="L33">
        <v>27.64</v>
      </c>
      <c r="M33">
        <f>Tabla1[[#This Row],[entrada_litros]]*Tabla1[[#This Row],[entrada_grasa_g_l]]/100</f>
        <v>2121.3544000000002</v>
      </c>
      <c r="N33">
        <f>Tabla1[[#This Row],[entrada_prot_g_l]]*Tabla1[[#This Row],[entrada_litros]]/100</f>
        <v>1763.8631</v>
      </c>
      <c r="O33">
        <f>Tabla1[[#This Row],[cuba_fab_litros]]*Tabla1[[#This Row],[cuba_fab_grasa_g_l]]</f>
        <v>204725.01</v>
      </c>
      <c r="P33">
        <f>Tabla1[[#This Row],[cuba_fab_litros]]*Tabla1[[#This Row],[cuba_fab_prot_g_l]]/100</f>
        <v>1720.5132000000001</v>
      </c>
      <c r="Q33">
        <f>Tabla1[[#This Row],[queso_kg]]*Tabla1[[#This Row],[queso_est_pct]]/100</f>
        <v>330.64732799999996</v>
      </c>
      <c r="R33">
        <f>Tabla1[[#This Row],[queso_kg]]*Tabla1[[#This Row],[queso_mg_pct]]/100</f>
        <v>178.04582399999998</v>
      </c>
      <c r="S33">
        <f>_xlfn.ISOWEEKNUM(Tabla1[[#This Row],[fecha]])</f>
        <v>5</v>
      </c>
      <c r="T33">
        <v>5</v>
      </c>
    </row>
    <row r="34" spans="1:20" x14ac:dyDescent="0.25">
      <c r="A34" s="1">
        <v>45323</v>
      </c>
      <c r="B34">
        <v>5025</v>
      </c>
      <c r="C34">
        <v>4879</v>
      </c>
      <c r="D34">
        <v>43.24</v>
      </c>
      <c r="E34">
        <v>34.61</v>
      </c>
      <c r="F34">
        <v>5025</v>
      </c>
      <c r="G34">
        <v>41</v>
      </c>
      <c r="H34">
        <v>33.47</v>
      </c>
      <c r="I34">
        <v>5535</v>
      </c>
      <c r="J34">
        <v>626.59</v>
      </c>
      <c r="K34">
        <v>51.78</v>
      </c>
      <c r="L34">
        <v>26.95</v>
      </c>
      <c r="M34">
        <f>Tabla1[[#This Row],[entrada_litros]]*Tabla1[[#This Row],[entrada_grasa_g_l]]/100</f>
        <v>2109.6796000000004</v>
      </c>
      <c r="N34">
        <f>Tabla1[[#This Row],[entrada_prot_g_l]]*Tabla1[[#This Row],[entrada_litros]]/100</f>
        <v>1688.6219000000001</v>
      </c>
      <c r="O34">
        <f>Tabla1[[#This Row],[cuba_fab_litros]]*Tabla1[[#This Row],[cuba_fab_grasa_g_l]]</f>
        <v>206025</v>
      </c>
      <c r="P34">
        <f>Tabla1[[#This Row],[cuba_fab_litros]]*Tabla1[[#This Row],[cuba_fab_prot_g_l]]/100</f>
        <v>1681.8675000000001</v>
      </c>
      <c r="Q34">
        <f>Tabla1[[#This Row],[queso_kg]]*Tabla1[[#This Row],[queso_est_pct]]/100</f>
        <v>324.44830200000001</v>
      </c>
      <c r="R34">
        <f>Tabla1[[#This Row],[queso_kg]]*Tabla1[[#This Row],[queso_mg_pct]]/100</f>
        <v>168.866005</v>
      </c>
      <c r="S34">
        <f>_xlfn.ISOWEEKNUM(Tabla1[[#This Row],[fecha]])</f>
        <v>5</v>
      </c>
      <c r="T34">
        <v>5</v>
      </c>
    </row>
    <row r="35" spans="1:20" x14ac:dyDescent="0.25">
      <c r="A35" s="1">
        <v>45324</v>
      </c>
      <c r="F35">
        <v>5568</v>
      </c>
      <c r="G35">
        <v>40.58</v>
      </c>
      <c r="H35">
        <v>33.880000000000003</v>
      </c>
      <c r="J35">
        <v>682.11</v>
      </c>
      <c r="K35">
        <v>52.54</v>
      </c>
      <c r="L35">
        <v>26.06</v>
      </c>
      <c r="M35">
        <f>Tabla1[[#This Row],[entrada_litros]]*Tabla1[[#This Row],[entrada_grasa_g_l]]/100</f>
        <v>0</v>
      </c>
      <c r="N35">
        <f>Tabla1[[#This Row],[entrada_prot_g_l]]*Tabla1[[#This Row],[entrada_litros]]/100</f>
        <v>0</v>
      </c>
      <c r="O35">
        <f>Tabla1[[#This Row],[cuba_fab_litros]]*Tabla1[[#This Row],[cuba_fab_grasa_g_l]]</f>
        <v>225949.44</v>
      </c>
      <c r="P35">
        <f>Tabla1[[#This Row],[cuba_fab_litros]]*Tabla1[[#This Row],[cuba_fab_prot_g_l]]/100</f>
        <v>1886.4384000000002</v>
      </c>
      <c r="Q35">
        <f>Tabla1[[#This Row],[queso_kg]]*Tabla1[[#This Row],[queso_est_pct]]/100</f>
        <v>358.38059399999997</v>
      </c>
      <c r="R35">
        <f>Tabla1[[#This Row],[queso_kg]]*Tabla1[[#This Row],[queso_mg_pct]]/100</f>
        <v>177.75786600000001</v>
      </c>
      <c r="S35">
        <f>_xlfn.ISOWEEKNUM(Tabla1[[#This Row],[fecha]])</f>
        <v>5</v>
      </c>
      <c r="T35">
        <v>5</v>
      </c>
    </row>
    <row r="36" spans="1:20" x14ac:dyDescent="0.25">
      <c r="A36" s="1">
        <v>45325</v>
      </c>
      <c r="M36">
        <f>Tabla1[[#This Row],[entrada_litros]]*Tabla1[[#This Row],[entrada_grasa_g_l]]/100</f>
        <v>0</v>
      </c>
      <c r="N36">
        <f>Tabla1[[#This Row],[entrada_prot_g_l]]*Tabla1[[#This Row],[entrada_litros]]/100</f>
        <v>0</v>
      </c>
      <c r="O36">
        <f>Tabla1[[#This Row],[cuba_fab_litros]]*Tabla1[[#This Row],[cuba_fab_grasa_g_l]]</f>
        <v>0</v>
      </c>
      <c r="P36">
        <f>Tabla1[[#This Row],[cuba_fab_litros]]*Tabla1[[#This Row],[cuba_fab_prot_g_l]]/100</f>
        <v>0</v>
      </c>
      <c r="Q36">
        <f>Tabla1[[#This Row],[queso_kg]]*Tabla1[[#This Row],[queso_est_pct]]/100</f>
        <v>0</v>
      </c>
      <c r="R36">
        <f>Tabla1[[#This Row],[queso_kg]]*Tabla1[[#This Row],[queso_mg_pct]]/100</f>
        <v>0</v>
      </c>
      <c r="S36">
        <f>_xlfn.ISOWEEKNUM(Tabla1[[#This Row],[fecha]])</f>
        <v>5</v>
      </c>
      <c r="T36">
        <v>5</v>
      </c>
    </row>
    <row r="37" spans="1:20" x14ac:dyDescent="0.25">
      <c r="A37" s="1">
        <v>45326</v>
      </c>
      <c r="B37">
        <v>5514</v>
      </c>
      <c r="C37">
        <v>5353</v>
      </c>
      <c r="D37">
        <v>43.43</v>
      </c>
      <c r="E37">
        <v>33.18</v>
      </c>
      <c r="I37">
        <v>5353</v>
      </c>
      <c r="M37">
        <f>Tabla1[[#This Row],[entrada_litros]]*Tabla1[[#This Row],[entrada_grasa_g_l]]/100</f>
        <v>2324.8079000000002</v>
      </c>
      <c r="N37">
        <f>Tabla1[[#This Row],[entrada_prot_g_l]]*Tabla1[[#This Row],[entrada_litros]]/100</f>
        <v>1776.1254000000001</v>
      </c>
      <c r="O37">
        <f>Tabla1[[#This Row],[cuba_fab_litros]]*Tabla1[[#This Row],[cuba_fab_grasa_g_l]]</f>
        <v>0</v>
      </c>
      <c r="P37">
        <f>Tabla1[[#This Row],[cuba_fab_litros]]*Tabla1[[#This Row],[cuba_fab_prot_g_l]]/100</f>
        <v>0</v>
      </c>
      <c r="Q37">
        <f>Tabla1[[#This Row],[queso_kg]]*Tabla1[[#This Row],[queso_est_pct]]/100</f>
        <v>0</v>
      </c>
      <c r="R37">
        <f>Tabla1[[#This Row],[queso_kg]]*Tabla1[[#This Row],[queso_mg_pct]]/100</f>
        <v>0</v>
      </c>
      <c r="S37">
        <f>_xlfn.ISOWEEKNUM(Tabla1[[#This Row],[fecha]])</f>
        <v>5</v>
      </c>
      <c r="T37">
        <v>6</v>
      </c>
    </row>
    <row r="38" spans="1:20" x14ac:dyDescent="0.25">
      <c r="A38" s="1">
        <v>45327</v>
      </c>
      <c r="B38">
        <v>5283</v>
      </c>
      <c r="C38">
        <v>5129</v>
      </c>
      <c r="D38">
        <v>43.91</v>
      </c>
      <c r="E38">
        <v>34.450000000000003</v>
      </c>
      <c r="F38">
        <v>5030</v>
      </c>
      <c r="G38">
        <v>41.78</v>
      </c>
      <c r="H38">
        <v>32.33</v>
      </c>
      <c r="I38">
        <v>5482</v>
      </c>
      <c r="J38">
        <v>643.02</v>
      </c>
      <c r="K38">
        <v>50.75</v>
      </c>
      <c r="L38">
        <v>25.41</v>
      </c>
      <c r="M38">
        <f>Tabla1[[#This Row],[entrada_litros]]*Tabla1[[#This Row],[entrada_grasa_g_l]]/100</f>
        <v>2252.1439</v>
      </c>
      <c r="N38">
        <f>Tabla1[[#This Row],[entrada_prot_g_l]]*Tabla1[[#This Row],[entrada_litros]]/100</f>
        <v>1766.9405000000002</v>
      </c>
      <c r="O38">
        <f>Tabla1[[#This Row],[cuba_fab_litros]]*Tabla1[[#This Row],[cuba_fab_grasa_g_l]]</f>
        <v>210153.4</v>
      </c>
      <c r="P38">
        <f>Tabla1[[#This Row],[cuba_fab_litros]]*Tabla1[[#This Row],[cuba_fab_prot_g_l]]/100</f>
        <v>1626.1989999999998</v>
      </c>
      <c r="Q38">
        <f>Tabla1[[#This Row],[queso_kg]]*Tabla1[[#This Row],[queso_est_pct]]/100</f>
        <v>326.33265</v>
      </c>
      <c r="R38">
        <f>Tabla1[[#This Row],[queso_kg]]*Tabla1[[#This Row],[queso_mg_pct]]/100</f>
        <v>163.39138199999999</v>
      </c>
      <c r="S38">
        <f>_xlfn.ISOWEEKNUM(Tabla1[[#This Row],[fecha]])</f>
        <v>6</v>
      </c>
      <c r="T38">
        <v>6</v>
      </c>
    </row>
    <row r="39" spans="1:20" x14ac:dyDescent="0.25">
      <c r="A39" s="1">
        <v>45328</v>
      </c>
      <c r="B39">
        <v>4813</v>
      </c>
      <c r="C39">
        <v>4673</v>
      </c>
      <c r="D39">
        <v>43.37</v>
      </c>
      <c r="E39">
        <v>35.299999999999997</v>
      </c>
      <c r="F39">
        <v>5020</v>
      </c>
      <c r="G39">
        <v>41.87</v>
      </c>
      <c r="H39">
        <v>32.99</v>
      </c>
      <c r="I39">
        <v>5155</v>
      </c>
      <c r="J39">
        <v>614.66</v>
      </c>
      <c r="K39">
        <v>53.24</v>
      </c>
      <c r="L39">
        <v>28.04</v>
      </c>
      <c r="M39">
        <f>Tabla1[[#This Row],[entrada_litros]]*Tabla1[[#This Row],[entrada_grasa_g_l]]/100</f>
        <v>2026.6800999999998</v>
      </c>
      <c r="N39">
        <f>Tabla1[[#This Row],[entrada_prot_g_l]]*Tabla1[[#This Row],[entrada_litros]]/100</f>
        <v>1649.569</v>
      </c>
      <c r="O39">
        <f>Tabla1[[#This Row],[cuba_fab_litros]]*Tabla1[[#This Row],[cuba_fab_grasa_g_l]]</f>
        <v>210187.4</v>
      </c>
      <c r="P39">
        <f>Tabla1[[#This Row],[cuba_fab_litros]]*Tabla1[[#This Row],[cuba_fab_prot_g_l]]/100</f>
        <v>1656.0980000000002</v>
      </c>
      <c r="Q39">
        <f>Tabla1[[#This Row],[queso_kg]]*Tabla1[[#This Row],[queso_est_pct]]/100</f>
        <v>327.24498399999999</v>
      </c>
      <c r="R39">
        <f>Tabla1[[#This Row],[queso_kg]]*Tabla1[[#This Row],[queso_mg_pct]]/100</f>
        <v>172.35066399999999</v>
      </c>
      <c r="S39">
        <f>_xlfn.ISOWEEKNUM(Tabla1[[#This Row],[fecha]])</f>
        <v>6</v>
      </c>
      <c r="T39">
        <v>6</v>
      </c>
    </row>
    <row r="40" spans="1:20" x14ac:dyDescent="0.25">
      <c r="A40" s="1">
        <v>45329</v>
      </c>
      <c r="B40">
        <v>5400</v>
      </c>
      <c r="C40">
        <v>5243</v>
      </c>
      <c r="D40">
        <v>41.25</v>
      </c>
      <c r="E40">
        <v>33.9</v>
      </c>
      <c r="F40">
        <v>5027</v>
      </c>
      <c r="G40">
        <v>40.65</v>
      </c>
      <c r="H40">
        <v>32.950000000000003</v>
      </c>
      <c r="I40">
        <v>5398</v>
      </c>
      <c r="J40">
        <v>647.25</v>
      </c>
      <c r="K40">
        <v>50.68</v>
      </c>
      <c r="L40">
        <v>26.03</v>
      </c>
      <c r="M40">
        <f>Tabla1[[#This Row],[entrada_litros]]*Tabla1[[#This Row],[entrada_grasa_g_l]]/100</f>
        <v>2162.7375000000002</v>
      </c>
      <c r="N40">
        <f>Tabla1[[#This Row],[entrada_prot_g_l]]*Tabla1[[#This Row],[entrada_litros]]/100</f>
        <v>1777.3769999999997</v>
      </c>
      <c r="O40">
        <f>Tabla1[[#This Row],[cuba_fab_litros]]*Tabla1[[#This Row],[cuba_fab_grasa_g_l]]</f>
        <v>204347.55</v>
      </c>
      <c r="P40">
        <f>Tabla1[[#This Row],[cuba_fab_litros]]*Tabla1[[#This Row],[cuba_fab_prot_g_l]]/100</f>
        <v>1656.3965000000003</v>
      </c>
      <c r="Q40">
        <f>Tabla1[[#This Row],[queso_kg]]*Tabla1[[#This Row],[queso_est_pct]]/100</f>
        <v>328.02629999999999</v>
      </c>
      <c r="R40">
        <f>Tabla1[[#This Row],[queso_kg]]*Tabla1[[#This Row],[queso_mg_pct]]/100</f>
        <v>168.479175</v>
      </c>
      <c r="S40">
        <f>_xlfn.ISOWEEKNUM(Tabla1[[#This Row],[fecha]])</f>
        <v>6</v>
      </c>
      <c r="T40">
        <v>6</v>
      </c>
    </row>
    <row r="41" spans="1:20" x14ac:dyDescent="0.25">
      <c r="A41" s="1">
        <v>45330</v>
      </c>
      <c r="B41">
        <v>5209</v>
      </c>
      <c r="C41">
        <v>5057</v>
      </c>
      <c r="D41">
        <v>40.79</v>
      </c>
      <c r="E41">
        <v>35.28</v>
      </c>
      <c r="F41">
        <v>5031</v>
      </c>
      <c r="G41">
        <v>39.82</v>
      </c>
      <c r="H41">
        <v>32.799999999999997</v>
      </c>
      <c r="I41">
        <v>5455</v>
      </c>
      <c r="J41">
        <v>627.16</v>
      </c>
      <c r="K41">
        <v>51.93</v>
      </c>
      <c r="L41">
        <v>27.22</v>
      </c>
      <c r="M41">
        <f>Tabla1[[#This Row],[entrada_litros]]*Tabla1[[#This Row],[entrada_grasa_g_l]]/100</f>
        <v>2062.7503000000002</v>
      </c>
      <c r="N41">
        <f>Tabla1[[#This Row],[entrada_prot_g_l]]*Tabla1[[#This Row],[entrada_litros]]/100</f>
        <v>1784.1096</v>
      </c>
      <c r="O41">
        <f>Tabla1[[#This Row],[cuba_fab_litros]]*Tabla1[[#This Row],[cuba_fab_grasa_g_l]]</f>
        <v>200334.42</v>
      </c>
      <c r="P41">
        <f>Tabla1[[#This Row],[cuba_fab_litros]]*Tabla1[[#This Row],[cuba_fab_prot_g_l]]/100</f>
        <v>1650.1679999999999</v>
      </c>
      <c r="Q41">
        <f>Tabla1[[#This Row],[queso_kg]]*Tabla1[[#This Row],[queso_est_pct]]/100</f>
        <v>325.68418800000001</v>
      </c>
      <c r="R41">
        <f>Tabla1[[#This Row],[queso_kg]]*Tabla1[[#This Row],[queso_mg_pct]]/100</f>
        <v>170.71295199999997</v>
      </c>
      <c r="S41">
        <f>_xlfn.ISOWEEKNUM(Tabla1[[#This Row],[fecha]])</f>
        <v>6</v>
      </c>
      <c r="T41">
        <v>6</v>
      </c>
    </row>
    <row r="42" spans="1:20" x14ac:dyDescent="0.25">
      <c r="A42" s="1">
        <v>45331</v>
      </c>
      <c r="F42">
        <v>5485</v>
      </c>
      <c r="G42">
        <v>39.58</v>
      </c>
      <c r="H42">
        <v>32.96</v>
      </c>
      <c r="J42">
        <v>708.86</v>
      </c>
      <c r="K42">
        <v>49.74</v>
      </c>
      <c r="L42">
        <v>27.21</v>
      </c>
      <c r="M42">
        <f>Tabla1[[#This Row],[entrada_litros]]*Tabla1[[#This Row],[entrada_grasa_g_l]]/100</f>
        <v>0</v>
      </c>
      <c r="N42">
        <f>Tabla1[[#This Row],[entrada_prot_g_l]]*Tabla1[[#This Row],[entrada_litros]]/100</f>
        <v>0</v>
      </c>
      <c r="O42">
        <f>Tabla1[[#This Row],[cuba_fab_litros]]*Tabla1[[#This Row],[cuba_fab_grasa_g_l]]</f>
        <v>217096.3</v>
      </c>
      <c r="P42">
        <f>Tabla1[[#This Row],[cuba_fab_litros]]*Tabla1[[#This Row],[cuba_fab_prot_g_l]]/100</f>
        <v>1807.856</v>
      </c>
      <c r="Q42">
        <f>Tabla1[[#This Row],[queso_kg]]*Tabla1[[#This Row],[queso_est_pct]]/100</f>
        <v>352.58696400000002</v>
      </c>
      <c r="R42">
        <f>Tabla1[[#This Row],[queso_kg]]*Tabla1[[#This Row],[queso_mg_pct]]/100</f>
        <v>192.88080600000001</v>
      </c>
      <c r="S42">
        <f>_xlfn.ISOWEEKNUM(Tabla1[[#This Row],[fecha]])</f>
        <v>6</v>
      </c>
      <c r="T42">
        <v>6</v>
      </c>
    </row>
    <row r="43" spans="1:20" x14ac:dyDescent="0.25">
      <c r="A43" s="1">
        <v>45332</v>
      </c>
      <c r="M43">
        <f>Tabla1[[#This Row],[entrada_litros]]*Tabla1[[#This Row],[entrada_grasa_g_l]]/100</f>
        <v>0</v>
      </c>
      <c r="N43">
        <f>Tabla1[[#This Row],[entrada_prot_g_l]]*Tabla1[[#This Row],[entrada_litros]]/100</f>
        <v>0</v>
      </c>
      <c r="O43">
        <f>Tabla1[[#This Row],[cuba_fab_litros]]*Tabla1[[#This Row],[cuba_fab_grasa_g_l]]</f>
        <v>0</v>
      </c>
      <c r="P43">
        <f>Tabla1[[#This Row],[cuba_fab_litros]]*Tabla1[[#This Row],[cuba_fab_prot_g_l]]/100</f>
        <v>0</v>
      </c>
      <c r="Q43">
        <f>Tabla1[[#This Row],[queso_kg]]*Tabla1[[#This Row],[queso_est_pct]]/100</f>
        <v>0</v>
      </c>
      <c r="R43">
        <f>Tabla1[[#This Row],[queso_kg]]*Tabla1[[#This Row],[queso_mg_pct]]/100</f>
        <v>0</v>
      </c>
      <c r="S43">
        <f>_xlfn.ISOWEEKNUM(Tabla1[[#This Row],[fecha]])</f>
        <v>6</v>
      </c>
      <c r="T43">
        <v>6</v>
      </c>
    </row>
    <row r="44" spans="1:20" x14ac:dyDescent="0.25">
      <c r="A44" s="1">
        <v>45333</v>
      </c>
      <c r="B44">
        <v>5415</v>
      </c>
      <c r="C44">
        <v>5257</v>
      </c>
      <c r="D44">
        <v>44.49</v>
      </c>
      <c r="E44">
        <v>36.58</v>
      </c>
      <c r="I44">
        <v>5257</v>
      </c>
      <c r="M44">
        <f>Tabla1[[#This Row],[entrada_litros]]*Tabla1[[#This Row],[entrada_grasa_g_l]]/100</f>
        <v>2338.8393000000001</v>
      </c>
      <c r="N44">
        <f>Tabla1[[#This Row],[entrada_prot_g_l]]*Tabla1[[#This Row],[entrada_litros]]/100</f>
        <v>1923.0106000000001</v>
      </c>
      <c r="O44">
        <f>Tabla1[[#This Row],[cuba_fab_litros]]*Tabla1[[#This Row],[cuba_fab_grasa_g_l]]</f>
        <v>0</v>
      </c>
      <c r="P44">
        <f>Tabla1[[#This Row],[cuba_fab_litros]]*Tabla1[[#This Row],[cuba_fab_prot_g_l]]/100</f>
        <v>0</v>
      </c>
      <c r="Q44">
        <f>Tabla1[[#This Row],[queso_kg]]*Tabla1[[#This Row],[queso_est_pct]]/100</f>
        <v>0</v>
      </c>
      <c r="R44">
        <f>Tabla1[[#This Row],[queso_kg]]*Tabla1[[#This Row],[queso_mg_pct]]/100</f>
        <v>0</v>
      </c>
      <c r="S44">
        <f>_xlfn.ISOWEEKNUM(Tabla1[[#This Row],[fecha]])</f>
        <v>6</v>
      </c>
      <c r="T44">
        <v>7</v>
      </c>
    </row>
    <row r="45" spans="1:20" x14ac:dyDescent="0.25">
      <c r="A45" s="1">
        <v>45334</v>
      </c>
      <c r="B45">
        <v>4886</v>
      </c>
      <c r="C45">
        <v>4744</v>
      </c>
      <c r="D45">
        <v>43.46</v>
      </c>
      <c r="E45">
        <v>37.01</v>
      </c>
      <c r="F45">
        <v>5036</v>
      </c>
      <c r="G45">
        <v>42.11</v>
      </c>
      <c r="H45">
        <v>35.19</v>
      </c>
      <c r="I45">
        <v>5001</v>
      </c>
      <c r="J45">
        <v>633.51</v>
      </c>
      <c r="K45">
        <v>51.42</v>
      </c>
      <c r="L45">
        <v>27.36</v>
      </c>
      <c r="M45">
        <f>Tabla1[[#This Row],[entrada_litros]]*Tabla1[[#This Row],[entrada_grasa_g_l]]/100</f>
        <v>2061.7424000000001</v>
      </c>
      <c r="N45">
        <f>Tabla1[[#This Row],[entrada_prot_g_l]]*Tabla1[[#This Row],[entrada_litros]]/100</f>
        <v>1755.7544</v>
      </c>
      <c r="O45">
        <f>Tabla1[[#This Row],[cuba_fab_litros]]*Tabla1[[#This Row],[cuba_fab_grasa_g_l]]</f>
        <v>212065.96</v>
      </c>
      <c r="P45">
        <f>Tabla1[[#This Row],[cuba_fab_litros]]*Tabla1[[#This Row],[cuba_fab_prot_g_l]]/100</f>
        <v>1772.1684</v>
      </c>
      <c r="Q45">
        <f>Tabla1[[#This Row],[queso_kg]]*Tabla1[[#This Row],[queso_est_pct]]/100</f>
        <v>325.75084200000003</v>
      </c>
      <c r="R45">
        <f>Tabla1[[#This Row],[queso_kg]]*Tabla1[[#This Row],[queso_mg_pct]]/100</f>
        <v>173.32833599999998</v>
      </c>
      <c r="S45">
        <f>_xlfn.ISOWEEKNUM(Tabla1[[#This Row],[fecha]])</f>
        <v>7</v>
      </c>
      <c r="T45">
        <v>7</v>
      </c>
    </row>
    <row r="46" spans="1:20" x14ac:dyDescent="0.25">
      <c r="A46" s="1">
        <v>45335</v>
      </c>
      <c r="B46">
        <v>5127</v>
      </c>
      <c r="C46">
        <v>4978</v>
      </c>
      <c r="D46">
        <v>40.840000000000003</v>
      </c>
      <c r="E46">
        <v>33.89</v>
      </c>
      <c r="F46">
        <v>5020</v>
      </c>
      <c r="G46">
        <v>40.47</v>
      </c>
      <c r="H46">
        <v>34.17</v>
      </c>
      <c r="I46">
        <v>4979</v>
      </c>
      <c r="J46">
        <v>625.08000000000004</v>
      </c>
      <c r="K46">
        <v>52.43</v>
      </c>
      <c r="L46">
        <v>27.24</v>
      </c>
      <c r="M46">
        <f>Tabla1[[#This Row],[entrada_litros]]*Tabla1[[#This Row],[entrada_grasa_g_l]]/100</f>
        <v>2033.0152000000003</v>
      </c>
      <c r="N46">
        <f>Tabla1[[#This Row],[entrada_prot_g_l]]*Tabla1[[#This Row],[entrada_litros]]/100</f>
        <v>1687.0442</v>
      </c>
      <c r="O46">
        <f>Tabla1[[#This Row],[cuba_fab_litros]]*Tabla1[[#This Row],[cuba_fab_grasa_g_l]]</f>
        <v>203159.4</v>
      </c>
      <c r="P46">
        <f>Tabla1[[#This Row],[cuba_fab_litros]]*Tabla1[[#This Row],[cuba_fab_prot_g_l]]/100</f>
        <v>1715.3339999999998</v>
      </c>
      <c r="Q46">
        <f>Tabla1[[#This Row],[queso_kg]]*Tabla1[[#This Row],[queso_est_pct]]/100</f>
        <v>327.729444</v>
      </c>
      <c r="R46">
        <f>Tabla1[[#This Row],[queso_kg]]*Tabla1[[#This Row],[queso_mg_pct]]/100</f>
        <v>170.27179199999998</v>
      </c>
      <c r="S46">
        <f>_xlfn.ISOWEEKNUM(Tabla1[[#This Row],[fecha]])</f>
        <v>7</v>
      </c>
      <c r="T46">
        <v>7</v>
      </c>
    </row>
    <row r="47" spans="1:20" x14ac:dyDescent="0.25">
      <c r="A47" s="1">
        <v>45336</v>
      </c>
      <c r="B47">
        <v>5407</v>
      </c>
      <c r="C47">
        <v>5250</v>
      </c>
      <c r="D47">
        <v>44.56</v>
      </c>
      <c r="E47">
        <v>35.74</v>
      </c>
      <c r="F47">
        <v>5025</v>
      </c>
      <c r="G47">
        <v>41.58</v>
      </c>
      <c r="H47">
        <v>34</v>
      </c>
      <c r="I47">
        <v>5229</v>
      </c>
      <c r="J47">
        <v>614.20000000000005</v>
      </c>
      <c r="K47">
        <v>53.24</v>
      </c>
      <c r="L47">
        <v>28.45</v>
      </c>
      <c r="M47">
        <f>Tabla1[[#This Row],[entrada_litros]]*Tabla1[[#This Row],[entrada_grasa_g_l]]/100</f>
        <v>2339.4</v>
      </c>
      <c r="N47">
        <f>Tabla1[[#This Row],[entrada_prot_g_l]]*Tabla1[[#This Row],[entrada_litros]]/100</f>
        <v>1876.35</v>
      </c>
      <c r="O47">
        <f>Tabla1[[#This Row],[cuba_fab_litros]]*Tabla1[[#This Row],[cuba_fab_grasa_g_l]]</f>
        <v>208939.5</v>
      </c>
      <c r="P47">
        <f>Tabla1[[#This Row],[cuba_fab_litros]]*Tabla1[[#This Row],[cuba_fab_prot_g_l]]/100</f>
        <v>1708.5</v>
      </c>
      <c r="Q47">
        <f>Tabla1[[#This Row],[queso_kg]]*Tabla1[[#This Row],[queso_est_pct]]/100</f>
        <v>327.00008000000003</v>
      </c>
      <c r="R47">
        <f>Tabla1[[#This Row],[queso_kg]]*Tabla1[[#This Row],[queso_mg_pct]]/100</f>
        <v>174.73990000000001</v>
      </c>
      <c r="S47">
        <f>_xlfn.ISOWEEKNUM(Tabla1[[#This Row],[fecha]])</f>
        <v>7</v>
      </c>
      <c r="T47">
        <v>7</v>
      </c>
    </row>
    <row r="48" spans="1:20" x14ac:dyDescent="0.25">
      <c r="A48" s="1">
        <v>45337</v>
      </c>
      <c r="B48">
        <v>5827</v>
      </c>
      <c r="C48">
        <v>5657</v>
      </c>
      <c r="D48">
        <v>43.13</v>
      </c>
      <c r="E48">
        <v>34.75</v>
      </c>
      <c r="F48">
        <v>5027</v>
      </c>
      <c r="G48">
        <v>41.47</v>
      </c>
      <c r="H48">
        <v>33.630000000000003</v>
      </c>
      <c r="I48">
        <v>5886</v>
      </c>
      <c r="J48">
        <v>658.32</v>
      </c>
      <c r="K48">
        <v>49.58</v>
      </c>
      <c r="L48">
        <v>26.38</v>
      </c>
      <c r="M48">
        <f>Tabla1[[#This Row],[entrada_litros]]*Tabla1[[#This Row],[entrada_grasa_g_l]]/100</f>
        <v>2439.8641000000002</v>
      </c>
      <c r="N48">
        <f>Tabla1[[#This Row],[entrada_prot_g_l]]*Tabla1[[#This Row],[entrada_litros]]/100</f>
        <v>1965.8074999999999</v>
      </c>
      <c r="O48">
        <f>Tabla1[[#This Row],[cuba_fab_litros]]*Tabla1[[#This Row],[cuba_fab_grasa_g_l]]</f>
        <v>208469.69</v>
      </c>
      <c r="P48">
        <f>Tabla1[[#This Row],[cuba_fab_litros]]*Tabla1[[#This Row],[cuba_fab_prot_g_l]]/100</f>
        <v>1690.5801000000001</v>
      </c>
      <c r="Q48">
        <f>Tabla1[[#This Row],[queso_kg]]*Tabla1[[#This Row],[queso_est_pct]]/100</f>
        <v>326.39505600000001</v>
      </c>
      <c r="R48">
        <f>Tabla1[[#This Row],[queso_kg]]*Tabla1[[#This Row],[queso_mg_pct]]/100</f>
        <v>173.664816</v>
      </c>
      <c r="S48">
        <f>_xlfn.ISOWEEKNUM(Tabla1[[#This Row],[fecha]])</f>
        <v>7</v>
      </c>
      <c r="T48">
        <v>7</v>
      </c>
    </row>
    <row r="49" spans="1:20" x14ac:dyDescent="0.25">
      <c r="A49" s="1">
        <v>45338</v>
      </c>
      <c r="F49">
        <v>5922</v>
      </c>
      <c r="G49">
        <v>41.66</v>
      </c>
      <c r="H49">
        <v>33.42</v>
      </c>
      <c r="J49">
        <v>751.24</v>
      </c>
      <c r="K49">
        <v>50.96</v>
      </c>
      <c r="L49">
        <v>27.19</v>
      </c>
      <c r="M49">
        <f>Tabla1[[#This Row],[entrada_litros]]*Tabla1[[#This Row],[entrada_grasa_g_l]]/100</f>
        <v>0</v>
      </c>
      <c r="N49">
        <f>Tabla1[[#This Row],[entrada_prot_g_l]]*Tabla1[[#This Row],[entrada_litros]]/100</f>
        <v>0</v>
      </c>
      <c r="O49">
        <f>Tabla1[[#This Row],[cuba_fab_litros]]*Tabla1[[#This Row],[cuba_fab_grasa_g_l]]</f>
        <v>246710.52</v>
      </c>
      <c r="P49">
        <f>Tabla1[[#This Row],[cuba_fab_litros]]*Tabla1[[#This Row],[cuba_fab_prot_g_l]]/100</f>
        <v>1979.1324000000002</v>
      </c>
      <c r="Q49">
        <f>Tabla1[[#This Row],[queso_kg]]*Tabla1[[#This Row],[queso_est_pct]]/100</f>
        <v>382.83190400000001</v>
      </c>
      <c r="R49">
        <f>Tabla1[[#This Row],[queso_kg]]*Tabla1[[#This Row],[queso_mg_pct]]/100</f>
        <v>204.262156</v>
      </c>
      <c r="S49">
        <f>_xlfn.ISOWEEKNUM(Tabla1[[#This Row],[fecha]])</f>
        <v>7</v>
      </c>
      <c r="T49">
        <v>7</v>
      </c>
    </row>
    <row r="50" spans="1:20" x14ac:dyDescent="0.25">
      <c r="A50" s="1">
        <v>45339</v>
      </c>
      <c r="M50">
        <f>Tabla1[[#This Row],[entrada_litros]]*Tabla1[[#This Row],[entrada_grasa_g_l]]/100</f>
        <v>0</v>
      </c>
      <c r="N50">
        <f>Tabla1[[#This Row],[entrada_prot_g_l]]*Tabla1[[#This Row],[entrada_litros]]/100</f>
        <v>0</v>
      </c>
      <c r="O50">
        <f>Tabla1[[#This Row],[cuba_fab_litros]]*Tabla1[[#This Row],[cuba_fab_grasa_g_l]]</f>
        <v>0</v>
      </c>
      <c r="P50">
        <f>Tabla1[[#This Row],[cuba_fab_litros]]*Tabla1[[#This Row],[cuba_fab_prot_g_l]]/100</f>
        <v>0</v>
      </c>
      <c r="Q50">
        <f>Tabla1[[#This Row],[queso_kg]]*Tabla1[[#This Row],[queso_est_pct]]/100</f>
        <v>0</v>
      </c>
      <c r="R50">
        <f>Tabla1[[#This Row],[queso_kg]]*Tabla1[[#This Row],[queso_mg_pct]]/100</f>
        <v>0</v>
      </c>
      <c r="S50">
        <f>_xlfn.ISOWEEKNUM(Tabla1[[#This Row],[fecha]])</f>
        <v>7</v>
      </c>
      <c r="T50">
        <v>7</v>
      </c>
    </row>
    <row r="51" spans="1:20" x14ac:dyDescent="0.25">
      <c r="A51" s="1">
        <v>45340</v>
      </c>
      <c r="B51">
        <v>5104</v>
      </c>
      <c r="C51">
        <v>4955</v>
      </c>
      <c r="D51">
        <v>42.9</v>
      </c>
      <c r="E51">
        <v>35.79</v>
      </c>
      <c r="I51">
        <v>4955</v>
      </c>
      <c r="M51">
        <f>Tabla1[[#This Row],[entrada_litros]]*Tabla1[[#This Row],[entrada_grasa_g_l]]/100</f>
        <v>2125.6950000000002</v>
      </c>
      <c r="N51">
        <f>Tabla1[[#This Row],[entrada_prot_g_l]]*Tabla1[[#This Row],[entrada_litros]]/100</f>
        <v>1773.3944999999999</v>
      </c>
      <c r="O51">
        <f>Tabla1[[#This Row],[cuba_fab_litros]]*Tabla1[[#This Row],[cuba_fab_grasa_g_l]]</f>
        <v>0</v>
      </c>
      <c r="P51">
        <f>Tabla1[[#This Row],[cuba_fab_litros]]*Tabla1[[#This Row],[cuba_fab_prot_g_l]]/100</f>
        <v>0</v>
      </c>
      <c r="Q51">
        <f>Tabla1[[#This Row],[queso_kg]]*Tabla1[[#This Row],[queso_est_pct]]/100</f>
        <v>0</v>
      </c>
      <c r="R51">
        <f>Tabla1[[#This Row],[queso_kg]]*Tabla1[[#This Row],[queso_mg_pct]]/100</f>
        <v>0</v>
      </c>
      <c r="S51">
        <f>_xlfn.ISOWEEKNUM(Tabla1[[#This Row],[fecha]])</f>
        <v>7</v>
      </c>
      <c r="T51">
        <v>8</v>
      </c>
    </row>
    <row r="52" spans="1:20" x14ac:dyDescent="0.25">
      <c r="A52" s="1">
        <v>45341</v>
      </c>
      <c r="B52">
        <v>4912</v>
      </c>
      <c r="C52">
        <v>4769</v>
      </c>
      <c r="D52">
        <v>42.59</v>
      </c>
      <c r="E52">
        <v>34.68</v>
      </c>
      <c r="F52">
        <v>5022</v>
      </c>
      <c r="G52">
        <v>40.96</v>
      </c>
      <c r="H52">
        <v>33.74</v>
      </c>
      <c r="I52">
        <v>4724</v>
      </c>
      <c r="J52">
        <v>610.38</v>
      </c>
      <c r="K52">
        <v>53.62</v>
      </c>
      <c r="L52">
        <v>27.99</v>
      </c>
      <c r="M52">
        <f>Tabla1[[#This Row],[entrada_litros]]*Tabla1[[#This Row],[entrada_grasa_g_l]]/100</f>
        <v>2031.1171000000002</v>
      </c>
      <c r="N52">
        <f>Tabla1[[#This Row],[entrada_prot_g_l]]*Tabla1[[#This Row],[entrada_litros]]/100</f>
        <v>1653.8892000000001</v>
      </c>
      <c r="O52">
        <f>Tabla1[[#This Row],[cuba_fab_litros]]*Tabla1[[#This Row],[cuba_fab_grasa_g_l]]</f>
        <v>205701.12</v>
      </c>
      <c r="P52">
        <f>Tabla1[[#This Row],[cuba_fab_litros]]*Tabla1[[#This Row],[cuba_fab_prot_g_l]]/100</f>
        <v>1694.4228000000001</v>
      </c>
      <c r="Q52">
        <f>Tabla1[[#This Row],[queso_kg]]*Tabla1[[#This Row],[queso_est_pct]]/100</f>
        <v>327.28575599999999</v>
      </c>
      <c r="R52">
        <f>Tabla1[[#This Row],[queso_kg]]*Tabla1[[#This Row],[queso_mg_pct]]/100</f>
        <v>170.84536199999999</v>
      </c>
      <c r="S52">
        <f>_xlfn.ISOWEEKNUM(Tabla1[[#This Row],[fecha]])</f>
        <v>8</v>
      </c>
      <c r="T52">
        <v>8</v>
      </c>
    </row>
    <row r="53" spans="1:20" x14ac:dyDescent="0.25">
      <c r="A53" s="1">
        <v>45342</v>
      </c>
      <c r="B53">
        <v>5281</v>
      </c>
      <c r="C53">
        <v>5127</v>
      </c>
      <c r="D53">
        <v>43.26</v>
      </c>
      <c r="E53">
        <v>36.65</v>
      </c>
      <c r="F53">
        <v>5022</v>
      </c>
      <c r="G53">
        <v>40.97</v>
      </c>
      <c r="H53">
        <v>34.28</v>
      </c>
      <c r="I53">
        <v>4851</v>
      </c>
      <c r="J53">
        <v>645.13</v>
      </c>
      <c r="K53">
        <v>50.31</v>
      </c>
      <c r="L53">
        <v>26.73</v>
      </c>
      <c r="M53">
        <f>Tabla1[[#This Row],[entrada_litros]]*Tabla1[[#This Row],[entrada_grasa_g_l]]/100</f>
        <v>2217.9402</v>
      </c>
      <c r="N53">
        <f>Tabla1[[#This Row],[entrada_prot_g_l]]*Tabla1[[#This Row],[entrada_litros]]/100</f>
        <v>1879.0454999999999</v>
      </c>
      <c r="O53">
        <f>Tabla1[[#This Row],[cuba_fab_litros]]*Tabla1[[#This Row],[cuba_fab_grasa_g_l]]</f>
        <v>205751.34</v>
      </c>
      <c r="P53">
        <f>Tabla1[[#This Row],[cuba_fab_litros]]*Tabla1[[#This Row],[cuba_fab_prot_g_l]]/100</f>
        <v>1721.5416</v>
      </c>
      <c r="Q53">
        <f>Tabla1[[#This Row],[queso_kg]]*Tabla1[[#This Row],[queso_est_pct]]/100</f>
        <v>324.56490300000002</v>
      </c>
      <c r="R53">
        <f>Tabla1[[#This Row],[queso_kg]]*Tabla1[[#This Row],[queso_mg_pct]]/100</f>
        <v>172.44324900000001</v>
      </c>
      <c r="S53">
        <f>_xlfn.ISOWEEKNUM(Tabla1[[#This Row],[fecha]])</f>
        <v>8</v>
      </c>
      <c r="T53">
        <v>8</v>
      </c>
    </row>
    <row r="54" spans="1:20" x14ac:dyDescent="0.25">
      <c r="A54" s="1">
        <v>45343</v>
      </c>
      <c r="B54">
        <v>5168</v>
      </c>
      <c r="C54">
        <v>5017</v>
      </c>
      <c r="D54">
        <v>43.17</v>
      </c>
      <c r="E54">
        <v>35.15</v>
      </c>
      <c r="F54">
        <v>5021</v>
      </c>
      <c r="G54">
        <v>41.2</v>
      </c>
      <c r="H54">
        <v>34.299999999999997</v>
      </c>
      <c r="I54">
        <v>4868</v>
      </c>
      <c r="J54">
        <v>614.73</v>
      </c>
      <c r="K54">
        <v>53.25</v>
      </c>
      <c r="L54">
        <v>27.89</v>
      </c>
      <c r="M54">
        <f>Tabla1[[#This Row],[entrada_litros]]*Tabla1[[#This Row],[entrada_grasa_g_l]]/100</f>
        <v>2165.8389000000002</v>
      </c>
      <c r="N54">
        <f>Tabla1[[#This Row],[entrada_prot_g_l]]*Tabla1[[#This Row],[entrada_litros]]/100</f>
        <v>1763.4754999999998</v>
      </c>
      <c r="O54">
        <f>Tabla1[[#This Row],[cuba_fab_litros]]*Tabla1[[#This Row],[cuba_fab_grasa_g_l]]</f>
        <v>206865.2</v>
      </c>
      <c r="P54">
        <f>Tabla1[[#This Row],[cuba_fab_litros]]*Tabla1[[#This Row],[cuba_fab_prot_g_l]]/100</f>
        <v>1722.203</v>
      </c>
      <c r="Q54">
        <f>Tabla1[[#This Row],[queso_kg]]*Tabla1[[#This Row],[queso_est_pct]]/100</f>
        <v>327.34372500000001</v>
      </c>
      <c r="R54">
        <f>Tabla1[[#This Row],[queso_kg]]*Tabla1[[#This Row],[queso_mg_pct]]/100</f>
        <v>171.44819699999999</v>
      </c>
      <c r="S54">
        <f>_xlfn.ISOWEEKNUM(Tabla1[[#This Row],[fecha]])</f>
        <v>8</v>
      </c>
      <c r="T54">
        <v>8</v>
      </c>
    </row>
    <row r="55" spans="1:20" x14ac:dyDescent="0.25">
      <c r="A55" s="1">
        <v>45344</v>
      </c>
      <c r="B55">
        <v>5225</v>
      </c>
      <c r="C55">
        <v>5073</v>
      </c>
      <c r="D55">
        <v>43.86</v>
      </c>
      <c r="E55">
        <v>34.159999999999997</v>
      </c>
      <c r="F55">
        <v>5020</v>
      </c>
      <c r="G55">
        <v>42.06</v>
      </c>
      <c r="H55">
        <v>33.200000000000003</v>
      </c>
      <c r="I55">
        <v>4941</v>
      </c>
      <c r="J55">
        <v>623.91999999999996</v>
      </c>
      <c r="K55">
        <v>52.97</v>
      </c>
      <c r="L55">
        <v>28.56</v>
      </c>
      <c r="M55">
        <f>Tabla1[[#This Row],[entrada_litros]]*Tabla1[[#This Row],[entrada_grasa_g_l]]/100</f>
        <v>2225.0178000000001</v>
      </c>
      <c r="N55">
        <f>Tabla1[[#This Row],[entrada_prot_g_l]]*Tabla1[[#This Row],[entrada_litros]]/100</f>
        <v>1732.9367999999999</v>
      </c>
      <c r="O55">
        <f>Tabla1[[#This Row],[cuba_fab_litros]]*Tabla1[[#This Row],[cuba_fab_grasa_g_l]]</f>
        <v>211141.2</v>
      </c>
      <c r="P55">
        <f>Tabla1[[#This Row],[cuba_fab_litros]]*Tabla1[[#This Row],[cuba_fab_prot_g_l]]/100</f>
        <v>1666.64</v>
      </c>
      <c r="Q55">
        <f>Tabla1[[#This Row],[queso_kg]]*Tabla1[[#This Row],[queso_est_pct]]/100</f>
        <v>330.49042399999996</v>
      </c>
      <c r="R55">
        <f>Tabla1[[#This Row],[queso_kg]]*Tabla1[[#This Row],[queso_mg_pct]]/100</f>
        <v>178.19155199999997</v>
      </c>
      <c r="S55">
        <f>_xlfn.ISOWEEKNUM(Tabla1[[#This Row],[fecha]])</f>
        <v>8</v>
      </c>
      <c r="T55">
        <v>8</v>
      </c>
    </row>
    <row r="56" spans="1:20" x14ac:dyDescent="0.25">
      <c r="A56" s="1">
        <v>45345</v>
      </c>
      <c r="F56">
        <v>4972</v>
      </c>
      <c r="G56">
        <v>41.34</v>
      </c>
      <c r="H56">
        <v>33.340000000000003</v>
      </c>
      <c r="J56">
        <v>605.35</v>
      </c>
      <c r="K56">
        <v>53.53</v>
      </c>
      <c r="L56">
        <v>27.68</v>
      </c>
      <c r="M56">
        <f>Tabla1[[#This Row],[entrada_litros]]*Tabla1[[#This Row],[entrada_grasa_g_l]]/100</f>
        <v>0</v>
      </c>
      <c r="N56">
        <f>Tabla1[[#This Row],[entrada_prot_g_l]]*Tabla1[[#This Row],[entrada_litros]]/100</f>
        <v>0</v>
      </c>
      <c r="O56">
        <f>Tabla1[[#This Row],[cuba_fab_litros]]*Tabla1[[#This Row],[cuba_fab_grasa_g_l]]</f>
        <v>205542.48</v>
      </c>
      <c r="P56">
        <f>Tabla1[[#This Row],[cuba_fab_litros]]*Tabla1[[#This Row],[cuba_fab_prot_g_l]]/100</f>
        <v>1657.6648</v>
      </c>
      <c r="Q56">
        <f>Tabla1[[#This Row],[queso_kg]]*Tabla1[[#This Row],[queso_est_pct]]/100</f>
        <v>324.04385500000001</v>
      </c>
      <c r="R56">
        <f>Tabla1[[#This Row],[queso_kg]]*Tabla1[[#This Row],[queso_mg_pct]]/100</f>
        <v>167.56088</v>
      </c>
      <c r="S56">
        <f>_xlfn.ISOWEEKNUM(Tabla1[[#This Row],[fecha]])</f>
        <v>8</v>
      </c>
      <c r="T56">
        <v>8</v>
      </c>
    </row>
    <row r="57" spans="1:20" x14ac:dyDescent="0.25">
      <c r="A57" s="1">
        <v>45346</v>
      </c>
      <c r="M57">
        <f>Tabla1[[#This Row],[entrada_litros]]*Tabla1[[#This Row],[entrada_grasa_g_l]]/100</f>
        <v>0</v>
      </c>
      <c r="N57">
        <f>Tabla1[[#This Row],[entrada_prot_g_l]]*Tabla1[[#This Row],[entrada_litros]]/100</f>
        <v>0</v>
      </c>
      <c r="O57">
        <f>Tabla1[[#This Row],[cuba_fab_litros]]*Tabla1[[#This Row],[cuba_fab_grasa_g_l]]</f>
        <v>0</v>
      </c>
      <c r="P57">
        <f>Tabla1[[#This Row],[cuba_fab_litros]]*Tabla1[[#This Row],[cuba_fab_prot_g_l]]/100</f>
        <v>0</v>
      </c>
      <c r="Q57">
        <f>Tabla1[[#This Row],[queso_kg]]*Tabla1[[#This Row],[queso_est_pct]]/100</f>
        <v>0</v>
      </c>
      <c r="R57">
        <f>Tabla1[[#This Row],[queso_kg]]*Tabla1[[#This Row],[queso_mg_pct]]/100</f>
        <v>0</v>
      </c>
      <c r="S57">
        <f>_xlfn.ISOWEEKNUM(Tabla1[[#This Row],[fecha]])</f>
        <v>8</v>
      </c>
      <c r="T57">
        <v>8</v>
      </c>
    </row>
    <row r="58" spans="1:20" x14ac:dyDescent="0.25">
      <c r="A58" s="1">
        <v>45347</v>
      </c>
      <c r="B58">
        <v>5258</v>
      </c>
      <c r="C58">
        <v>5105</v>
      </c>
      <c r="D58">
        <v>41.89</v>
      </c>
      <c r="E58">
        <v>34.409999999999997</v>
      </c>
      <c r="I58">
        <v>5105</v>
      </c>
      <c r="M58">
        <f>Tabla1[[#This Row],[entrada_litros]]*Tabla1[[#This Row],[entrada_grasa_g_l]]/100</f>
        <v>2138.4845</v>
      </c>
      <c r="N58">
        <f>Tabla1[[#This Row],[entrada_prot_g_l]]*Tabla1[[#This Row],[entrada_litros]]/100</f>
        <v>1756.6305</v>
      </c>
      <c r="O58">
        <f>Tabla1[[#This Row],[cuba_fab_litros]]*Tabla1[[#This Row],[cuba_fab_grasa_g_l]]</f>
        <v>0</v>
      </c>
      <c r="P58">
        <f>Tabla1[[#This Row],[cuba_fab_litros]]*Tabla1[[#This Row],[cuba_fab_prot_g_l]]/100</f>
        <v>0</v>
      </c>
      <c r="Q58">
        <f>Tabla1[[#This Row],[queso_kg]]*Tabla1[[#This Row],[queso_est_pct]]/100</f>
        <v>0</v>
      </c>
      <c r="R58">
        <f>Tabla1[[#This Row],[queso_kg]]*Tabla1[[#This Row],[queso_mg_pct]]/100</f>
        <v>0</v>
      </c>
      <c r="S58">
        <f>_xlfn.ISOWEEKNUM(Tabla1[[#This Row],[fecha]])</f>
        <v>8</v>
      </c>
      <c r="T58">
        <v>9</v>
      </c>
    </row>
    <row r="59" spans="1:20" x14ac:dyDescent="0.25">
      <c r="A59" s="1">
        <v>45348</v>
      </c>
      <c r="B59">
        <v>4579</v>
      </c>
      <c r="C59">
        <v>4446</v>
      </c>
      <c r="D59">
        <v>42.48</v>
      </c>
      <c r="E59">
        <v>37.74</v>
      </c>
      <c r="F59">
        <v>5029</v>
      </c>
      <c r="G59">
        <v>40.08</v>
      </c>
      <c r="H59">
        <v>34.520000000000003</v>
      </c>
      <c r="I59">
        <v>4551</v>
      </c>
      <c r="J59">
        <v>626.98</v>
      </c>
      <c r="K59">
        <v>52.13</v>
      </c>
      <c r="L59">
        <v>27.11</v>
      </c>
      <c r="M59">
        <f>Tabla1[[#This Row],[entrada_litros]]*Tabla1[[#This Row],[entrada_grasa_g_l]]/100</f>
        <v>1888.6607999999999</v>
      </c>
      <c r="N59">
        <f>Tabla1[[#This Row],[entrada_prot_g_l]]*Tabla1[[#This Row],[entrada_litros]]/100</f>
        <v>1677.9204</v>
      </c>
      <c r="O59">
        <f>Tabla1[[#This Row],[cuba_fab_litros]]*Tabla1[[#This Row],[cuba_fab_grasa_g_l]]</f>
        <v>201562.31999999998</v>
      </c>
      <c r="P59">
        <f>Tabla1[[#This Row],[cuba_fab_litros]]*Tabla1[[#This Row],[cuba_fab_prot_g_l]]/100</f>
        <v>1736.0108000000002</v>
      </c>
      <c r="Q59">
        <f>Tabla1[[#This Row],[queso_kg]]*Tabla1[[#This Row],[queso_est_pct]]/100</f>
        <v>326.844674</v>
      </c>
      <c r="R59">
        <f>Tabla1[[#This Row],[queso_kg]]*Tabla1[[#This Row],[queso_mg_pct]]/100</f>
        <v>169.97427800000003</v>
      </c>
      <c r="S59">
        <f>_xlfn.ISOWEEKNUM(Tabla1[[#This Row],[fecha]])</f>
        <v>9</v>
      </c>
      <c r="T59">
        <v>9</v>
      </c>
    </row>
    <row r="60" spans="1:20" x14ac:dyDescent="0.25">
      <c r="A60" s="1">
        <v>45349</v>
      </c>
      <c r="B60">
        <v>5273</v>
      </c>
      <c r="C60">
        <v>5119</v>
      </c>
      <c r="D60">
        <v>44.36</v>
      </c>
      <c r="E60">
        <v>35.369999999999997</v>
      </c>
      <c r="F60">
        <v>5027</v>
      </c>
      <c r="G60">
        <v>41.27</v>
      </c>
      <c r="H60">
        <v>33.880000000000003</v>
      </c>
      <c r="I60">
        <v>4670</v>
      </c>
      <c r="J60">
        <v>646.76</v>
      </c>
      <c r="K60">
        <v>50.95</v>
      </c>
      <c r="L60">
        <v>27.1</v>
      </c>
      <c r="M60">
        <f>Tabla1[[#This Row],[entrada_litros]]*Tabla1[[#This Row],[entrada_grasa_g_l]]/100</f>
        <v>2270.7883999999999</v>
      </c>
      <c r="N60">
        <f>Tabla1[[#This Row],[entrada_prot_g_l]]*Tabla1[[#This Row],[entrada_litros]]/100</f>
        <v>1810.5903000000001</v>
      </c>
      <c r="O60">
        <f>Tabla1[[#This Row],[cuba_fab_litros]]*Tabla1[[#This Row],[cuba_fab_grasa_g_l]]</f>
        <v>207464.29</v>
      </c>
      <c r="P60">
        <f>Tabla1[[#This Row],[cuba_fab_litros]]*Tabla1[[#This Row],[cuba_fab_prot_g_l]]/100</f>
        <v>1703.1476</v>
      </c>
      <c r="Q60">
        <f>Tabla1[[#This Row],[queso_kg]]*Tabla1[[#This Row],[queso_est_pct]]/100</f>
        <v>329.52422000000001</v>
      </c>
      <c r="R60">
        <f>Tabla1[[#This Row],[queso_kg]]*Tabla1[[#This Row],[queso_mg_pct]]/100</f>
        <v>175.27196000000001</v>
      </c>
      <c r="S60">
        <f>_xlfn.ISOWEEKNUM(Tabla1[[#This Row],[fecha]])</f>
        <v>9</v>
      </c>
      <c r="T60">
        <v>9</v>
      </c>
    </row>
    <row r="61" spans="1:20" x14ac:dyDescent="0.25">
      <c r="A61" s="1">
        <v>45350</v>
      </c>
      <c r="B61">
        <v>4509</v>
      </c>
      <c r="C61">
        <v>4378</v>
      </c>
      <c r="D61">
        <v>41.34</v>
      </c>
      <c r="E61">
        <v>34.82</v>
      </c>
      <c r="F61">
        <v>5024</v>
      </c>
      <c r="G61">
        <v>41.03</v>
      </c>
      <c r="H61">
        <v>33.57</v>
      </c>
      <c r="I61">
        <v>4048</v>
      </c>
      <c r="J61">
        <v>583.33000000000004</v>
      </c>
      <c r="K61">
        <v>55.95</v>
      </c>
      <c r="L61">
        <v>28.4</v>
      </c>
      <c r="M61">
        <f>Tabla1[[#This Row],[entrada_litros]]*Tabla1[[#This Row],[entrada_grasa_g_l]]/100</f>
        <v>1809.8652000000002</v>
      </c>
      <c r="N61">
        <f>Tabla1[[#This Row],[entrada_prot_g_l]]*Tabla1[[#This Row],[entrada_litros]]/100</f>
        <v>1524.4195999999999</v>
      </c>
      <c r="O61">
        <f>Tabla1[[#This Row],[cuba_fab_litros]]*Tabla1[[#This Row],[cuba_fab_grasa_g_l]]</f>
        <v>206134.72</v>
      </c>
      <c r="P61">
        <f>Tabla1[[#This Row],[cuba_fab_litros]]*Tabla1[[#This Row],[cuba_fab_prot_g_l]]/100</f>
        <v>1686.5567999999998</v>
      </c>
      <c r="Q61">
        <f>Tabla1[[#This Row],[queso_kg]]*Tabla1[[#This Row],[queso_est_pct]]/100</f>
        <v>326.37313500000005</v>
      </c>
      <c r="R61">
        <f>Tabla1[[#This Row],[queso_kg]]*Tabla1[[#This Row],[queso_mg_pct]]/100</f>
        <v>165.66571999999999</v>
      </c>
      <c r="S61">
        <f>_xlfn.ISOWEEKNUM(Tabla1[[#This Row],[fecha]])</f>
        <v>9</v>
      </c>
      <c r="T61">
        <v>9</v>
      </c>
    </row>
    <row r="62" spans="1:20" x14ac:dyDescent="0.25">
      <c r="A62" s="1">
        <v>45351</v>
      </c>
      <c r="B62">
        <v>5187</v>
      </c>
      <c r="C62">
        <v>5036</v>
      </c>
      <c r="D62">
        <v>46.34</v>
      </c>
      <c r="E62">
        <v>37.83</v>
      </c>
      <c r="F62">
        <v>5026</v>
      </c>
      <c r="G62">
        <v>42.79</v>
      </c>
      <c r="H62">
        <v>35.06</v>
      </c>
      <c r="I62">
        <v>4084</v>
      </c>
      <c r="J62">
        <v>623.33000000000004</v>
      </c>
      <c r="K62">
        <v>51.98</v>
      </c>
      <c r="L62">
        <v>26.68</v>
      </c>
      <c r="M62">
        <f>Tabla1[[#This Row],[entrada_litros]]*Tabla1[[#This Row],[entrada_grasa_g_l]]/100</f>
        <v>2333.6824000000001</v>
      </c>
      <c r="N62">
        <f>Tabla1[[#This Row],[entrada_prot_g_l]]*Tabla1[[#This Row],[entrada_litros]]/100</f>
        <v>1905.1188</v>
      </c>
      <c r="O62">
        <f>Tabla1[[#This Row],[cuba_fab_litros]]*Tabla1[[#This Row],[cuba_fab_grasa_g_l]]</f>
        <v>215062.54</v>
      </c>
      <c r="P62">
        <f>Tabla1[[#This Row],[cuba_fab_litros]]*Tabla1[[#This Row],[cuba_fab_prot_g_l]]/100</f>
        <v>1762.1156000000001</v>
      </c>
      <c r="Q62">
        <f>Tabla1[[#This Row],[queso_kg]]*Tabla1[[#This Row],[queso_est_pct]]/100</f>
        <v>324.006934</v>
      </c>
      <c r="R62">
        <f>Tabla1[[#This Row],[queso_kg]]*Tabla1[[#This Row],[queso_mg_pct]]/100</f>
        <v>166.30444399999999</v>
      </c>
      <c r="S62">
        <f>_xlfn.ISOWEEKNUM(Tabla1[[#This Row],[fecha]])</f>
        <v>9</v>
      </c>
      <c r="T62">
        <v>9</v>
      </c>
    </row>
    <row r="63" spans="1:20" x14ac:dyDescent="0.25">
      <c r="A63" s="1">
        <v>45352</v>
      </c>
      <c r="F63">
        <v>4106</v>
      </c>
      <c r="G63">
        <v>43.02</v>
      </c>
      <c r="H63">
        <v>34.99</v>
      </c>
      <c r="J63">
        <v>515.34</v>
      </c>
      <c r="K63">
        <v>52.27</v>
      </c>
      <c r="L63">
        <v>26.6</v>
      </c>
      <c r="M63">
        <f>Tabla1[[#This Row],[entrada_litros]]*Tabla1[[#This Row],[entrada_grasa_g_l]]/100</f>
        <v>0</v>
      </c>
      <c r="N63">
        <f>Tabla1[[#This Row],[entrada_prot_g_l]]*Tabla1[[#This Row],[entrada_litros]]/100</f>
        <v>0</v>
      </c>
      <c r="O63">
        <f>Tabla1[[#This Row],[cuba_fab_litros]]*Tabla1[[#This Row],[cuba_fab_grasa_g_l]]</f>
        <v>176640.12000000002</v>
      </c>
      <c r="P63">
        <f>Tabla1[[#This Row],[cuba_fab_litros]]*Tabla1[[#This Row],[cuba_fab_prot_g_l]]/100</f>
        <v>1436.6894</v>
      </c>
      <c r="Q63">
        <f>Tabla1[[#This Row],[queso_kg]]*Tabla1[[#This Row],[queso_est_pct]]/100</f>
        <v>269.36821800000001</v>
      </c>
      <c r="R63">
        <f>Tabla1[[#This Row],[queso_kg]]*Tabla1[[#This Row],[queso_mg_pct]]/100</f>
        <v>137.08044000000001</v>
      </c>
      <c r="S63">
        <f>_xlfn.ISOWEEKNUM(Tabla1[[#This Row],[fecha]])</f>
        <v>9</v>
      </c>
      <c r="T63">
        <v>9</v>
      </c>
    </row>
    <row r="64" spans="1:20" x14ac:dyDescent="0.25">
      <c r="A64" s="1">
        <v>45353</v>
      </c>
      <c r="M64">
        <f>Tabla1[[#This Row],[entrada_litros]]*Tabla1[[#This Row],[entrada_grasa_g_l]]/100</f>
        <v>0</v>
      </c>
      <c r="N64">
        <f>Tabla1[[#This Row],[entrada_prot_g_l]]*Tabla1[[#This Row],[entrada_litros]]/100</f>
        <v>0</v>
      </c>
      <c r="O64">
        <f>Tabla1[[#This Row],[cuba_fab_litros]]*Tabla1[[#This Row],[cuba_fab_grasa_g_l]]</f>
        <v>0</v>
      </c>
      <c r="P64">
        <f>Tabla1[[#This Row],[cuba_fab_litros]]*Tabla1[[#This Row],[cuba_fab_prot_g_l]]/100</f>
        <v>0</v>
      </c>
      <c r="Q64">
        <f>Tabla1[[#This Row],[queso_kg]]*Tabla1[[#This Row],[queso_est_pct]]/100</f>
        <v>0</v>
      </c>
      <c r="R64">
        <f>Tabla1[[#This Row],[queso_kg]]*Tabla1[[#This Row],[queso_mg_pct]]/100</f>
        <v>0</v>
      </c>
      <c r="S64">
        <f>_xlfn.ISOWEEKNUM(Tabla1[[#This Row],[fecha]])</f>
        <v>9</v>
      </c>
      <c r="T64">
        <v>9</v>
      </c>
    </row>
    <row r="65" spans="1:20" x14ac:dyDescent="0.25">
      <c r="A65" s="1">
        <v>45354</v>
      </c>
      <c r="B65">
        <v>5478</v>
      </c>
      <c r="C65">
        <v>5318</v>
      </c>
      <c r="D65">
        <v>41.57</v>
      </c>
      <c r="E65">
        <v>35.5</v>
      </c>
      <c r="I65">
        <v>5318</v>
      </c>
      <c r="M65">
        <f>Tabla1[[#This Row],[entrada_litros]]*Tabla1[[#This Row],[entrada_grasa_g_l]]/100</f>
        <v>2210.6926000000003</v>
      </c>
      <c r="N65">
        <f>Tabla1[[#This Row],[entrada_prot_g_l]]*Tabla1[[#This Row],[entrada_litros]]/100</f>
        <v>1887.89</v>
      </c>
      <c r="O65">
        <f>Tabla1[[#This Row],[cuba_fab_litros]]*Tabla1[[#This Row],[cuba_fab_grasa_g_l]]</f>
        <v>0</v>
      </c>
      <c r="P65">
        <f>Tabla1[[#This Row],[cuba_fab_litros]]*Tabla1[[#This Row],[cuba_fab_prot_g_l]]/100</f>
        <v>0</v>
      </c>
      <c r="Q65">
        <f>Tabla1[[#This Row],[queso_kg]]*Tabla1[[#This Row],[queso_est_pct]]/100</f>
        <v>0</v>
      </c>
      <c r="R65">
        <f>Tabla1[[#This Row],[queso_kg]]*Tabla1[[#This Row],[queso_mg_pct]]/100</f>
        <v>0</v>
      </c>
      <c r="S65">
        <f>_xlfn.ISOWEEKNUM(Tabla1[[#This Row],[fecha]])</f>
        <v>9</v>
      </c>
      <c r="T65">
        <v>10</v>
      </c>
    </row>
    <row r="66" spans="1:20" x14ac:dyDescent="0.25">
      <c r="A66" s="1">
        <v>45355</v>
      </c>
      <c r="B66">
        <v>4922</v>
      </c>
      <c r="C66">
        <v>4779</v>
      </c>
      <c r="D66">
        <v>43.21</v>
      </c>
      <c r="E66">
        <v>36.380000000000003</v>
      </c>
      <c r="F66">
        <v>5022</v>
      </c>
      <c r="G66">
        <v>40.700000000000003</v>
      </c>
      <c r="H66">
        <v>34.18</v>
      </c>
      <c r="I66">
        <v>5097</v>
      </c>
      <c r="J66">
        <v>614.59</v>
      </c>
      <c r="K66">
        <v>52.86</v>
      </c>
      <c r="L66">
        <v>26.92</v>
      </c>
      <c r="M66">
        <f>Tabla1[[#This Row],[entrada_litros]]*Tabla1[[#This Row],[entrada_grasa_g_l]]/100</f>
        <v>2065.0059000000001</v>
      </c>
      <c r="N66">
        <f>Tabla1[[#This Row],[entrada_prot_g_l]]*Tabla1[[#This Row],[entrada_litros]]/100</f>
        <v>1738.6002000000001</v>
      </c>
      <c r="O66">
        <f>Tabla1[[#This Row],[cuba_fab_litros]]*Tabla1[[#This Row],[cuba_fab_grasa_g_l]]</f>
        <v>204395.40000000002</v>
      </c>
      <c r="P66">
        <f>Tabla1[[#This Row],[cuba_fab_litros]]*Tabla1[[#This Row],[cuba_fab_prot_g_l]]/100</f>
        <v>1716.5195999999999</v>
      </c>
      <c r="Q66">
        <f>Tabla1[[#This Row],[queso_kg]]*Tabla1[[#This Row],[queso_est_pct]]/100</f>
        <v>324.872274</v>
      </c>
      <c r="R66">
        <f>Tabla1[[#This Row],[queso_kg]]*Tabla1[[#This Row],[queso_mg_pct]]/100</f>
        <v>165.44762800000001</v>
      </c>
      <c r="S66">
        <f>_xlfn.ISOWEEKNUM(Tabla1[[#This Row],[fecha]])</f>
        <v>10</v>
      </c>
      <c r="T66">
        <v>10</v>
      </c>
    </row>
    <row r="67" spans="1:20" x14ac:dyDescent="0.25">
      <c r="A67" s="1">
        <v>45356</v>
      </c>
      <c r="B67">
        <v>5113</v>
      </c>
      <c r="C67">
        <v>4964</v>
      </c>
      <c r="D67">
        <v>40.44</v>
      </c>
      <c r="E67">
        <v>36.74</v>
      </c>
      <c r="F67">
        <v>5026</v>
      </c>
      <c r="G67">
        <v>39.78</v>
      </c>
      <c r="H67">
        <v>34.82</v>
      </c>
      <c r="I67">
        <v>5061</v>
      </c>
      <c r="J67">
        <v>659.31</v>
      </c>
      <c r="K67">
        <v>49.1</v>
      </c>
      <c r="L67">
        <v>25.47</v>
      </c>
      <c r="M67">
        <f>Tabla1[[#This Row],[entrada_litros]]*Tabla1[[#This Row],[entrada_grasa_g_l]]/100</f>
        <v>2007.4415999999997</v>
      </c>
      <c r="N67">
        <f>Tabla1[[#This Row],[entrada_prot_g_l]]*Tabla1[[#This Row],[entrada_litros]]/100</f>
        <v>1823.7736000000002</v>
      </c>
      <c r="O67">
        <f>Tabla1[[#This Row],[cuba_fab_litros]]*Tabla1[[#This Row],[cuba_fab_grasa_g_l]]</f>
        <v>199934.28</v>
      </c>
      <c r="P67">
        <f>Tabla1[[#This Row],[cuba_fab_litros]]*Tabla1[[#This Row],[cuba_fab_prot_g_l]]/100</f>
        <v>1750.0532000000001</v>
      </c>
      <c r="Q67">
        <f>Tabla1[[#This Row],[queso_kg]]*Tabla1[[#This Row],[queso_est_pct]]/100</f>
        <v>323.72120999999999</v>
      </c>
      <c r="R67">
        <f>Tabla1[[#This Row],[queso_kg]]*Tabla1[[#This Row],[queso_mg_pct]]/100</f>
        <v>167.92625699999996</v>
      </c>
      <c r="S67">
        <f>_xlfn.ISOWEEKNUM(Tabla1[[#This Row],[fecha]])</f>
        <v>10</v>
      </c>
      <c r="T67">
        <v>10</v>
      </c>
    </row>
    <row r="68" spans="1:20" x14ac:dyDescent="0.25">
      <c r="A68" s="1">
        <v>45357</v>
      </c>
      <c r="B68">
        <v>4945</v>
      </c>
      <c r="C68">
        <v>4801</v>
      </c>
      <c r="D68">
        <v>42.26</v>
      </c>
      <c r="E68">
        <v>37.29</v>
      </c>
      <c r="F68">
        <v>5036</v>
      </c>
      <c r="G68">
        <v>39.96</v>
      </c>
      <c r="H68">
        <v>35.01</v>
      </c>
      <c r="I68">
        <v>4862</v>
      </c>
      <c r="J68">
        <v>624.79999999999995</v>
      </c>
      <c r="K68">
        <v>52.71</v>
      </c>
      <c r="L68">
        <v>27.56</v>
      </c>
      <c r="M68">
        <f>Tabla1[[#This Row],[entrada_litros]]*Tabla1[[#This Row],[entrada_grasa_g_l]]/100</f>
        <v>2028.9025999999999</v>
      </c>
      <c r="N68">
        <f>Tabla1[[#This Row],[entrada_prot_g_l]]*Tabla1[[#This Row],[entrada_litros]]/100</f>
        <v>1790.2929000000001</v>
      </c>
      <c r="O68">
        <f>Tabla1[[#This Row],[cuba_fab_litros]]*Tabla1[[#This Row],[cuba_fab_grasa_g_l]]</f>
        <v>201238.56</v>
      </c>
      <c r="P68">
        <f>Tabla1[[#This Row],[cuba_fab_litros]]*Tabla1[[#This Row],[cuba_fab_prot_g_l]]/100</f>
        <v>1763.1035999999999</v>
      </c>
      <c r="Q68">
        <f>Tabla1[[#This Row],[queso_kg]]*Tabla1[[#This Row],[queso_est_pct]]/100</f>
        <v>329.33207999999996</v>
      </c>
      <c r="R68">
        <f>Tabla1[[#This Row],[queso_kg]]*Tabla1[[#This Row],[queso_mg_pct]]/100</f>
        <v>172.19487999999998</v>
      </c>
      <c r="S68">
        <f>_xlfn.ISOWEEKNUM(Tabla1[[#This Row],[fecha]])</f>
        <v>10</v>
      </c>
      <c r="T68">
        <v>10</v>
      </c>
    </row>
    <row r="69" spans="1:20" x14ac:dyDescent="0.25">
      <c r="A69" s="1">
        <v>45358</v>
      </c>
      <c r="B69">
        <v>5339</v>
      </c>
      <c r="C69">
        <v>5183</v>
      </c>
      <c r="D69">
        <v>40.24</v>
      </c>
      <c r="E69">
        <v>37.42</v>
      </c>
      <c r="F69">
        <v>5021</v>
      </c>
      <c r="G69">
        <v>39.25</v>
      </c>
      <c r="H69">
        <v>35.57</v>
      </c>
      <c r="I69">
        <v>5045</v>
      </c>
      <c r="J69">
        <v>623.74</v>
      </c>
      <c r="K69">
        <v>52.23</v>
      </c>
      <c r="L69">
        <v>26.98</v>
      </c>
      <c r="M69">
        <f>Tabla1[[#This Row],[entrada_litros]]*Tabla1[[#This Row],[entrada_grasa_g_l]]/100</f>
        <v>2085.6392000000001</v>
      </c>
      <c r="N69">
        <f>Tabla1[[#This Row],[entrada_prot_g_l]]*Tabla1[[#This Row],[entrada_litros]]/100</f>
        <v>1939.4786000000001</v>
      </c>
      <c r="O69">
        <f>Tabla1[[#This Row],[cuba_fab_litros]]*Tabla1[[#This Row],[cuba_fab_grasa_g_l]]</f>
        <v>197074.25</v>
      </c>
      <c r="P69">
        <f>Tabla1[[#This Row],[cuba_fab_litros]]*Tabla1[[#This Row],[cuba_fab_prot_g_l]]/100</f>
        <v>1785.9697000000001</v>
      </c>
      <c r="Q69">
        <f>Tabla1[[#This Row],[queso_kg]]*Tabla1[[#This Row],[queso_est_pct]]/100</f>
        <v>325.77940199999995</v>
      </c>
      <c r="R69">
        <f>Tabla1[[#This Row],[queso_kg]]*Tabla1[[#This Row],[queso_mg_pct]]/100</f>
        <v>168.28505200000001</v>
      </c>
      <c r="S69">
        <f>_xlfn.ISOWEEKNUM(Tabla1[[#This Row],[fecha]])</f>
        <v>10</v>
      </c>
      <c r="T69">
        <v>10</v>
      </c>
    </row>
    <row r="70" spans="1:20" x14ac:dyDescent="0.25">
      <c r="A70" s="1">
        <v>45359</v>
      </c>
      <c r="F70">
        <v>5067</v>
      </c>
      <c r="G70">
        <v>39.22</v>
      </c>
      <c r="H70">
        <v>35.229999999999997</v>
      </c>
      <c r="J70">
        <v>638.99</v>
      </c>
      <c r="K70">
        <v>51.54</v>
      </c>
      <c r="L70">
        <v>25.94</v>
      </c>
      <c r="M70">
        <f>Tabla1[[#This Row],[entrada_litros]]*Tabla1[[#This Row],[entrada_grasa_g_l]]/100</f>
        <v>0</v>
      </c>
      <c r="N70">
        <f>Tabla1[[#This Row],[entrada_prot_g_l]]*Tabla1[[#This Row],[entrada_litros]]/100</f>
        <v>0</v>
      </c>
      <c r="O70">
        <f>Tabla1[[#This Row],[cuba_fab_litros]]*Tabla1[[#This Row],[cuba_fab_grasa_g_l]]</f>
        <v>198727.74</v>
      </c>
      <c r="P70">
        <f>Tabla1[[#This Row],[cuba_fab_litros]]*Tabla1[[#This Row],[cuba_fab_prot_g_l]]/100</f>
        <v>1785.1040999999998</v>
      </c>
      <c r="Q70">
        <f>Tabla1[[#This Row],[queso_kg]]*Tabla1[[#This Row],[queso_est_pct]]/100</f>
        <v>329.33544599999999</v>
      </c>
      <c r="R70">
        <f>Tabla1[[#This Row],[queso_kg]]*Tabla1[[#This Row],[queso_mg_pct]]/100</f>
        <v>165.754006</v>
      </c>
      <c r="S70">
        <f>_xlfn.ISOWEEKNUM(Tabla1[[#This Row],[fecha]])</f>
        <v>10</v>
      </c>
      <c r="T70">
        <v>10</v>
      </c>
    </row>
    <row r="71" spans="1:20" x14ac:dyDescent="0.25">
      <c r="A71" s="1">
        <v>45360</v>
      </c>
      <c r="M71">
        <f>Tabla1[[#This Row],[entrada_litros]]*Tabla1[[#This Row],[entrada_grasa_g_l]]/100</f>
        <v>0</v>
      </c>
      <c r="N71">
        <f>Tabla1[[#This Row],[entrada_prot_g_l]]*Tabla1[[#This Row],[entrada_litros]]/100</f>
        <v>0</v>
      </c>
      <c r="O71">
        <f>Tabla1[[#This Row],[cuba_fab_litros]]*Tabla1[[#This Row],[cuba_fab_grasa_g_l]]</f>
        <v>0</v>
      </c>
      <c r="P71">
        <f>Tabla1[[#This Row],[cuba_fab_litros]]*Tabla1[[#This Row],[cuba_fab_prot_g_l]]/100</f>
        <v>0</v>
      </c>
      <c r="Q71">
        <f>Tabla1[[#This Row],[queso_kg]]*Tabla1[[#This Row],[queso_est_pct]]/100</f>
        <v>0</v>
      </c>
      <c r="R71">
        <f>Tabla1[[#This Row],[queso_kg]]*Tabla1[[#This Row],[queso_mg_pct]]/100</f>
        <v>0</v>
      </c>
      <c r="S71">
        <f>_xlfn.ISOWEEKNUM(Tabla1[[#This Row],[fecha]])</f>
        <v>10</v>
      </c>
      <c r="T71">
        <v>10</v>
      </c>
    </row>
    <row r="72" spans="1:20" x14ac:dyDescent="0.25">
      <c r="A72" s="1">
        <v>45361</v>
      </c>
      <c r="B72">
        <v>4546</v>
      </c>
      <c r="C72">
        <v>4414</v>
      </c>
      <c r="D72">
        <v>43.53</v>
      </c>
      <c r="E72">
        <v>36.44</v>
      </c>
      <c r="I72">
        <v>4414</v>
      </c>
      <c r="M72">
        <f>Tabla1[[#This Row],[entrada_litros]]*Tabla1[[#This Row],[entrada_grasa_g_l]]/100</f>
        <v>1921.4142000000002</v>
      </c>
      <c r="N72">
        <f>Tabla1[[#This Row],[entrada_prot_g_l]]*Tabla1[[#This Row],[entrada_litros]]/100</f>
        <v>1608.4616000000001</v>
      </c>
      <c r="O72">
        <f>Tabla1[[#This Row],[cuba_fab_litros]]*Tabla1[[#This Row],[cuba_fab_grasa_g_l]]</f>
        <v>0</v>
      </c>
      <c r="P72">
        <f>Tabla1[[#This Row],[cuba_fab_litros]]*Tabla1[[#This Row],[cuba_fab_prot_g_l]]/100</f>
        <v>0</v>
      </c>
      <c r="Q72">
        <f>Tabla1[[#This Row],[queso_kg]]*Tabla1[[#This Row],[queso_est_pct]]/100</f>
        <v>0</v>
      </c>
      <c r="R72">
        <f>Tabla1[[#This Row],[queso_kg]]*Tabla1[[#This Row],[queso_mg_pct]]/100</f>
        <v>0</v>
      </c>
      <c r="S72">
        <f>_xlfn.ISOWEEKNUM(Tabla1[[#This Row],[fecha]])</f>
        <v>10</v>
      </c>
      <c r="T72">
        <v>11</v>
      </c>
    </row>
    <row r="73" spans="1:20" x14ac:dyDescent="0.25">
      <c r="A73" s="1">
        <v>45362</v>
      </c>
      <c r="B73">
        <v>5363</v>
      </c>
      <c r="C73">
        <v>5207</v>
      </c>
      <c r="D73">
        <v>41.88</v>
      </c>
      <c r="E73">
        <v>34.380000000000003</v>
      </c>
      <c r="F73">
        <v>5028</v>
      </c>
      <c r="G73">
        <v>40.659999999999997</v>
      </c>
      <c r="H73">
        <v>33.6</v>
      </c>
      <c r="I73">
        <v>4621</v>
      </c>
      <c r="J73">
        <v>653.71</v>
      </c>
      <c r="K73">
        <v>50.66</v>
      </c>
      <c r="L73">
        <v>27.12</v>
      </c>
      <c r="M73">
        <f>Tabla1[[#This Row],[entrada_litros]]*Tabla1[[#This Row],[entrada_grasa_g_l]]/100</f>
        <v>2180.6916000000001</v>
      </c>
      <c r="N73">
        <f>Tabla1[[#This Row],[entrada_prot_g_l]]*Tabla1[[#This Row],[entrada_litros]]/100</f>
        <v>1790.1666</v>
      </c>
      <c r="O73">
        <f>Tabla1[[#This Row],[cuba_fab_litros]]*Tabla1[[#This Row],[cuba_fab_grasa_g_l]]</f>
        <v>204438.47999999998</v>
      </c>
      <c r="P73">
        <f>Tabla1[[#This Row],[cuba_fab_litros]]*Tabla1[[#This Row],[cuba_fab_prot_g_l]]/100</f>
        <v>1689.4080000000001</v>
      </c>
      <c r="Q73">
        <f>Tabla1[[#This Row],[queso_kg]]*Tabla1[[#This Row],[queso_est_pct]]/100</f>
        <v>331.16948599999995</v>
      </c>
      <c r="R73">
        <f>Tabla1[[#This Row],[queso_kg]]*Tabla1[[#This Row],[queso_mg_pct]]/100</f>
        <v>177.28615200000002</v>
      </c>
      <c r="S73">
        <f>_xlfn.ISOWEEKNUM(Tabla1[[#This Row],[fecha]])</f>
        <v>11</v>
      </c>
      <c r="T73">
        <v>11</v>
      </c>
    </row>
    <row r="74" spans="1:20" x14ac:dyDescent="0.25">
      <c r="A74" s="1">
        <v>45363</v>
      </c>
      <c r="B74">
        <v>5497</v>
      </c>
      <c r="C74">
        <v>5337</v>
      </c>
      <c r="D74">
        <v>45.35</v>
      </c>
      <c r="E74">
        <v>37.54</v>
      </c>
      <c r="F74">
        <v>5025</v>
      </c>
      <c r="G74">
        <v>42.04</v>
      </c>
      <c r="H74">
        <v>34.880000000000003</v>
      </c>
      <c r="I74">
        <v>4958</v>
      </c>
      <c r="J74">
        <v>612.37</v>
      </c>
      <c r="K74">
        <v>53.7</v>
      </c>
      <c r="L74">
        <v>27.9</v>
      </c>
      <c r="M74">
        <f>Tabla1[[#This Row],[entrada_litros]]*Tabla1[[#This Row],[entrada_grasa_g_l]]/100</f>
        <v>2420.3295000000003</v>
      </c>
      <c r="N74">
        <f>Tabla1[[#This Row],[entrada_prot_g_l]]*Tabla1[[#This Row],[entrada_litros]]/100</f>
        <v>2003.5097999999998</v>
      </c>
      <c r="O74">
        <f>Tabla1[[#This Row],[cuba_fab_litros]]*Tabla1[[#This Row],[cuba_fab_grasa_g_l]]</f>
        <v>211251</v>
      </c>
      <c r="P74">
        <f>Tabla1[[#This Row],[cuba_fab_litros]]*Tabla1[[#This Row],[cuba_fab_prot_g_l]]/100</f>
        <v>1752.72</v>
      </c>
      <c r="Q74">
        <f>Tabla1[[#This Row],[queso_kg]]*Tabla1[[#This Row],[queso_est_pct]]/100</f>
        <v>328.84269</v>
      </c>
      <c r="R74">
        <f>Tabla1[[#This Row],[queso_kg]]*Tabla1[[#This Row],[queso_mg_pct]]/100</f>
        <v>170.85122999999999</v>
      </c>
      <c r="S74">
        <f>_xlfn.ISOWEEKNUM(Tabla1[[#This Row],[fecha]])</f>
        <v>11</v>
      </c>
      <c r="T74">
        <v>11</v>
      </c>
    </row>
    <row r="75" spans="1:20" x14ac:dyDescent="0.25">
      <c r="A75" s="1">
        <v>45364</v>
      </c>
      <c r="B75">
        <v>5390</v>
      </c>
      <c r="C75">
        <v>5233</v>
      </c>
      <c r="D75">
        <v>42.54</v>
      </c>
      <c r="E75">
        <v>36.659999999999997</v>
      </c>
      <c r="F75">
        <v>5024</v>
      </c>
      <c r="G75">
        <v>40.68</v>
      </c>
      <c r="H75">
        <v>34.89</v>
      </c>
      <c r="I75">
        <v>5191</v>
      </c>
      <c r="J75">
        <v>653.08000000000004</v>
      </c>
      <c r="K75">
        <v>49.86</v>
      </c>
      <c r="L75">
        <v>26.27</v>
      </c>
      <c r="M75">
        <f>Tabla1[[#This Row],[entrada_litros]]*Tabla1[[#This Row],[entrada_grasa_g_l]]/100</f>
        <v>2226.1181999999999</v>
      </c>
      <c r="N75">
        <f>Tabla1[[#This Row],[entrada_prot_g_l]]*Tabla1[[#This Row],[entrada_litros]]/100</f>
        <v>1918.4177999999997</v>
      </c>
      <c r="O75">
        <f>Tabla1[[#This Row],[cuba_fab_litros]]*Tabla1[[#This Row],[cuba_fab_grasa_g_l]]</f>
        <v>204376.32000000001</v>
      </c>
      <c r="P75">
        <f>Tabla1[[#This Row],[cuba_fab_litros]]*Tabla1[[#This Row],[cuba_fab_prot_g_l]]/100</f>
        <v>1752.8736000000001</v>
      </c>
      <c r="Q75">
        <f>Tabla1[[#This Row],[queso_kg]]*Tabla1[[#This Row],[queso_est_pct]]/100</f>
        <v>325.62568800000003</v>
      </c>
      <c r="R75">
        <f>Tabla1[[#This Row],[queso_kg]]*Tabla1[[#This Row],[queso_mg_pct]]/100</f>
        <v>171.56411599999998</v>
      </c>
      <c r="S75">
        <f>_xlfn.ISOWEEKNUM(Tabla1[[#This Row],[fecha]])</f>
        <v>11</v>
      </c>
      <c r="T75">
        <v>11</v>
      </c>
    </row>
    <row r="76" spans="1:20" x14ac:dyDescent="0.25">
      <c r="A76" s="1">
        <v>45365</v>
      </c>
      <c r="B76">
        <v>5210</v>
      </c>
      <c r="C76">
        <v>5058</v>
      </c>
      <c r="D76">
        <v>45.85</v>
      </c>
      <c r="E76">
        <v>34.78</v>
      </c>
      <c r="F76">
        <v>5028</v>
      </c>
      <c r="G76">
        <v>42.73</v>
      </c>
      <c r="H76">
        <v>33.89</v>
      </c>
      <c r="I76">
        <v>5249</v>
      </c>
      <c r="J76">
        <v>641.26</v>
      </c>
      <c r="K76">
        <v>50.86</v>
      </c>
      <c r="L76">
        <v>26.15</v>
      </c>
      <c r="M76">
        <f>Tabla1[[#This Row],[entrada_litros]]*Tabla1[[#This Row],[entrada_grasa_g_l]]/100</f>
        <v>2319.0930000000003</v>
      </c>
      <c r="N76">
        <f>Tabla1[[#This Row],[entrada_prot_g_l]]*Tabla1[[#This Row],[entrada_litros]]/100</f>
        <v>1759.1724000000002</v>
      </c>
      <c r="O76">
        <f>Tabla1[[#This Row],[cuba_fab_litros]]*Tabla1[[#This Row],[cuba_fab_grasa_g_l]]</f>
        <v>214846.43999999997</v>
      </c>
      <c r="P76">
        <f>Tabla1[[#This Row],[cuba_fab_litros]]*Tabla1[[#This Row],[cuba_fab_prot_g_l]]/100</f>
        <v>1703.9892000000002</v>
      </c>
      <c r="Q76">
        <f>Tabla1[[#This Row],[queso_kg]]*Tabla1[[#This Row],[queso_est_pct]]/100</f>
        <v>326.144836</v>
      </c>
      <c r="R76">
        <f>Tabla1[[#This Row],[queso_kg]]*Tabla1[[#This Row],[queso_mg_pct]]/100</f>
        <v>167.68949000000001</v>
      </c>
      <c r="S76">
        <f>_xlfn.ISOWEEKNUM(Tabla1[[#This Row],[fecha]])</f>
        <v>11</v>
      </c>
      <c r="T76">
        <v>11</v>
      </c>
    </row>
    <row r="77" spans="1:20" x14ac:dyDescent="0.25">
      <c r="A77" s="1">
        <v>45366</v>
      </c>
      <c r="F77">
        <v>5275</v>
      </c>
      <c r="G77">
        <v>42.38</v>
      </c>
      <c r="H77">
        <v>34.130000000000003</v>
      </c>
      <c r="J77">
        <v>657.51</v>
      </c>
      <c r="K77">
        <v>52.7</v>
      </c>
      <c r="L77">
        <v>27.86</v>
      </c>
      <c r="M77">
        <f>Tabla1[[#This Row],[entrada_litros]]*Tabla1[[#This Row],[entrada_grasa_g_l]]/100</f>
        <v>0</v>
      </c>
      <c r="N77">
        <f>Tabla1[[#This Row],[entrada_prot_g_l]]*Tabla1[[#This Row],[entrada_litros]]/100</f>
        <v>0</v>
      </c>
      <c r="O77">
        <f>Tabla1[[#This Row],[cuba_fab_litros]]*Tabla1[[#This Row],[cuba_fab_grasa_g_l]]</f>
        <v>223554.5</v>
      </c>
      <c r="P77">
        <f>Tabla1[[#This Row],[cuba_fab_litros]]*Tabla1[[#This Row],[cuba_fab_prot_g_l]]/100</f>
        <v>1800.3575000000001</v>
      </c>
      <c r="Q77">
        <f>Tabla1[[#This Row],[queso_kg]]*Tabla1[[#This Row],[queso_est_pct]]/100</f>
        <v>346.50776999999999</v>
      </c>
      <c r="R77">
        <f>Tabla1[[#This Row],[queso_kg]]*Tabla1[[#This Row],[queso_mg_pct]]/100</f>
        <v>183.18228599999998</v>
      </c>
      <c r="S77">
        <f>_xlfn.ISOWEEKNUM(Tabla1[[#This Row],[fecha]])</f>
        <v>11</v>
      </c>
      <c r="T77">
        <v>11</v>
      </c>
    </row>
    <row r="78" spans="1:20" x14ac:dyDescent="0.25">
      <c r="A78" s="1">
        <v>45367</v>
      </c>
      <c r="M78">
        <f>Tabla1[[#This Row],[entrada_litros]]*Tabla1[[#This Row],[entrada_grasa_g_l]]/100</f>
        <v>0</v>
      </c>
      <c r="N78">
        <f>Tabla1[[#This Row],[entrada_prot_g_l]]*Tabla1[[#This Row],[entrada_litros]]/100</f>
        <v>0</v>
      </c>
      <c r="O78">
        <f>Tabla1[[#This Row],[cuba_fab_litros]]*Tabla1[[#This Row],[cuba_fab_grasa_g_l]]</f>
        <v>0</v>
      </c>
      <c r="P78">
        <f>Tabla1[[#This Row],[cuba_fab_litros]]*Tabla1[[#This Row],[cuba_fab_prot_g_l]]/100</f>
        <v>0</v>
      </c>
      <c r="Q78">
        <f>Tabla1[[#This Row],[queso_kg]]*Tabla1[[#This Row],[queso_est_pct]]/100</f>
        <v>0</v>
      </c>
      <c r="R78">
        <f>Tabla1[[#This Row],[queso_kg]]*Tabla1[[#This Row],[queso_mg_pct]]/100</f>
        <v>0</v>
      </c>
      <c r="S78">
        <f>_xlfn.ISOWEEKNUM(Tabla1[[#This Row],[fecha]])</f>
        <v>11</v>
      </c>
      <c r="T78">
        <v>11</v>
      </c>
    </row>
    <row r="79" spans="1:20" x14ac:dyDescent="0.25">
      <c r="A79" s="1">
        <v>45368</v>
      </c>
      <c r="B79">
        <v>5615</v>
      </c>
      <c r="C79">
        <v>5451</v>
      </c>
      <c r="D79">
        <v>43.59</v>
      </c>
      <c r="E79">
        <v>35.630000000000003</v>
      </c>
      <c r="I79">
        <v>5451</v>
      </c>
      <c r="M79">
        <f>Tabla1[[#This Row],[entrada_litros]]*Tabla1[[#This Row],[entrada_grasa_g_l]]/100</f>
        <v>2376.0909000000001</v>
      </c>
      <c r="N79">
        <f>Tabla1[[#This Row],[entrada_prot_g_l]]*Tabla1[[#This Row],[entrada_litros]]/100</f>
        <v>1942.1913</v>
      </c>
      <c r="O79">
        <f>Tabla1[[#This Row],[cuba_fab_litros]]*Tabla1[[#This Row],[cuba_fab_grasa_g_l]]</f>
        <v>0</v>
      </c>
      <c r="P79">
        <f>Tabla1[[#This Row],[cuba_fab_litros]]*Tabla1[[#This Row],[cuba_fab_prot_g_l]]/100</f>
        <v>0</v>
      </c>
      <c r="Q79">
        <f>Tabla1[[#This Row],[queso_kg]]*Tabla1[[#This Row],[queso_est_pct]]/100</f>
        <v>0</v>
      </c>
      <c r="R79">
        <f>Tabla1[[#This Row],[queso_kg]]*Tabla1[[#This Row],[queso_mg_pct]]/100</f>
        <v>0</v>
      </c>
      <c r="S79">
        <f>_xlfn.ISOWEEKNUM(Tabla1[[#This Row],[fecha]])</f>
        <v>11</v>
      </c>
      <c r="T79">
        <v>12</v>
      </c>
    </row>
    <row r="80" spans="1:20" x14ac:dyDescent="0.25">
      <c r="A80" s="1">
        <v>45369</v>
      </c>
      <c r="B80">
        <v>4818</v>
      </c>
      <c r="C80">
        <v>4678</v>
      </c>
      <c r="D80">
        <v>43.17</v>
      </c>
      <c r="E80">
        <v>35.83</v>
      </c>
      <c r="F80">
        <v>5024</v>
      </c>
      <c r="G80">
        <v>41.61</v>
      </c>
      <c r="H80">
        <v>34.1</v>
      </c>
      <c r="I80">
        <v>5129</v>
      </c>
      <c r="J80">
        <v>637.91</v>
      </c>
      <c r="K80">
        <v>51.63</v>
      </c>
      <c r="L80">
        <v>26.5</v>
      </c>
      <c r="M80">
        <f>Tabla1[[#This Row],[entrada_litros]]*Tabla1[[#This Row],[entrada_grasa_g_l]]/100</f>
        <v>2019.4926</v>
      </c>
      <c r="N80">
        <f>Tabla1[[#This Row],[entrada_prot_g_l]]*Tabla1[[#This Row],[entrada_litros]]/100</f>
        <v>1676.1273999999999</v>
      </c>
      <c r="O80">
        <f>Tabla1[[#This Row],[cuba_fab_litros]]*Tabla1[[#This Row],[cuba_fab_grasa_g_l]]</f>
        <v>209048.63999999998</v>
      </c>
      <c r="P80">
        <f>Tabla1[[#This Row],[cuba_fab_litros]]*Tabla1[[#This Row],[cuba_fab_prot_g_l]]/100</f>
        <v>1713.184</v>
      </c>
      <c r="Q80">
        <f>Tabla1[[#This Row],[queso_kg]]*Tabla1[[#This Row],[queso_est_pct]]/100</f>
        <v>329.35293299999995</v>
      </c>
      <c r="R80">
        <f>Tabla1[[#This Row],[queso_kg]]*Tabla1[[#This Row],[queso_mg_pct]]/100</f>
        <v>169.04614999999998</v>
      </c>
      <c r="S80">
        <f>_xlfn.ISOWEEKNUM(Tabla1[[#This Row],[fecha]])</f>
        <v>12</v>
      </c>
      <c r="T80">
        <v>12</v>
      </c>
    </row>
    <row r="81" spans="1:20" x14ac:dyDescent="0.25">
      <c r="A81" s="1">
        <v>45370</v>
      </c>
      <c r="B81">
        <v>4826</v>
      </c>
      <c r="C81">
        <v>4685</v>
      </c>
      <c r="D81">
        <v>42.11</v>
      </c>
      <c r="E81">
        <v>33.64</v>
      </c>
      <c r="F81">
        <v>5028</v>
      </c>
      <c r="G81">
        <v>40.96</v>
      </c>
      <c r="H81">
        <v>33.21</v>
      </c>
      <c r="I81">
        <v>4814</v>
      </c>
      <c r="J81">
        <v>626.52</v>
      </c>
      <c r="K81">
        <v>52.28</v>
      </c>
      <c r="L81">
        <v>27.95</v>
      </c>
      <c r="M81">
        <f>Tabla1[[#This Row],[entrada_litros]]*Tabla1[[#This Row],[entrada_grasa_g_l]]/100</f>
        <v>1972.8535000000002</v>
      </c>
      <c r="N81">
        <f>Tabla1[[#This Row],[entrada_prot_g_l]]*Tabla1[[#This Row],[entrada_litros]]/100</f>
        <v>1576.0339999999999</v>
      </c>
      <c r="O81">
        <f>Tabla1[[#This Row],[cuba_fab_litros]]*Tabla1[[#This Row],[cuba_fab_grasa_g_l]]</f>
        <v>205946.88</v>
      </c>
      <c r="P81">
        <f>Tabla1[[#This Row],[cuba_fab_litros]]*Tabla1[[#This Row],[cuba_fab_prot_g_l]]/100</f>
        <v>1669.7988</v>
      </c>
      <c r="Q81">
        <f>Tabla1[[#This Row],[queso_kg]]*Tabla1[[#This Row],[queso_est_pct]]/100</f>
        <v>327.54465599999997</v>
      </c>
      <c r="R81">
        <f>Tabla1[[#This Row],[queso_kg]]*Tabla1[[#This Row],[queso_mg_pct]]/100</f>
        <v>175.11234000000002</v>
      </c>
      <c r="S81">
        <f>_xlfn.ISOWEEKNUM(Tabla1[[#This Row],[fecha]])</f>
        <v>12</v>
      </c>
      <c r="T81">
        <v>12</v>
      </c>
    </row>
    <row r="82" spans="1:20" x14ac:dyDescent="0.25">
      <c r="A82" s="1">
        <v>45371</v>
      </c>
      <c r="B82">
        <v>5671</v>
      </c>
      <c r="C82">
        <v>5506</v>
      </c>
      <c r="D82">
        <v>42.98</v>
      </c>
      <c r="E82">
        <v>34.479999999999997</v>
      </c>
      <c r="F82">
        <v>5025</v>
      </c>
      <c r="G82">
        <v>41.16</v>
      </c>
      <c r="H82">
        <v>33.18</v>
      </c>
      <c r="I82">
        <v>5320</v>
      </c>
      <c r="J82">
        <v>644.03</v>
      </c>
      <c r="K82">
        <v>51.16</v>
      </c>
      <c r="L82">
        <v>25.87</v>
      </c>
      <c r="M82">
        <f>Tabla1[[#This Row],[entrada_litros]]*Tabla1[[#This Row],[entrada_grasa_g_l]]/100</f>
        <v>2366.4787999999999</v>
      </c>
      <c r="N82">
        <f>Tabla1[[#This Row],[entrada_prot_g_l]]*Tabla1[[#This Row],[entrada_litros]]/100</f>
        <v>1898.4687999999996</v>
      </c>
      <c r="O82">
        <f>Tabla1[[#This Row],[cuba_fab_litros]]*Tabla1[[#This Row],[cuba_fab_grasa_g_l]]</f>
        <v>206828.99999999997</v>
      </c>
      <c r="P82">
        <f>Tabla1[[#This Row],[cuba_fab_litros]]*Tabla1[[#This Row],[cuba_fab_prot_g_l]]/100</f>
        <v>1667.2950000000001</v>
      </c>
      <c r="Q82">
        <f>Tabla1[[#This Row],[queso_kg]]*Tabla1[[#This Row],[queso_est_pct]]/100</f>
        <v>329.48574799999994</v>
      </c>
      <c r="R82">
        <f>Tabla1[[#This Row],[queso_kg]]*Tabla1[[#This Row],[queso_mg_pct]]/100</f>
        <v>166.61056100000002</v>
      </c>
      <c r="S82">
        <f>_xlfn.ISOWEEKNUM(Tabla1[[#This Row],[fecha]])</f>
        <v>12</v>
      </c>
      <c r="T82">
        <v>12</v>
      </c>
    </row>
    <row r="83" spans="1:20" x14ac:dyDescent="0.25">
      <c r="A83" s="1">
        <v>45372</v>
      </c>
      <c r="B83">
        <v>5484</v>
      </c>
      <c r="C83">
        <v>5324</v>
      </c>
      <c r="D83">
        <v>42.21</v>
      </c>
      <c r="E83">
        <v>37.99</v>
      </c>
      <c r="F83">
        <v>5029</v>
      </c>
      <c r="G83">
        <v>40.86</v>
      </c>
      <c r="H83">
        <v>34.549999999999997</v>
      </c>
      <c r="I83">
        <v>5644</v>
      </c>
      <c r="J83">
        <v>631.36</v>
      </c>
      <c r="K83">
        <v>51.85</v>
      </c>
      <c r="L83">
        <v>26.86</v>
      </c>
      <c r="M83">
        <f>Tabla1[[#This Row],[entrada_litros]]*Tabla1[[#This Row],[entrada_grasa_g_l]]/100</f>
        <v>2247.2604000000001</v>
      </c>
      <c r="N83">
        <f>Tabla1[[#This Row],[entrada_prot_g_l]]*Tabla1[[#This Row],[entrada_litros]]/100</f>
        <v>2022.5876000000001</v>
      </c>
      <c r="O83">
        <f>Tabla1[[#This Row],[cuba_fab_litros]]*Tabla1[[#This Row],[cuba_fab_grasa_g_l]]</f>
        <v>205484.94</v>
      </c>
      <c r="P83">
        <f>Tabla1[[#This Row],[cuba_fab_litros]]*Tabla1[[#This Row],[cuba_fab_prot_g_l]]/100</f>
        <v>1737.5194999999999</v>
      </c>
      <c r="Q83">
        <f>Tabla1[[#This Row],[queso_kg]]*Tabla1[[#This Row],[queso_est_pct]]/100</f>
        <v>327.36016000000001</v>
      </c>
      <c r="R83">
        <f>Tabla1[[#This Row],[queso_kg]]*Tabla1[[#This Row],[queso_mg_pct]]/100</f>
        <v>169.58329600000002</v>
      </c>
      <c r="S83">
        <f>_xlfn.ISOWEEKNUM(Tabla1[[#This Row],[fecha]])</f>
        <v>12</v>
      </c>
      <c r="T83">
        <v>12</v>
      </c>
    </row>
    <row r="84" spans="1:20" x14ac:dyDescent="0.25">
      <c r="A84" s="1">
        <v>45373</v>
      </c>
      <c r="F84">
        <v>5672</v>
      </c>
      <c r="G84">
        <v>41.04</v>
      </c>
      <c r="H84">
        <v>34.58</v>
      </c>
      <c r="J84">
        <v>719.63</v>
      </c>
      <c r="K84">
        <v>51.25</v>
      </c>
      <c r="L84">
        <v>26.73</v>
      </c>
      <c r="M84">
        <f>Tabla1[[#This Row],[entrada_litros]]*Tabla1[[#This Row],[entrada_grasa_g_l]]/100</f>
        <v>0</v>
      </c>
      <c r="N84">
        <f>Tabla1[[#This Row],[entrada_prot_g_l]]*Tabla1[[#This Row],[entrada_litros]]/100</f>
        <v>0</v>
      </c>
      <c r="O84">
        <f>Tabla1[[#This Row],[cuba_fab_litros]]*Tabla1[[#This Row],[cuba_fab_grasa_g_l]]</f>
        <v>232778.88</v>
      </c>
      <c r="P84">
        <f>Tabla1[[#This Row],[cuba_fab_litros]]*Tabla1[[#This Row],[cuba_fab_prot_g_l]]/100</f>
        <v>1961.3775999999998</v>
      </c>
      <c r="Q84">
        <f>Tabla1[[#This Row],[queso_kg]]*Tabla1[[#This Row],[queso_est_pct]]/100</f>
        <v>368.81037499999996</v>
      </c>
      <c r="R84">
        <f>Tabla1[[#This Row],[queso_kg]]*Tabla1[[#This Row],[queso_mg_pct]]/100</f>
        <v>192.35709900000001</v>
      </c>
      <c r="S84">
        <f>_xlfn.ISOWEEKNUM(Tabla1[[#This Row],[fecha]])</f>
        <v>12</v>
      </c>
      <c r="T84">
        <v>12</v>
      </c>
    </row>
    <row r="85" spans="1:20" x14ac:dyDescent="0.25">
      <c r="A85" s="1">
        <v>45374</v>
      </c>
      <c r="M85">
        <f>Tabla1[[#This Row],[entrada_litros]]*Tabla1[[#This Row],[entrada_grasa_g_l]]/100</f>
        <v>0</v>
      </c>
      <c r="N85">
        <f>Tabla1[[#This Row],[entrada_prot_g_l]]*Tabla1[[#This Row],[entrada_litros]]/100</f>
        <v>0</v>
      </c>
      <c r="O85">
        <f>Tabla1[[#This Row],[cuba_fab_litros]]*Tabla1[[#This Row],[cuba_fab_grasa_g_l]]</f>
        <v>0</v>
      </c>
      <c r="P85">
        <f>Tabla1[[#This Row],[cuba_fab_litros]]*Tabla1[[#This Row],[cuba_fab_prot_g_l]]/100</f>
        <v>0</v>
      </c>
      <c r="Q85">
        <f>Tabla1[[#This Row],[queso_kg]]*Tabla1[[#This Row],[queso_est_pct]]/100</f>
        <v>0</v>
      </c>
      <c r="R85">
        <f>Tabla1[[#This Row],[queso_kg]]*Tabla1[[#This Row],[queso_mg_pct]]/100</f>
        <v>0</v>
      </c>
      <c r="S85">
        <f>_xlfn.ISOWEEKNUM(Tabla1[[#This Row],[fecha]])</f>
        <v>12</v>
      </c>
      <c r="T85">
        <v>12</v>
      </c>
    </row>
    <row r="86" spans="1:20" x14ac:dyDescent="0.25">
      <c r="A86" s="1">
        <v>45375</v>
      </c>
      <c r="B86">
        <v>4608</v>
      </c>
      <c r="C86">
        <v>4474</v>
      </c>
      <c r="D86">
        <v>42.57</v>
      </c>
      <c r="E86">
        <v>35.94</v>
      </c>
      <c r="I86">
        <v>4474</v>
      </c>
      <c r="M86">
        <f>Tabla1[[#This Row],[entrada_litros]]*Tabla1[[#This Row],[entrada_grasa_g_l]]/100</f>
        <v>1904.5817999999999</v>
      </c>
      <c r="N86">
        <f>Tabla1[[#This Row],[entrada_prot_g_l]]*Tabla1[[#This Row],[entrada_litros]]/100</f>
        <v>1607.9556</v>
      </c>
      <c r="O86">
        <f>Tabla1[[#This Row],[cuba_fab_litros]]*Tabla1[[#This Row],[cuba_fab_grasa_g_l]]</f>
        <v>0</v>
      </c>
      <c r="P86">
        <f>Tabla1[[#This Row],[cuba_fab_litros]]*Tabla1[[#This Row],[cuba_fab_prot_g_l]]/100</f>
        <v>0</v>
      </c>
      <c r="Q86">
        <f>Tabla1[[#This Row],[queso_kg]]*Tabla1[[#This Row],[queso_est_pct]]/100</f>
        <v>0</v>
      </c>
      <c r="R86">
        <f>Tabla1[[#This Row],[queso_kg]]*Tabla1[[#This Row],[queso_mg_pct]]/100</f>
        <v>0</v>
      </c>
      <c r="S86">
        <f>_xlfn.ISOWEEKNUM(Tabla1[[#This Row],[fecha]])</f>
        <v>12</v>
      </c>
      <c r="T86">
        <v>13</v>
      </c>
    </row>
    <row r="87" spans="1:20" x14ac:dyDescent="0.25">
      <c r="A87" s="1">
        <v>45376</v>
      </c>
      <c r="B87">
        <v>5356</v>
      </c>
      <c r="C87">
        <v>5200</v>
      </c>
      <c r="D87">
        <v>42.71</v>
      </c>
      <c r="E87">
        <v>36.369999999999997</v>
      </c>
      <c r="F87">
        <v>5024</v>
      </c>
      <c r="G87">
        <v>40.51</v>
      </c>
      <c r="H87">
        <v>34.54</v>
      </c>
      <c r="I87">
        <v>4674</v>
      </c>
      <c r="J87">
        <v>625.44000000000005</v>
      </c>
      <c r="K87">
        <v>52.17</v>
      </c>
      <c r="L87">
        <v>26.72</v>
      </c>
      <c r="M87">
        <f>Tabla1[[#This Row],[entrada_litros]]*Tabla1[[#This Row],[entrada_grasa_g_l]]/100</f>
        <v>2220.92</v>
      </c>
      <c r="N87">
        <f>Tabla1[[#This Row],[entrada_prot_g_l]]*Tabla1[[#This Row],[entrada_litros]]/100</f>
        <v>1891.24</v>
      </c>
      <c r="O87">
        <f>Tabla1[[#This Row],[cuba_fab_litros]]*Tabla1[[#This Row],[cuba_fab_grasa_g_l]]</f>
        <v>203522.24</v>
      </c>
      <c r="P87">
        <f>Tabla1[[#This Row],[cuba_fab_litros]]*Tabla1[[#This Row],[cuba_fab_prot_g_l]]/100</f>
        <v>1735.2895999999998</v>
      </c>
      <c r="Q87">
        <f>Tabla1[[#This Row],[queso_kg]]*Tabla1[[#This Row],[queso_est_pct]]/100</f>
        <v>326.29204800000002</v>
      </c>
      <c r="R87">
        <f>Tabla1[[#This Row],[queso_kg]]*Tabla1[[#This Row],[queso_mg_pct]]/100</f>
        <v>167.11756800000001</v>
      </c>
      <c r="S87">
        <f>_xlfn.ISOWEEKNUM(Tabla1[[#This Row],[fecha]])</f>
        <v>13</v>
      </c>
      <c r="T87">
        <v>13</v>
      </c>
    </row>
    <row r="88" spans="1:20" x14ac:dyDescent="0.25">
      <c r="A88" s="1">
        <v>45377</v>
      </c>
      <c r="B88">
        <v>5221</v>
      </c>
      <c r="C88">
        <v>5069</v>
      </c>
      <c r="D88">
        <v>44.92</v>
      </c>
      <c r="E88">
        <v>37.25</v>
      </c>
      <c r="F88">
        <v>5025</v>
      </c>
      <c r="G88">
        <v>42.13</v>
      </c>
      <c r="H88">
        <v>35.06</v>
      </c>
      <c r="I88">
        <v>4743</v>
      </c>
      <c r="J88">
        <v>639.86</v>
      </c>
      <c r="K88">
        <v>50.76</v>
      </c>
      <c r="L88">
        <v>26.95</v>
      </c>
      <c r="M88">
        <f>Tabla1[[#This Row],[entrada_litros]]*Tabla1[[#This Row],[entrada_grasa_g_l]]/100</f>
        <v>2276.9947999999999</v>
      </c>
      <c r="N88">
        <f>Tabla1[[#This Row],[entrada_prot_g_l]]*Tabla1[[#This Row],[entrada_litros]]/100</f>
        <v>1888.2025000000001</v>
      </c>
      <c r="O88">
        <f>Tabla1[[#This Row],[cuba_fab_litros]]*Tabla1[[#This Row],[cuba_fab_grasa_g_l]]</f>
        <v>211703.25</v>
      </c>
      <c r="P88">
        <f>Tabla1[[#This Row],[cuba_fab_litros]]*Tabla1[[#This Row],[cuba_fab_prot_g_l]]/100</f>
        <v>1761.7650000000001</v>
      </c>
      <c r="Q88">
        <f>Tabla1[[#This Row],[queso_kg]]*Tabla1[[#This Row],[queso_est_pct]]/100</f>
        <v>324.792936</v>
      </c>
      <c r="R88">
        <f>Tabla1[[#This Row],[queso_kg]]*Tabla1[[#This Row],[queso_mg_pct]]/100</f>
        <v>172.44226999999998</v>
      </c>
      <c r="S88">
        <f>_xlfn.ISOWEEKNUM(Tabla1[[#This Row],[fecha]])</f>
        <v>13</v>
      </c>
      <c r="T88">
        <v>13</v>
      </c>
    </row>
    <row r="89" spans="1:20" x14ac:dyDescent="0.25">
      <c r="A89" s="1">
        <v>45378</v>
      </c>
      <c r="B89">
        <v>5236</v>
      </c>
      <c r="C89">
        <v>5083</v>
      </c>
      <c r="D89">
        <v>42.71</v>
      </c>
      <c r="E89">
        <v>33.92</v>
      </c>
      <c r="F89">
        <v>5028</v>
      </c>
      <c r="G89">
        <v>41.04</v>
      </c>
      <c r="H89">
        <v>33.630000000000003</v>
      </c>
      <c r="I89">
        <v>4826</v>
      </c>
      <c r="J89">
        <v>618.20000000000005</v>
      </c>
      <c r="K89">
        <v>52.63</v>
      </c>
      <c r="L89">
        <v>28.44</v>
      </c>
      <c r="M89">
        <f>Tabla1[[#This Row],[entrada_litros]]*Tabla1[[#This Row],[entrada_grasa_g_l]]/100</f>
        <v>2170.9492999999998</v>
      </c>
      <c r="N89">
        <f>Tabla1[[#This Row],[entrada_prot_g_l]]*Tabla1[[#This Row],[entrada_litros]]/100</f>
        <v>1724.1536000000001</v>
      </c>
      <c r="O89">
        <f>Tabla1[[#This Row],[cuba_fab_litros]]*Tabla1[[#This Row],[cuba_fab_grasa_g_l]]</f>
        <v>206349.12</v>
      </c>
      <c r="P89">
        <f>Tabla1[[#This Row],[cuba_fab_litros]]*Tabla1[[#This Row],[cuba_fab_prot_g_l]]/100</f>
        <v>1690.9164000000001</v>
      </c>
      <c r="Q89">
        <f>Tabla1[[#This Row],[queso_kg]]*Tabla1[[#This Row],[queso_est_pct]]/100</f>
        <v>325.35866000000004</v>
      </c>
      <c r="R89">
        <f>Tabla1[[#This Row],[queso_kg]]*Tabla1[[#This Row],[queso_mg_pct]]/100</f>
        <v>175.81608000000003</v>
      </c>
      <c r="S89">
        <f>_xlfn.ISOWEEKNUM(Tabla1[[#This Row],[fecha]])</f>
        <v>13</v>
      </c>
      <c r="T89">
        <v>13</v>
      </c>
    </row>
    <row r="90" spans="1:20" x14ac:dyDescent="0.25">
      <c r="A90" s="1">
        <v>45379</v>
      </c>
      <c r="B90">
        <v>5488</v>
      </c>
      <c r="C90">
        <v>5328</v>
      </c>
      <c r="D90">
        <v>40.049999999999997</v>
      </c>
      <c r="E90">
        <v>35.75</v>
      </c>
      <c r="F90">
        <v>5028</v>
      </c>
      <c r="G90">
        <v>39.93</v>
      </c>
      <c r="H90">
        <v>34.11</v>
      </c>
      <c r="I90">
        <v>5154</v>
      </c>
      <c r="J90">
        <v>617.19000000000005</v>
      </c>
      <c r="K90">
        <v>53.05</v>
      </c>
      <c r="L90">
        <v>27.49</v>
      </c>
      <c r="M90">
        <f>Tabla1[[#This Row],[entrada_litros]]*Tabla1[[#This Row],[entrada_grasa_g_l]]/100</f>
        <v>2133.864</v>
      </c>
      <c r="N90">
        <f>Tabla1[[#This Row],[entrada_prot_g_l]]*Tabla1[[#This Row],[entrada_litros]]/100</f>
        <v>1904.76</v>
      </c>
      <c r="O90">
        <f>Tabla1[[#This Row],[cuba_fab_litros]]*Tabla1[[#This Row],[cuba_fab_grasa_g_l]]</f>
        <v>200768.04</v>
      </c>
      <c r="P90">
        <f>Tabla1[[#This Row],[cuba_fab_litros]]*Tabla1[[#This Row],[cuba_fab_prot_g_l]]/100</f>
        <v>1715.0508</v>
      </c>
      <c r="Q90">
        <f>Tabla1[[#This Row],[queso_kg]]*Tabla1[[#This Row],[queso_est_pct]]/100</f>
        <v>327.41929500000003</v>
      </c>
      <c r="R90">
        <f>Tabla1[[#This Row],[queso_kg]]*Tabla1[[#This Row],[queso_mg_pct]]/100</f>
        <v>169.66553100000002</v>
      </c>
      <c r="S90">
        <f>_xlfn.ISOWEEKNUM(Tabla1[[#This Row],[fecha]])</f>
        <v>13</v>
      </c>
      <c r="T90">
        <v>13</v>
      </c>
    </row>
    <row r="91" spans="1:20" x14ac:dyDescent="0.25">
      <c r="A91" s="1">
        <v>45380</v>
      </c>
      <c r="F91">
        <v>5187</v>
      </c>
      <c r="G91">
        <v>39.78</v>
      </c>
      <c r="H91">
        <v>33.770000000000003</v>
      </c>
      <c r="J91">
        <v>654.79</v>
      </c>
      <c r="K91">
        <v>50.91</v>
      </c>
      <c r="L91">
        <v>26.66</v>
      </c>
      <c r="M91">
        <f>Tabla1[[#This Row],[entrada_litros]]*Tabla1[[#This Row],[entrada_grasa_g_l]]/100</f>
        <v>0</v>
      </c>
      <c r="N91">
        <f>Tabla1[[#This Row],[entrada_prot_g_l]]*Tabla1[[#This Row],[entrada_litros]]/100</f>
        <v>0</v>
      </c>
      <c r="O91">
        <f>Tabla1[[#This Row],[cuba_fab_litros]]*Tabla1[[#This Row],[cuba_fab_grasa_g_l]]</f>
        <v>206338.86000000002</v>
      </c>
      <c r="P91">
        <f>Tabla1[[#This Row],[cuba_fab_litros]]*Tabla1[[#This Row],[cuba_fab_prot_g_l]]/100</f>
        <v>1751.6499000000001</v>
      </c>
      <c r="Q91">
        <f>Tabla1[[#This Row],[queso_kg]]*Tabla1[[#This Row],[queso_est_pct]]/100</f>
        <v>333.353589</v>
      </c>
      <c r="R91">
        <f>Tabla1[[#This Row],[queso_kg]]*Tabla1[[#This Row],[queso_mg_pct]]/100</f>
        <v>174.56701399999997</v>
      </c>
      <c r="S91">
        <f>_xlfn.ISOWEEKNUM(Tabla1[[#This Row],[fecha]])</f>
        <v>13</v>
      </c>
      <c r="T91">
        <v>13</v>
      </c>
    </row>
    <row r="92" spans="1:20" x14ac:dyDescent="0.25">
      <c r="A92" s="1">
        <v>45381</v>
      </c>
      <c r="M92">
        <f>Tabla1[[#This Row],[entrada_litros]]*Tabla1[[#This Row],[entrada_grasa_g_l]]/100</f>
        <v>0</v>
      </c>
      <c r="N92">
        <f>Tabla1[[#This Row],[entrada_prot_g_l]]*Tabla1[[#This Row],[entrada_litros]]/100</f>
        <v>0</v>
      </c>
      <c r="O92">
        <f>Tabla1[[#This Row],[cuba_fab_litros]]*Tabla1[[#This Row],[cuba_fab_grasa_g_l]]</f>
        <v>0</v>
      </c>
      <c r="P92">
        <f>Tabla1[[#This Row],[cuba_fab_litros]]*Tabla1[[#This Row],[cuba_fab_prot_g_l]]/100</f>
        <v>0</v>
      </c>
      <c r="Q92">
        <f>Tabla1[[#This Row],[queso_kg]]*Tabla1[[#This Row],[queso_est_pct]]/100</f>
        <v>0</v>
      </c>
      <c r="R92">
        <f>Tabla1[[#This Row],[queso_kg]]*Tabla1[[#This Row],[queso_mg_pct]]/100</f>
        <v>0</v>
      </c>
      <c r="S92">
        <f>_xlfn.ISOWEEKNUM(Tabla1[[#This Row],[fecha]])</f>
        <v>13</v>
      </c>
      <c r="T92">
        <v>13</v>
      </c>
    </row>
    <row r="93" spans="1:20" x14ac:dyDescent="0.25">
      <c r="A93" s="1">
        <v>45382</v>
      </c>
      <c r="B93">
        <v>4918</v>
      </c>
      <c r="C93">
        <v>4775</v>
      </c>
      <c r="D93">
        <v>42.91</v>
      </c>
      <c r="E93">
        <v>34.549999999999997</v>
      </c>
      <c r="I93">
        <v>4775</v>
      </c>
      <c r="M93">
        <f>Tabla1[[#This Row],[entrada_litros]]*Tabla1[[#This Row],[entrada_grasa_g_l]]/100</f>
        <v>2048.9524999999999</v>
      </c>
      <c r="N93">
        <f>Tabla1[[#This Row],[entrada_prot_g_l]]*Tabla1[[#This Row],[entrada_litros]]/100</f>
        <v>1649.7625</v>
      </c>
      <c r="O93">
        <f>Tabla1[[#This Row],[cuba_fab_litros]]*Tabla1[[#This Row],[cuba_fab_grasa_g_l]]</f>
        <v>0</v>
      </c>
      <c r="P93">
        <f>Tabla1[[#This Row],[cuba_fab_litros]]*Tabla1[[#This Row],[cuba_fab_prot_g_l]]/100</f>
        <v>0</v>
      </c>
      <c r="Q93">
        <f>Tabla1[[#This Row],[queso_kg]]*Tabla1[[#This Row],[queso_est_pct]]/100</f>
        <v>0</v>
      </c>
      <c r="R93">
        <f>Tabla1[[#This Row],[queso_kg]]*Tabla1[[#This Row],[queso_mg_pct]]/100</f>
        <v>0</v>
      </c>
      <c r="S93">
        <f>_xlfn.ISOWEEKNUM(Tabla1[[#This Row],[fecha]])</f>
        <v>13</v>
      </c>
      <c r="T93">
        <v>14</v>
      </c>
    </row>
    <row r="94" spans="1:20" x14ac:dyDescent="0.25">
      <c r="A94" s="1">
        <v>45383</v>
      </c>
      <c r="B94">
        <v>5025</v>
      </c>
      <c r="C94">
        <v>4879</v>
      </c>
      <c r="D94">
        <v>41.69</v>
      </c>
      <c r="E94">
        <v>35.24</v>
      </c>
      <c r="F94">
        <v>5023</v>
      </c>
      <c r="G94">
        <v>40.65</v>
      </c>
      <c r="H94">
        <v>33.43</v>
      </c>
      <c r="I94">
        <v>4654</v>
      </c>
      <c r="J94">
        <v>676.71</v>
      </c>
      <c r="K94">
        <v>48.23</v>
      </c>
      <c r="L94">
        <v>23.84</v>
      </c>
      <c r="M94">
        <f>Tabla1[[#This Row],[entrada_litros]]*Tabla1[[#This Row],[entrada_grasa_g_l]]/100</f>
        <v>2034.0550999999998</v>
      </c>
      <c r="N94">
        <f>Tabla1[[#This Row],[entrada_prot_g_l]]*Tabla1[[#This Row],[entrada_litros]]/100</f>
        <v>1719.3596000000002</v>
      </c>
      <c r="O94">
        <f>Tabla1[[#This Row],[cuba_fab_litros]]*Tabla1[[#This Row],[cuba_fab_grasa_g_l]]</f>
        <v>204184.94999999998</v>
      </c>
      <c r="P94">
        <f>Tabla1[[#This Row],[cuba_fab_litros]]*Tabla1[[#This Row],[cuba_fab_prot_g_l]]/100</f>
        <v>1679.1888999999999</v>
      </c>
      <c r="Q94">
        <f>Tabla1[[#This Row],[queso_kg]]*Tabla1[[#This Row],[queso_est_pct]]/100</f>
        <v>326.37723299999999</v>
      </c>
      <c r="R94">
        <f>Tabla1[[#This Row],[queso_kg]]*Tabla1[[#This Row],[queso_mg_pct]]/100</f>
        <v>161.327664</v>
      </c>
      <c r="S94">
        <f>_xlfn.ISOWEEKNUM(Tabla1[[#This Row],[fecha]])</f>
        <v>14</v>
      </c>
      <c r="T94">
        <v>14</v>
      </c>
    </row>
    <row r="95" spans="1:20" x14ac:dyDescent="0.25">
      <c r="A95" s="1">
        <v>45384</v>
      </c>
      <c r="B95">
        <v>5010</v>
      </c>
      <c r="C95">
        <v>4864</v>
      </c>
      <c r="D95">
        <v>40.49</v>
      </c>
      <c r="E95">
        <v>35.130000000000003</v>
      </c>
      <c r="F95">
        <v>5023</v>
      </c>
      <c r="G95">
        <v>39.5</v>
      </c>
      <c r="H95">
        <v>33.42</v>
      </c>
      <c r="I95">
        <v>4518</v>
      </c>
      <c r="J95">
        <v>616.38</v>
      </c>
      <c r="K95">
        <v>52.58</v>
      </c>
      <c r="L95">
        <v>27.34</v>
      </c>
      <c r="M95">
        <f>Tabla1[[#This Row],[entrada_litros]]*Tabla1[[#This Row],[entrada_grasa_g_l]]/100</f>
        <v>1969.4336000000001</v>
      </c>
      <c r="N95">
        <f>Tabla1[[#This Row],[entrada_prot_g_l]]*Tabla1[[#This Row],[entrada_litros]]/100</f>
        <v>1708.7232000000001</v>
      </c>
      <c r="O95">
        <f>Tabla1[[#This Row],[cuba_fab_litros]]*Tabla1[[#This Row],[cuba_fab_grasa_g_l]]</f>
        <v>198408.5</v>
      </c>
      <c r="P95">
        <f>Tabla1[[#This Row],[cuba_fab_litros]]*Tabla1[[#This Row],[cuba_fab_prot_g_l]]/100</f>
        <v>1678.6866</v>
      </c>
      <c r="Q95">
        <f>Tabla1[[#This Row],[queso_kg]]*Tabla1[[#This Row],[queso_est_pct]]/100</f>
        <v>324.09260399999999</v>
      </c>
      <c r="R95">
        <f>Tabla1[[#This Row],[queso_kg]]*Tabla1[[#This Row],[queso_mg_pct]]/100</f>
        <v>168.518292</v>
      </c>
      <c r="S95">
        <f>_xlfn.ISOWEEKNUM(Tabla1[[#This Row],[fecha]])</f>
        <v>14</v>
      </c>
      <c r="T95">
        <v>14</v>
      </c>
    </row>
    <row r="96" spans="1:20" x14ac:dyDescent="0.25">
      <c r="A96" s="1">
        <v>45385</v>
      </c>
      <c r="B96">
        <v>5492</v>
      </c>
      <c r="C96">
        <v>5332</v>
      </c>
      <c r="D96">
        <v>40.83</v>
      </c>
      <c r="E96">
        <v>36.799999999999997</v>
      </c>
      <c r="F96">
        <v>5026</v>
      </c>
      <c r="G96">
        <v>39.01</v>
      </c>
      <c r="H96">
        <v>34.090000000000003</v>
      </c>
      <c r="I96">
        <v>4850</v>
      </c>
      <c r="J96">
        <v>603.66999999999996</v>
      </c>
      <c r="K96">
        <v>54.45</v>
      </c>
      <c r="L96">
        <v>28.08</v>
      </c>
      <c r="M96">
        <f>Tabla1[[#This Row],[entrada_litros]]*Tabla1[[#This Row],[entrada_grasa_g_l]]/100</f>
        <v>2177.0556000000001</v>
      </c>
      <c r="N96">
        <f>Tabla1[[#This Row],[entrada_prot_g_l]]*Tabla1[[#This Row],[entrada_litros]]/100</f>
        <v>1962.1759999999997</v>
      </c>
      <c r="O96">
        <f>Tabla1[[#This Row],[cuba_fab_litros]]*Tabla1[[#This Row],[cuba_fab_grasa_g_l]]</f>
        <v>196064.25999999998</v>
      </c>
      <c r="P96">
        <f>Tabla1[[#This Row],[cuba_fab_litros]]*Tabla1[[#This Row],[cuba_fab_prot_g_l]]/100</f>
        <v>1713.3634000000002</v>
      </c>
      <c r="Q96">
        <f>Tabla1[[#This Row],[queso_kg]]*Tabla1[[#This Row],[queso_est_pct]]/100</f>
        <v>328.69831499999998</v>
      </c>
      <c r="R96">
        <f>Tabla1[[#This Row],[queso_kg]]*Tabla1[[#This Row],[queso_mg_pct]]/100</f>
        <v>169.510536</v>
      </c>
      <c r="S96">
        <f>_xlfn.ISOWEEKNUM(Tabla1[[#This Row],[fecha]])</f>
        <v>14</v>
      </c>
      <c r="T96">
        <v>14</v>
      </c>
    </row>
    <row r="97" spans="1:20" x14ac:dyDescent="0.25">
      <c r="A97" s="1">
        <v>45386</v>
      </c>
      <c r="B97">
        <v>4898</v>
      </c>
      <c r="C97">
        <v>4755</v>
      </c>
      <c r="D97">
        <v>42.06</v>
      </c>
      <c r="E97">
        <v>33.5</v>
      </c>
      <c r="F97">
        <v>5014</v>
      </c>
      <c r="G97">
        <v>39.46</v>
      </c>
      <c r="H97">
        <v>33.21</v>
      </c>
      <c r="I97">
        <v>4605</v>
      </c>
      <c r="J97">
        <v>614.42999999999995</v>
      </c>
      <c r="K97">
        <v>53.25</v>
      </c>
      <c r="L97">
        <v>27.49</v>
      </c>
      <c r="M97">
        <f>Tabla1[[#This Row],[entrada_litros]]*Tabla1[[#This Row],[entrada_grasa_g_l]]/100</f>
        <v>1999.9530000000002</v>
      </c>
      <c r="N97">
        <f>Tabla1[[#This Row],[entrada_prot_g_l]]*Tabla1[[#This Row],[entrada_litros]]/100</f>
        <v>1592.925</v>
      </c>
      <c r="O97">
        <f>Tabla1[[#This Row],[cuba_fab_litros]]*Tabla1[[#This Row],[cuba_fab_grasa_g_l]]</f>
        <v>197852.44</v>
      </c>
      <c r="P97">
        <f>Tabla1[[#This Row],[cuba_fab_litros]]*Tabla1[[#This Row],[cuba_fab_prot_g_l]]/100</f>
        <v>1665.1494</v>
      </c>
      <c r="Q97">
        <f>Tabla1[[#This Row],[queso_kg]]*Tabla1[[#This Row],[queso_est_pct]]/100</f>
        <v>327.18397499999998</v>
      </c>
      <c r="R97">
        <f>Tabla1[[#This Row],[queso_kg]]*Tabla1[[#This Row],[queso_mg_pct]]/100</f>
        <v>168.90680699999996</v>
      </c>
      <c r="S97">
        <f>_xlfn.ISOWEEKNUM(Tabla1[[#This Row],[fecha]])</f>
        <v>14</v>
      </c>
      <c r="T97">
        <v>14</v>
      </c>
    </row>
    <row r="98" spans="1:20" x14ac:dyDescent="0.25">
      <c r="A98" s="1">
        <v>45387</v>
      </c>
      <c r="F98">
        <v>4631</v>
      </c>
      <c r="G98">
        <v>39.75</v>
      </c>
      <c r="H98">
        <v>32.99</v>
      </c>
      <c r="J98">
        <v>605</v>
      </c>
      <c r="K98">
        <v>50.43</v>
      </c>
      <c r="L98">
        <v>26.57</v>
      </c>
      <c r="M98">
        <f>Tabla1[[#This Row],[entrada_litros]]*Tabla1[[#This Row],[entrada_grasa_g_l]]/100</f>
        <v>0</v>
      </c>
      <c r="N98">
        <f>Tabla1[[#This Row],[entrada_prot_g_l]]*Tabla1[[#This Row],[entrada_litros]]/100</f>
        <v>0</v>
      </c>
      <c r="O98">
        <f>Tabla1[[#This Row],[cuba_fab_litros]]*Tabla1[[#This Row],[cuba_fab_grasa_g_l]]</f>
        <v>184082.25</v>
      </c>
      <c r="P98">
        <f>Tabla1[[#This Row],[cuba_fab_litros]]*Tabla1[[#This Row],[cuba_fab_prot_g_l]]/100</f>
        <v>1527.7669000000001</v>
      </c>
      <c r="Q98">
        <f>Tabla1[[#This Row],[queso_kg]]*Tabla1[[#This Row],[queso_est_pct]]/100</f>
        <v>305.10149999999999</v>
      </c>
      <c r="R98">
        <f>Tabla1[[#This Row],[queso_kg]]*Tabla1[[#This Row],[queso_mg_pct]]/100</f>
        <v>160.74850000000001</v>
      </c>
      <c r="S98">
        <f>_xlfn.ISOWEEKNUM(Tabla1[[#This Row],[fecha]])</f>
        <v>14</v>
      </c>
      <c r="T98">
        <v>14</v>
      </c>
    </row>
    <row r="99" spans="1:20" x14ac:dyDescent="0.25">
      <c r="A99" s="1">
        <v>45388</v>
      </c>
      <c r="M99">
        <f>Tabla1[[#This Row],[entrada_litros]]*Tabla1[[#This Row],[entrada_grasa_g_l]]/100</f>
        <v>0</v>
      </c>
      <c r="N99">
        <f>Tabla1[[#This Row],[entrada_prot_g_l]]*Tabla1[[#This Row],[entrada_litros]]/100</f>
        <v>0</v>
      </c>
      <c r="O99">
        <f>Tabla1[[#This Row],[cuba_fab_litros]]*Tabla1[[#This Row],[cuba_fab_grasa_g_l]]</f>
        <v>0</v>
      </c>
      <c r="P99">
        <f>Tabla1[[#This Row],[cuba_fab_litros]]*Tabla1[[#This Row],[cuba_fab_prot_g_l]]/100</f>
        <v>0</v>
      </c>
      <c r="Q99">
        <f>Tabla1[[#This Row],[queso_kg]]*Tabla1[[#This Row],[queso_est_pct]]/100</f>
        <v>0</v>
      </c>
      <c r="R99">
        <f>Tabla1[[#This Row],[queso_kg]]*Tabla1[[#This Row],[queso_mg_pct]]/100</f>
        <v>0</v>
      </c>
      <c r="S99">
        <f>_xlfn.ISOWEEKNUM(Tabla1[[#This Row],[fecha]])</f>
        <v>14</v>
      </c>
      <c r="T99">
        <v>14</v>
      </c>
    </row>
    <row r="100" spans="1:20" x14ac:dyDescent="0.25">
      <c r="A100" s="1">
        <v>45389</v>
      </c>
      <c r="B100">
        <v>4913</v>
      </c>
      <c r="C100">
        <v>4770</v>
      </c>
      <c r="D100">
        <v>42.88</v>
      </c>
      <c r="E100">
        <v>36.909999999999997</v>
      </c>
      <c r="I100">
        <v>4770</v>
      </c>
      <c r="M100">
        <f>Tabla1[[#This Row],[entrada_litros]]*Tabla1[[#This Row],[entrada_grasa_g_l]]/100</f>
        <v>2045.376</v>
      </c>
      <c r="N100">
        <f>Tabla1[[#This Row],[entrada_prot_g_l]]*Tabla1[[#This Row],[entrada_litros]]/100</f>
        <v>1760.6069999999997</v>
      </c>
      <c r="O100">
        <f>Tabla1[[#This Row],[cuba_fab_litros]]*Tabla1[[#This Row],[cuba_fab_grasa_g_l]]</f>
        <v>0</v>
      </c>
      <c r="P100">
        <f>Tabla1[[#This Row],[cuba_fab_litros]]*Tabla1[[#This Row],[cuba_fab_prot_g_l]]/100</f>
        <v>0</v>
      </c>
      <c r="Q100">
        <f>Tabla1[[#This Row],[queso_kg]]*Tabla1[[#This Row],[queso_est_pct]]/100</f>
        <v>0</v>
      </c>
      <c r="R100">
        <f>Tabla1[[#This Row],[queso_kg]]*Tabla1[[#This Row],[queso_mg_pct]]/100</f>
        <v>0</v>
      </c>
      <c r="S100">
        <f>_xlfn.ISOWEEKNUM(Tabla1[[#This Row],[fecha]])</f>
        <v>14</v>
      </c>
      <c r="T100">
        <v>15</v>
      </c>
    </row>
    <row r="101" spans="1:20" x14ac:dyDescent="0.25">
      <c r="A101" s="1">
        <v>45390</v>
      </c>
      <c r="B101">
        <v>5117</v>
      </c>
      <c r="C101">
        <v>4968</v>
      </c>
      <c r="D101">
        <v>41.56</v>
      </c>
      <c r="E101">
        <v>36.56</v>
      </c>
      <c r="F101">
        <v>5023</v>
      </c>
      <c r="G101">
        <v>39.93</v>
      </c>
      <c r="H101">
        <v>34.99</v>
      </c>
      <c r="I101">
        <v>4738</v>
      </c>
      <c r="J101">
        <v>612.29999999999995</v>
      </c>
      <c r="K101">
        <v>53.28</v>
      </c>
      <c r="L101">
        <v>27.27</v>
      </c>
      <c r="M101">
        <f>Tabla1[[#This Row],[entrada_litros]]*Tabla1[[#This Row],[entrada_grasa_g_l]]/100</f>
        <v>2064.7008000000001</v>
      </c>
      <c r="N101">
        <f>Tabla1[[#This Row],[entrada_prot_g_l]]*Tabla1[[#This Row],[entrada_litros]]/100</f>
        <v>1816.3008000000002</v>
      </c>
      <c r="O101">
        <f>Tabla1[[#This Row],[cuba_fab_litros]]*Tabla1[[#This Row],[cuba_fab_grasa_g_l]]</f>
        <v>200568.38999999998</v>
      </c>
      <c r="P101">
        <f>Tabla1[[#This Row],[cuba_fab_litros]]*Tabla1[[#This Row],[cuba_fab_prot_g_l]]/100</f>
        <v>1757.5477000000001</v>
      </c>
      <c r="Q101">
        <f>Tabla1[[#This Row],[queso_kg]]*Tabla1[[#This Row],[queso_est_pct]]/100</f>
        <v>326.23343999999997</v>
      </c>
      <c r="R101">
        <f>Tabla1[[#This Row],[queso_kg]]*Tabla1[[#This Row],[queso_mg_pct]]/100</f>
        <v>166.97420999999997</v>
      </c>
      <c r="S101">
        <f>_xlfn.ISOWEEKNUM(Tabla1[[#This Row],[fecha]])</f>
        <v>15</v>
      </c>
      <c r="T101">
        <v>15</v>
      </c>
    </row>
    <row r="102" spans="1:20" x14ac:dyDescent="0.25">
      <c r="A102" s="1">
        <v>45391</v>
      </c>
      <c r="B102">
        <v>5538</v>
      </c>
      <c r="C102">
        <v>5377</v>
      </c>
      <c r="D102">
        <v>42.16</v>
      </c>
      <c r="E102">
        <v>37.72</v>
      </c>
      <c r="F102">
        <v>5022</v>
      </c>
      <c r="G102">
        <v>40.299999999999997</v>
      </c>
      <c r="H102">
        <v>35.549999999999997</v>
      </c>
      <c r="I102">
        <v>5115</v>
      </c>
      <c r="J102">
        <v>640.02</v>
      </c>
      <c r="K102">
        <v>50.59</v>
      </c>
      <c r="L102">
        <v>26.56</v>
      </c>
      <c r="M102">
        <f>Tabla1[[#This Row],[entrada_litros]]*Tabla1[[#This Row],[entrada_grasa_g_l]]/100</f>
        <v>2266.9431999999997</v>
      </c>
      <c r="N102">
        <f>Tabla1[[#This Row],[entrada_prot_g_l]]*Tabla1[[#This Row],[entrada_litros]]/100</f>
        <v>2028.2044000000001</v>
      </c>
      <c r="O102">
        <f>Tabla1[[#This Row],[cuba_fab_litros]]*Tabla1[[#This Row],[cuba_fab_grasa_g_l]]</f>
        <v>202386.59999999998</v>
      </c>
      <c r="P102">
        <f>Tabla1[[#This Row],[cuba_fab_litros]]*Tabla1[[#This Row],[cuba_fab_prot_g_l]]/100</f>
        <v>1785.3209999999997</v>
      </c>
      <c r="Q102">
        <f>Tabla1[[#This Row],[queso_kg]]*Tabla1[[#This Row],[queso_est_pct]]/100</f>
        <v>323.78611800000004</v>
      </c>
      <c r="R102">
        <f>Tabla1[[#This Row],[queso_kg]]*Tabla1[[#This Row],[queso_mg_pct]]/100</f>
        <v>169.98931199999998</v>
      </c>
      <c r="S102">
        <f>_xlfn.ISOWEEKNUM(Tabla1[[#This Row],[fecha]])</f>
        <v>15</v>
      </c>
      <c r="T102">
        <v>15</v>
      </c>
    </row>
    <row r="103" spans="1:20" x14ac:dyDescent="0.25">
      <c r="A103" s="1">
        <v>45392</v>
      </c>
      <c r="B103">
        <v>4840</v>
      </c>
      <c r="C103">
        <v>4699</v>
      </c>
      <c r="D103">
        <v>41.32</v>
      </c>
      <c r="E103">
        <v>35.69</v>
      </c>
      <c r="F103">
        <v>5032</v>
      </c>
      <c r="G103">
        <v>39.840000000000003</v>
      </c>
      <c r="H103">
        <v>34.85</v>
      </c>
      <c r="I103">
        <v>4814</v>
      </c>
      <c r="J103">
        <v>645.87</v>
      </c>
      <c r="K103">
        <v>50.69</v>
      </c>
      <c r="L103">
        <v>26.37</v>
      </c>
      <c r="M103">
        <f>Tabla1[[#This Row],[entrada_litros]]*Tabla1[[#This Row],[entrada_grasa_g_l]]/100</f>
        <v>1941.6268</v>
      </c>
      <c r="N103">
        <f>Tabla1[[#This Row],[entrada_prot_g_l]]*Tabla1[[#This Row],[entrada_litros]]/100</f>
        <v>1677.0731000000001</v>
      </c>
      <c r="O103">
        <f>Tabla1[[#This Row],[cuba_fab_litros]]*Tabla1[[#This Row],[cuba_fab_grasa_g_l]]</f>
        <v>200474.88</v>
      </c>
      <c r="P103">
        <f>Tabla1[[#This Row],[cuba_fab_litros]]*Tabla1[[#This Row],[cuba_fab_prot_g_l]]/100</f>
        <v>1753.652</v>
      </c>
      <c r="Q103">
        <f>Tabla1[[#This Row],[queso_kg]]*Tabla1[[#This Row],[queso_est_pct]]/100</f>
        <v>327.391503</v>
      </c>
      <c r="R103">
        <f>Tabla1[[#This Row],[queso_kg]]*Tabla1[[#This Row],[queso_mg_pct]]/100</f>
        <v>170.31591900000001</v>
      </c>
      <c r="S103">
        <f>_xlfn.ISOWEEKNUM(Tabla1[[#This Row],[fecha]])</f>
        <v>15</v>
      </c>
      <c r="T103">
        <v>15</v>
      </c>
    </row>
    <row r="104" spans="1:20" x14ac:dyDescent="0.25">
      <c r="A104" s="1">
        <v>45393</v>
      </c>
      <c r="B104">
        <v>5073</v>
      </c>
      <c r="C104">
        <v>4925</v>
      </c>
      <c r="D104">
        <v>41.74</v>
      </c>
      <c r="E104">
        <v>34.75</v>
      </c>
      <c r="F104">
        <v>5024</v>
      </c>
      <c r="G104">
        <v>39.51</v>
      </c>
      <c r="H104">
        <v>33.76</v>
      </c>
      <c r="I104">
        <v>4739</v>
      </c>
      <c r="J104">
        <v>616.79999999999995</v>
      </c>
      <c r="K104">
        <v>52.96</v>
      </c>
      <c r="L104">
        <v>27.11</v>
      </c>
      <c r="M104">
        <f>Tabla1[[#This Row],[entrada_litros]]*Tabla1[[#This Row],[entrada_grasa_g_l]]/100</f>
        <v>2055.6950000000002</v>
      </c>
      <c r="N104">
        <f>Tabla1[[#This Row],[entrada_prot_g_l]]*Tabla1[[#This Row],[entrada_litros]]/100</f>
        <v>1711.4375</v>
      </c>
      <c r="O104">
        <f>Tabla1[[#This Row],[cuba_fab_litros]]*Tabla1[[#This Row],[cuba_fab_grasa_g_l]]</f>
        <v>198498.24</v>
      </c>
      <c r="P104">
        <f>Tabla1[[#This Row],[cuba_fab_litros]]*Tabla1[[#This Row],[cuba_fab_prot_g_l]]/100</f>
        <v>1696.1024</v>
      </c>
      <c r="Q104">
        <f>Tabla1[[#This Row],[queso_kg]]*Tabla1[[#This Row],[queso_est_pct]]/100</f>
        <v>326.65728000000001</v>
      </c>
      <c r="R104">
        <f>Tabla1[[#This Row],[queso_kg]]*Tabla1[[#This Row],[queso_mg_pct]]/100</f>
        <v>167.21447999999998</v>
      </c>
      <c r="S104">
        <f>_xlfn.ISOWEEKNUM(Tabla1[[#This Row],[fecha]])</f>
        <v>15</v>
      </c>
      <c r="T104">
        <v>15</v>
      </c>
    </row>
    <row r="105" spans="1:20" x14ac:dyDescent="0.25">
      <c r="A105" s="1">
        <v>45394</v>
      </c>
      <c r="F105">
        <v>4769</v>
      </c>
      <c r="G105">
        <v>40.33</v>
      </c>
      <c r="H105">
        <v>33.97</v>
      </c>
      <c r="J105">
        <v>593.55999999999995</v>
      </c>
      <c r="K105">
        <v>52.33</v>
      </c>
      <c r="L105">
        <v>27.91</v>
      </c>
      <c r="M105">
        <f>Tabla1[[#This Row],[entrada_litros]]*Tabla1[[#This Row],[entrada_grasa_g_l]]/100</f>
        <v>0</v>
      </c>
      <c r="N105">
        <f>Tabla1[[#This Row],[entrada_prot_g_l]]*Tabla1[[#This Row],[entrada_litros]]/100</f>
        <v>0</v>
      </c>
      <c r="O105">
        <f>Tabla1[[#This Row],[cuba_fab_litros]]*Tabla1[[#This Row],[cuba_fab_grasa_g_l]]</f>
        <v>192333.77</v>
      </c>
      <c r="P105">
        <f>Tabla1[[#This Row],[cuba_fab_litros]]*Tabla1[[#This Row],[cuba_fab_prot_g_l]]/100</f>
        <v>1620.0292999999999</v>
      </c>
      <c r="Q105">
        <f>Tabla1[[#This Row],[queso_kg]]*Tabla1[[#This Row],[queso_est_pct]]/100</f>
        <v>310.60994799999997</v>
      </c>
      <c r="R105">
        <f>Tabla1[[#This Row],[queso_kg]]*Tabla1[[#This Row],[queso_mg_pct]]/100</f>
        <v>165.66259599999998</v>
      </c>
      <c r="S105">
        <f>_xlfn.ISOWEEKNUM(Tabla1[[#This Row],[fecha]])</f>
        <v>15</v>
      </c>
      <c r="T105">
        <v>15</v>
      </c>
    </row>
    <row r="106" spans="1:20" x14ac:dyDescent="0.25">
      <c r="A106" s="1">
        <v>45395</v>
      </c>
      <c r="M106">
        <f>Tabla1[[#This Row],[entrada_litros]]*Tabla1[[#This Row],[entrada_grasa_g_l]]/100</f>
        <v>0</v>
      </c>
      <c r="N106">
        <f>Tabla1[[#This Row],[entrada_prot_g_l]]*Tabla1[[#This Row],[entrada_litros]]/100</f>
        <v>0</v>
      </c>
      <c r="O106">
        <f>Tabla1[[#This Row],[cuba_fab_litros]]*Tabla1[[#This Row],[cuba_fab_grasa_g_l]]</f>
        <v>0</v>
      </c>
      <c r="P106">
        <f>Tabla1[[#This Row],[cuba_fab_litros]]*Tabla1[[#This Row],[cuba_fab_prot_g_l]]/100</f>
        <v>0</v>
      </c>
      <c r="Q106">
        <f>Tabla1[[#This Row],[queso_kg]]*Tabla1[[#This Row],[queso_est_pct]]/100</f>
        <v>0</v>
      </c>
      <c r="R106">
        <f>Tabla1[[#This Row],[queso_kg]]*Tabla1[[#This Row],[queso_mg_pct]]/100</f>
        <v>0</v>
      </c>
      <c r="S106">
        <f>_xlfn.ISOWEEKNUM(Tabla1[[#This Row],[fecha]])</f>
        <v>15</v>
      </c>
      <c r="T106">
        <v>15</v>
      </c>
    </row>
    <row r="107" spans="1:20" x14ac:dyDescent="0.25">
      <c r="A107" s="1">
        <v>45396</v>
      </c>
      <c r="B107">
        <v>5045</v>
      </c>
      <c r="C107">
        <v>4898</v>
      </c>
      <c r="D107">
        <v>41.13</v>
      </c>
      <c r="E107">
        <v>35.06</v>
      </c>
      <c r="I107">
        <v>4898</v>
      </c>
      <c r="M107">
        <f>Tabla1[[#This Row],[entrada_litros]]*Tabla1[[#This Row],[entrada_grasa_g_l]]/100</f>
        <v>2014.5474000000002</v>
      </c>
      <c r="N107">
        <f>Tabla1[[#This Row],[entrada_prot_g_l]]*Tabla1[[#This Row],[entrada_litros]]/100</f>
        <v>1717.2388000000001</v>
      </c>
      <c r="O107">
        <f>Tabla1[[#This Row],[cuba_fab_litros]]*Tabla1[[#This Row],[cuba_fab_grasa_g_l]]</f>
        <v>0</v>
      </c>
      <c r="P107">
        <f>Tabla1[[#This Row],[cuba_fab_litros]]*Tabla1[[#This Row],[cuba_fab_prot_g_l]]/100</f>
        <v>0</v>
      </c>
      <c r="Q107">
        <f>Tabla1[[#This Row],[queso_kg]]*Tabla1[[#This Row],[queso_est_pct]]/100</f>
        <v>0</v>
      </c>
      <c r="R107">
        <f>Tabla1[[#This Row],[queso_kg]]*Tabla1[[#This Row],[queso_mg_pct]]/100</f>
        <v>0</v>
      </c>
      <c r="S107">
        <f>_xlfn.ISOWEEKNUM(Tabla1[[#This Row],[fecha]])</f>
        <v>15</v>
      </c>
      <c r="T107">
        <v>16</v>
      </c>
    </row>
    <row r="108" spans="1:20" x14ac:dyDescent="0.25">
      <c r="A108" s="1">
        <v>45397</v>
      </c>
      <c r="B108">
        <v>5398</v>
      </c>
      <c r="C108">
        <v>5241</v>
      </c>
      <c r="D108">
        <v>40.229999999999997</v>
      </c>
      <c r="E108">
        <v>35.47</v>
      </c>
      <c r="F108">
        <v>5039</v>
      </c>
      <c r="G108">
        <v>38.380000000000003</v>
      </c>
      <c r="H108">
        <v>33.299999999999997</v>
      </c>
      <c r="I108">
        <v>5139</v>
      </c>
      <c r="J108">
        <v>628.5</v>
      </c>
      <c r="K108">
        <v>51.91</v>
      </c>
      <c r="L108">
        <v>27.55</v>
      </c>
      <c r="M108">
        <f>Tabla1[[#This Row],[entrada_litros]]*Tabla1[[#This Row],[entrada_grasa_g_l]]/100</f>
        <v>2108.4542999999999</v>
      </c>
      <c r="N108">
        <f>Tabla1[[#This Row],[entrada_prot_g_l]]*Tabla1[[#This Row],[entrada_litros]]/100</f>
        <v>1858.9826999999998</v>
      </c>
      <c r="O108">
        <f>Tabla1[[#This Row],[cuba_fab_litros]]*Tabla1[[#This Row],[cuba_fab_grasa_g_l]]</f>
        <v>193396.82</v>
      </c>
      <c r="P108">
        <f>Tabla1[[#This Row],[cuba_fab_litros]]*Tabla1[[#This Row],[cuba_fab_prot_g_l]]/100</f>
        <v>1677.9869999999999</v>
      </c>
      <c r="Q108">
        <f>Tabla1[[#This Row],[queso_kg]]*Tabla1[[#This Row],[queso_est_pct]]/100</f>
        <v>326.25434999999999</v>
      </c>
      <c r="R108">
        <f>Tabla1[[#This Row],[queso_kg]]*Tabla1[[#This Row],[queso_mg_pct]]/100</f>
        <v>173.15174999999999</v>
      </c>
      <c r="S108">
        <f>_xlfn.ISOWEEKNUM(Tabla1[[#This Row],[fecha]])</f>
        <v>16</v>
      </c>
      <c r="T108">
        <v>16</v>
      </c>
    </row>
    <row r="109" spans="1:20" x14ac:dyDescent="0.25">
      <c r="A109" s="1">
        <v>45398</v>
      </c>
      <c r="B109">
        <v>5155</v>
      </c>
      <c r="C109">
        <v>5005</v>
      </c>
      <c r="D109">
        <v>43.26</v>
      </c>
      <c r="E109">
        <v>34.69</v>
      </c>
      <c r="F109">
        <v>5026</v>
      </c>
      <c r="G109">
        <v>39.92</v>
      </c>
      <c r="H109">
        <v>33.130000000000003</v>
      </c>
      <c r="I109">
        <v>5144</v>
      </c>
      <c r="J109">
        <v>639.5</v>
      </c>
      <c r="K109">
        <v>51.47</v>
      </c>
      <c r="L109">
        <v>27.2</v>
      </c>
      <c r="M109">
        <f>Tabla1[[#This Row],[entrada_litros]]*Tabla1[[#This Row],[entrada_grasa_g_l]]/100</f>
        <v>2165.163</v>
      </c>
      <c r="N109">
        <f>Tabla1[[#This Row],[entrada_prot_g_l]]*Tabla1[[#This Row],[entrada_litros]]/100</f>
        <v>1736.2344999999998</v>
      </c>
      <c r="O109">
        <f>Tabla1[[#This Row],[cuba_fab_litros]]*Tabla1[[#This Row],[cuba_fab_grasa_g_l]]</f>
        <v>200637.92</v>
      </c>
      <c r="P109">
        <f>Tabla1[[#This Row],[cuba_fab_litros]]*Tabla1[[#This Row],[cuba_fab_prot_g_l]]/100</f>
        <v>1665.1138000000001</v>
      </c>
      <c r="Q109">
        <f>Tabla1[[#This Row],[queso_kg]]*Tabla1[[#This Row],[queso_est_pct]]/100</f>
        <v>329.15065000000004</v>
      </c>
      <c r="R109">
        <f>Tabla1[[#This Row],[queso_kg]]*Tabla1[[#This Row],[queso_mg_pct]]/100</f>
        <v>173.94399999999999</v>
      </c>
      <c r="S109">
        <f>_xlfn.ISOWEEKNUM(Tabla1[[#This Row],[fecha]])</f>
        <v>16</v>
      </c>
      <c r="T109">
        <v>16</v>
      </c>
    </row>
    <row r="110" spans="1:20" x14ac:dyDescent="0.25">
      <c r="A110" s="1">
        <v>45399</v>
      </c>
      <c r="B110">
        <v>5277</v>
      </c>
      <c r="C110">
        <v>5123</v>
      </c>
      <c r="D110">
        <v>40.9</v>
      </c>
      <c r="E110">
        <v>36.64</v>
      </c>
      <c r="F110">
        <v>5020</v>
      </c>
      <c r="G110">
        <v>39.74</v>
      </c>
      <c r="H110">
        <v>34.08</v>
      </c>
      <c r="I110">
        <v>5267</v>
      </c>
      <c r="J110">
        <v>649.04999999999995</v>
      </c>
      <c r="K110">
        <v>50.59</v>
      </c>
      <c r="L110">
        <v>25.81</v>
      </c>
      <c r="M110">
        <f>Tabla1[[#This Row],[entrada_litros]]*Tabla1[[#This Row],[entrada_grasa_g_l]]/100</f>
        <v>2095.3069999999998</v>
      </c>
      <c r="N110">
        <f>Tabla1[[#This Row],[entrada_prot_g_l]]*Tabla1[[#This Row],[entrada_litros]]/100</f>
        <v>1877.0672</v>
      </c>
      <c r="O110">
        <f>Tabla1[[#This Row],[cuba_fab_litros]]*Tabla1[[#This Row],[cuba_fab_grasa_g_l]]</f>
        <v>199494.80000000002</v>
      </c>
      <c r="P110">
        <f>Tabla1[[#This Row],[cuba_fab_litros]]*Tabla1[[#This Row],[cuba_fab_prot_g_l]]/100</f>
        <v>1710.816</v>
      </c>
      <c r="Q110">
        <f>Tabla1[[#This Row],[queso_kg]]*Tabla1[[#This Row],[queso_est_pct]]/100</f>
        <v>328.35439500000001</v>
      </c>
      <c r="R110">
        <f>Tabla1[[#This Row],[queso_kg]]*Tabla1[[#This Row],[queso_mg_pct]]/100</f>
        <v>167.51980499999999</v>
      </c>
      <c r="S110">
        <f>_xlfn.ISOWEEKNUM(Tabla1[[#This Row],[fecha]])</f>
        <v>16</v>
      </c>
      <c r="T110">
        <v>16</v>
      </c>
    </row>
    <row r="111" spans="1:20" x14ac:dyDescent="0.25">
      <c r="A111" s="1">
        <v>45400</v>
      </c>
      <c r="B111">
        <v>4700</v>
      </c>
      <c r="C111">
        <v>4563</v>
      </c>
      <c r="D111">
        <v>45.22</v>
      </c>
      <c r="E111">
        <v>35.06</v>
      </c>
      <c r="F111">
        <v>5021</v>
      </c>
      <c r="G111">
        <v>41.31</v>
      </c>
      <c r="H111">
        <v>34.049999999999997</v>
      </c>
      <c r="I111">
        <v>4830</v>
      </c>
      <c r="J111">
        <v>639.87</v>
      </c>
      <c r="K111">
        <v>50.69</v>
      </c>
      <c r="L111">
        <v>26.9</v>
      </c>
      <c r="M111">
        <f>Tabla1[[#This Row],[entrada_litros]]*Tabla1[[#This Row],[entrada_grasa_g_l]]/100</f>
        <v>2063.3885999999998</v>
      </c>
      <c r="N111">
        <f>Tabla1[[#This Row],[entrada_prot_g_l]]*Tabla1[[#This Row],[entrada_litros]]/100</f>
        <v>1599.7878000000001</v>
      </c>
      <c r="O111">
        <f>Tabla1[[#This Row],[cuba_fab_litros]]*Tabla1[[#This Row],[cuba_fab_grasa_g_l]]</f>
        <v>207417.51</v>
      </c>
      <c r="P111">
        <f>Tabla1[[#This Row],[cuba_fab_litros]]*Tabla1[[#This Row],[cuba_fab_prot_g_l]]/100</f>
        <v>1709.6505</v>
      </c>
      <c r="Q111">
        <f>Tabla1[[#This Row],[queso_kg]]*Tabla1[[#This Row],[queso_est_pct]]/100</f>
        <v>324.35010299999999</v>
      </c>
      <c r="R111">
        <f>Tabla1[[#This Row],[queso_kg]]*Tabla1[[#This Row],[queso_mg_pct]]/100</f>
        <v>172.12503000000001</v>
      </c>
      <c r="S111">
        <f>_xlfn.ISOWEEKNUM(Tabla1[[#This Row],[fecha]])</f>
        <v>16</v>
      </c>
      <c r="T111">
        <v>16</v>
      </c>
    </row>
    <row r="112" spans="1:20" x14ac:dyDescent="0.25">
      <c r="A112" s="1">
        <v>45401</v>
      </c>
      <c r="F112">
        <v>4855</v>
      </c>
      <c r="G112">
        <v>41.52</v>
      </c>
      <c r="H112">
        <v>33.81</v>
      </c>
      <c r="J112">
        <v>583.64</v>
      </c>
      <c r="K112">
        <v>53.66</v>
      </c>
      <c r="L112">
        <v>28.27</v>
      </c>
      <c r="M112">
        <f>Tabla1[[#This Row],[entrada_litros]]*Tabla1[[#This Row],[entrada_grasa_g_l]]/100</f>
        <v>0</v>
      </c>
      <c r="N112">
        <f>Tabla1[[#This Row],[entrada_prot_g_l]]*Tabla1[[#This Row],[entrada_litros]]/100</f>
        <v>0</v>
      </c>
      <c r="O112">
        <f>Tabla1[[#This Row],[cuba_fab_litros]]*Tabla1[[#This Row],[cuba_fab_grasa_g_l]]</f>
        <v>201579.6</v>
      </c>
      <c r="P112">
        <f>Tabla1[[#This Row],[cuba_fab_litros]]*Tabla1[[#This Row],[cuba_fab_prot_g_l]]/100</f>
        <v>1641.4755000000002</v>
      </c>
      <c r="Q112">
        <f>Tabla1[[#This Row],[queso_kg]]*Tabla1[[#This Row],[queso_est_pct]]/100</f>
        <v>313.18122399999999</v>
      </c>
      <c r="R112">
        <f>Tabla1[[#This Row],[queso_kg]]*Tabla1[[#This Row],[queso_mg_pct]]/100</f>
        <v>164.99502799999999</v>
      </c>
      <c r="S112">
        <f>_xlfn.ISOWEEKNUM(Tabla1[[#This Row],[fecha]])</f>
        <v>16</v>
      </c>
      <c r="T112">
        <v>16</v>
      </c>
    </row>
    <row r="113" spans="1:20" x14ac:dyDescent="0.25">
      <c r="A113" s="1">
        <v>45402</v>
      </c>
      <c r="M113">
        <f>Tabla1[[#This Row],[entrada_litros]]*Tabla1[[#This Row],[entrada_grasa_g_l]]/100</f>
        <v>0</v>
      </c>
      <c r="N113">
        <f>Tabla1[[#This Row],[entrada_prot_g_l]]*Tabla1[[#This Row],[entrada_litros]]/100</f>
        <v>0</v>
      </c>
      <c r="O113">
        <f>Tabla1[[#This Row],[cuba_fab_litros]]*Tabla1[[#This Row],[cuba_fab_grasa_g_l]]</f>
        <v>0</v>
      </c>
      <c r="P113">
        <f>Tabla1[[#This Row],[cuba_fab_litros]]*Tabla1[[#This Row],[cuba_fab_prot_g_l]]/100</f>
        <v>0</v>
      </c>
      <c r="Q113">
        <f>Tabla1[[#This Row],[queso_kg]]*Tabla1[[#This Row],[queso_est_pct]]/100</f>
        <v>0</v>
      </c>
      <c r="R113">
        <f>Tabla1[[#This Row],[queso_kg]]*Tabla1[[#This Row],[queso_mg_pct]]/100</f>
        <v>0</v>
      </c>
      <c r="S113">
        <f>_xlfn.ISOWEEKNUM(Tabla1[[#This Row],[fecha]])</f>
        <v>16</v>
      </c>
      <c r="T113">
        <v>16</v>
      </c>
    </row>
    <row r="114" spans="1:20" x14ac:dyDescent="0.25">
      <c r="A114" s="1">
        <v>45403</v>
      </c>
      <c r="B114">
        <v>5578</v>
      </c>
      <c r="C114">
        <v>5416</v>
      </c>
      <c r="D114">
        <v>43.35</v>
      </c>
      <c r="E114">
        <v>35.67</v>
      </c>
      <c r="I114">
        <v>5416</v>
      </c>
      <c r="M114">
        <f>Tabla1[[#This Row],[entrada_litros]]*Tabla1[[#This Row],[entrada_grasa_g_l]]/100</f>
        <v>2347.8360000000002</v>
      </c>
      <c r="N114">
        <f>Tabla1[[#This Row],[entrada_prot_g_l]]*Tabla1[[#This Row],[entrada_litros]]/100</f>
        <v>1931.8872000000001</v>
      </c>
      <c r="O114">
        <f>Tabla1[[#This Row],[cuba_fab_litros]]*Tabla1[[#This Row],[cuba_fab_grasa_g_l]]</f>
        <v>0</v>
      </c>
      <c r="P114">
        <f>Tabla1[[#This Row],[cuba_fab_litros]]*Tabla1[[#This Row],[cuba_fab_prot_g_l]]/100</f>
        <v>0</v>
      </c>
      <c r="Q114">
        <f>Tabla1[[#This Row],[queso_kg]]*Tabla1[[#This Row],[queso_est_pct]]/100</f>
        <v>0</v>
      </c>
      <c r="R114">
        <f>Tabla1[[#This Row],[queso_kg]]*Tabla1[[#This Row],[queso_mg_pct]]/100</f>
        <v>0</v>
      </c>
      <c r="S114">
        <f>_xlfn.ISOWEEKNUM(Tabla1[[#This Row],[fecha]])</f>
        <v>16</v>
      </c>
      <c r="T114">
        <v>17</v>
      </c>
    </row>
    <row r="115" spans="1:20" x14ac:dyDescent="0.25">
      <c r="A115" s="1">
        <v>45404</v>
      </c>
      <c r="B115">
        <v>5181</v>
      </c>
      <c r="C115">
        <v>5030</v>
      </c>
      <c r="D115">
        <v>43.15</v>
      </c>
      <c r="E115">
        <v>35.75</v>
      </c>
      <c r="F115">
        <v>5033</v>
      </c>
      <c r="G115">
        <v>41.56</v>
      </c>
      <c r="H115">
        <v>34.14</v>
      </c>
      <c r="I115">
        <v>5446</v>
      </c>
      <c r="J115">
        <v>631.99</v>
      </c>
      <c r="K115">
        <v>52.28</v>
      </c>
      <c r="L115">
        <v>27.64</v>
      </c>
      <c r="M115">
        <f>Tabla1[[#This Row],[entrada_litros]]*Tabla1[[#This Row],[entrada_grasa_g_l]]/100</f>
        <v>2170.4450000000002</v>
      </c>
      <c r="N115">
        <f>Tabla1[[#This Row],[entrada_prot_g_l]]*Tabla1[[#This Row],[entrada_litros]]/100</f>
        <v>1798.2249999999999</v>
      </c>
      <c r="O115">
        <f>Tabla1[[#This Row],[cuba_fab_litros]]*Tabla1[[#This Row],[cuba_fab_grasa_g_l]]</f>
        <v>209171.48</v>
      </c>
      <c r="P115">
        <f>Tabla1[[#This Row],[cuba_fab_litros]]*Tabla1[[#This Row],[cuba_fab_prot_g_l]]/100</f>
        <v>1718.2662</v>
      </c>
      <c r="Q115">
        <f>Tabla1[[#This Row],[queso_kg]]*Tabla1[[#This Row],[queso_est_pct]]/100</f>
        <v>330.40437200000002</v>
      </c>
      <c r="R115">
        <f>Tabla1[[#This Row],[queso_kg]]*Tabla1[[#This Row],[queso_mg_pct]]/100</f>
        <v>174.68203600000001</v>
      </c>
      <c r="S115">
        <f>_xlfn.ISOWEEKNUM(Tabla1[[#This Row],[fecha]])</f>
        <v>17</v>
      </c>
      <c r="T115">
        <v>17</v>
      </c>
    </row>
    <row r="116" spans="1:20" x14ac:dyDescent="0.25">
      <c r="A116" s="1">
        <v>45405</v>
      </c>
      <c r="B116">
        <v>5074</v>
      </c>
      <c r="C116">
        <v>4926</v>
      </c>
      <c r="D116">
        <v>42.3</v>
      </c>
      <c r="E116">
        <v>35.270000000000003</v>
      </c>
      <c r="F116">
        <v>5033</v>
      </c>
      <c r="G116">
        <v>41</v>
      </c>
      <c r="H116">
        <v>33.67</v>
      </c>
      <c r="I116">
        <v>5372</v>
      </c>
      <c r="J116">
        <v>634.75</v>
      </c>
      <c r="K116">
        <v>52.08</v>
      </c>
      <c r="L116">
        <v>26.67</v>
      </c>
      <c r="M116">
        <f>Tabla1[[#This Row],[entrada_litros]]*Tabla1[[#This Row],[entrada_grasa_g_l]]/100</f>
        <v>2083.6979999999999</v>
      </c>
      <c r="N116">
        <f>Tabla1[[#This Row],[entrada_prot_g_l]]*Tabla1[[#This Row],[entrada_litros]]/100</f>
        <v>1737.4002000000003</v>
      </c>
      <c r="O116">
        <f>Tabla1[[#This Row],[cuba_fab_litros]]*Tabla1[[#This Row],[cuba_fab_grasa_g_l]]</f>
        <v>206353</v>
      </c>
      <c r="P116">
        <f>Tabla1[[#This Row],[cuba_fab_litros]]*Tabla1[[#This Row],[cuba_fab_prot_g_l]]/100</f>
        <v>1694.6111000000001</v>
      </c>
      <c r="Q116">
        <f>Tabla1[[#This Row],[queso_kg]]*Tabla1[[#This Row],[queso_est_pct]]/100</f>
        <v>330.57779999999997</v>
      </c>
      <c r="R116">
        <f>Tabla1[[#This Row],[queso_kg]]*Tabla1[[#This Row],[queso_mg_pct]]/100</f>
        <v>169.287825</v>
      </c>
      <c r="S116">
        <f>_xlfn.ISOWEEKNUM(Tabla1[[#This Row],[fecha]])</f>
        <v>17</v>
      </c>
      <c r="T116">
        <v>17</v>
      </c>
    </row>
    <row r="117" spans="1:20" x14ac:dyDescent="0.25">
      <c r="A117" s="1">
        <v>45406</v>
      </c>
      <c r="B117">
        <v>5012</v>
      </c>
      <c r="C117">
        <v>4866</v>
      </c>
      <c r="D117">
        <v>39.47</v>
      </c>
      <c r="E117">
        <v>36.799999999999997</v>
      </c>
      <c r="F117">
        <v>5026</v>
      </c>
      <c r="G117">
        <v>39.340000000000003</v>
      </c>
      <c r="H117">
        <v>34.380000000000003</v>
      </c>
      <c r="I117">
        <v>5238</v>
      </c>
      <c r="J117">
        <v>613.28</v>
      </c>
      <c r="K117">
        <v>53.27</v>
      </c>
      <c r="L117">
        <v>27.37</v>
      </c>
      <c r="M117">
        <f>Tabla1[[#This Row],[entrada_litros]]*Tabla1[[#This Row],[entrada_grasa_g_l]]/100</f>
        <v>1920.6101999999998</v>
      </c>
      <c r="N117">
        <f>Tabla1[[#This Row],[entrada_prot_g_l]]*Tabla1[[#This Row],[entrada_litros]]/100</f>
        <v>1790.6879999999999</v>
      </c>
      <c r="O117">
        <f>Tabla1[[#This Row],[cuba_fab_litros]]*Tabla1[[#This Row],[cuba_fab_grasa_g_l]]</f>
        <v>197722.84000000003</v>
      </c>
      <c r="P117">
        <f>Tabla1[[#This Row],[cuba_fab_litros]]*Tabla1[[#This Row],[cuba_fab_prot_g_l]]/100</f>
        <v>1727.9388000000001</v>
      </c>
      <c r="Q117">
        <f>Tabla1[[#This Row],[queso_kg]]*Tabla1[[#This Row],[queso_est_pct]]/100</f>
        <v>326.694256</v>
      </c>
      <c r="R117">
        <f>Tabla1[[#This Row],[queso_kg]]*Tabla1[[#This Row],[queso_mg_pct]]/100</f>
        <v>167.854736</v>
      </c>
      <c r="S117">
        <f>_xlfn.ISOWEEKNUM(Tabla1[[#This Row],[fecha]])</f>
        <v>17</v>
      </c>
      <c r="T117">
        <v>17</v>
      </c>
    </row>
    <row r="118" spans="1:20" x14ac:dyDescent="0.25">
      <c r="A118" s="1">
        <v>45407</v>
      </c>
      <c r="B118">
        <v>5656</v>
      </c>
      <c r="C118">
        <v>5491</v>
      </c>
      <c r="D118">
        <v>43.28</v>
      </c>
      <c r="E118">
        <v>37.46</v>
      </c>
      <c r="F118">
        <v>5027</v>
      </c>
      <c r="G118">
        <v>40.22</v>
      </c>
      <c r="H118">
        <v>35.24</v>
      </c>
      <c r="I118">
        <v>5729</v>
      </c>
      <c r="J118">
        <v>629.52</v>
      </c>
      <c r="K118">
        <v>52.33</v>
      </c>
      <c r="L118">
        <v>27.42</v>
      </c>
      <c r="M118">
        <f>Tabla1[[#This Row],[entrada_litros]]*Tabla1[[#This Row],[entrada_grasa_g_l]]/100</f>
        <v>2376.5048000000002</v>
      </c>
      <c r="N118">
        <f>Tabla1[[#This Row],[entrada_prot_g_l]]*Tabla1[[#This Row],[entrada_litros]]/100</f>
        <v>2056.9286000000002</v>
      </c>
      <c r="O118">
        <f>Tabla1[[#This Row],[cuba_fab_litros]]*Tabla1[[#This Row],[cuba_fab_grasa_g_l]]</f>
        <v>202185.94</v>
      </c>
      <c r="P118">
        <f>Tabla1[[#This Row],[cuba_fab_litros]]*Tabla1[[#This Row],[cuba_fab_prot_g_l]]/100</f>
        <v>1771.5148000000002</v>
      </c>
      <c r="Q118">
        <f>Tabla1[[#This Row],[queso_kg]]*Tabla1[[#This Row],[queso_est_pct]]/100</f>
        <v>329.42781599999995</v>
      </c>
      <c r="R118">
        <f>Tabla1[[#This Row],[queso_kg]]*Tabla1[[#This Row],[queso_mg_pct]]/100</f>
        <v>172.614384</v>
      </c>
      <c r="S118">
        <f>_xlfn.ISOWEEKNUM(Tabla1[[#This Row],[fecha]])</f>
        <v>17</v>
      </c>
      <c r="T118">
        <v>17</v>
      </c>
    </row>
    <row r="119" spans="1:20" x14ac:dyDescent="0.25">
      <c r="A119" s="1">
        <v>45408</v>
      </c>
      <c r="F119">
        <v>5757</v>
      </c>
      <c r="G119">
        <v>40.64</v>
      </c>
      <c r="H119">
        <v>35.1</v>
      </c>
      <c r="J119">
        <v>715.81</v>
      </c>
      <c r="K119">
        <v>52.09</v>
      </c>
      <c r="L119">
        <v>27.58</v>
      </c>
      <c r="M119">
        <f>Tabla1[[#This Row],[entrada_litros]]*Tabla1[[#This Row],[entrada_grasa_g_l]]/100</f>
        <v>0</v>
      </c>
      <c r="N119">
        <f>Tabla1[[#This Row],[entrada_prot_g_l]]*Tabla1[[#This Row],[entrada_litros]]/100</f>
        <v>0</v>
      </c>
      <c r="O119">
        <f>Tabla1[[#This Row],[cuba_fab_litros]]*Tabla1[[#This Row],[cuba_fab_grasa_g_l]]</f>
        <v>233964.48</v>
      </c>
      <c r="P119">
        <f>Tabla1[[#This Row],[cuba_fab_litros]]*Tabla1[[#This Row],[cuba_fab_prot_g_l]]/100</f>
        <v>2020.7070000000001</v>
      </c>
      <c r="Q119">
        <f>Tabla1[[#This Row],[queso_kg]]*Tabla1[[#This Row],[queso_est_pct]]/100</f>
        <v>372.86542900000001</v>
      </c>
      <c r="R119">
        <f>Tabla1[[#This Row],[queso_kg]]*Tabla1[[#This Row],[queso_mg_pct]]/100</f>
        <v>197.42039799999998</v>
      </c>
      <c r="S119">
        <f>_xlfn.ISOWEEKNUM(Tabla1[[#This Row],[fecha]])</f>
        <v>17</v>
      </c>
      <c r="T119">
        <v>17</v>
      </c>
    </row>
    <row r="120" spans="1:20" x14ac:dyDescent="0.25">
      <c r="A120" s="1">
        <v>45409</v>
      </c>
      <c r="M120">
        <f>Tabla1[[#This Row],[entrada_litros]]*Tabla1[[#This Row],[entrada_grasa_g_l]]/100</f>
        <v>0</v>
      </c>
      <c r="N120">
        <f>Tabla1[[#This Row],[entrada_prot_g_l]]*Tabla1[[#This Row],[entrada_litros]]/100</f>
        <v>0</v>
      </c>
      <c r="O120">
        <f>Tabla1[[#This Row],[cuba_fab_litros]]*Tabla1[[#This Row],[cuba_fab_grasa_g_l]]</f>
        <v>0</v>
      </c>
      <c r="P120">
        <f>Tabla1[[#This Row],[cuba_fab_litros]]*Tabla1[[#This Row],[cuba_fab_prot_g_l]]/100</f>
        <v>0</v>
      </c>
      <c r="Q120">
        <f>Tabla1[[#This Row],[queso_kg]]*Tabla1[[#This Row],[queso_est_pct]]/100</f>
        <v>0</v>
      </c>
      <c r="R120">
        <f>Tabla1[[#This Row],[queso_kg]]*Tabla1[[#This Row],[queso_mg_pct]]/100</f>
        <v>0</v>
      </c>
      <c r="S120">
        <f>_xlfn.ISOWEEKNUM(Tabla1[[#This Row],[fecha]])</f>
        <v>17</v>
      </c>
      <c r="T120">
        <v>17</v>
      </c>
    </row>
    <row r="121" spans="1:20" x14ac:dyDescent="0.25">
      <c r="A121" s="1">
        <v>45410</v>
      </c>
      <c r="B121">
        <v>5076</v>
      </c>
      <c r="C121">
        <v>4928</v>
      </c>
      <c r="D121">
        <v>46.3</v>
      </c>
      <c r="E121">
        <v>35.82</v>
      </c>
      <c r="I121">
        <v>4928</v>
      </c>
      <c r="M121">
        <f>Tabla1[[#This Row],[entrada_litros]]*Tabla1[[#This Row],[entrada_grasa_g_l]]/100</f>
        <v>2281.6639999999998</v>
      </c>
      <c r="N121">
        <f>Tabla1[[#This Row],[entrada_prot_g_l]]*Tabla1[[#This Row],[entrada_litros]]/100</f>
        <v>1765.2095999999999</v>
      </c>
      <c r="O121">
        <f>Tabla1[[#This Row],[cuba_fab_litros]]*Tabla1[[#This Row],[cuba_fab_grasa_g_l]]</f>
        <v>0</v>
      </c>
      <c r="P121">
        <f>Tabla1[[#This Row],[cuba_fab_litros]]*Tabla1[[#This Row],[cuba_fab_prot_g_l]]/100</f>
        <v>0</v>
      </c>
      <c r="Q121">
        <f>Tabla1[[#This Row],[queso_kg]]*Tabla1[[#This Row],[queso_est_pct]]/100</f>
        <v>0</v>
      </c>
      <c r="R121">
        <f>Tabla1[[#This Row],[queso_kg]]*Tabla1[[#This Row],[queso_mg_pct]]/100</f>
        <v>0</v>
      </c>
      <c r="S121">
        <f>_xlfn.ISOWEEKNUM(Tabla1[[#This Row],[fecha]])</f>
        <v>17</v>
      </c>
      <c r="T121">
        <v>18</v>
      </c>
    </row>
    <row r="122" spans="1:20" x14ac:dyDescent="0.25">
      <c r="A122" s="1">
        <v>45411</v>
      </c>
      <c r="B122">
        <v>5106</v>
      </c>
      <c r="C122">
        <v>4957</v>
      </c>
      <c r="D122">
        <v>42.65</v>
      </c>
      <c r="E122">
        <v>34.83</v>
      </c>
      <c r="F122">
        <v>5028</v>
      </c>
      <c r="G122">
        <v>42.43</v>
      </c>
      <c r="H122">
        <v>33.72</v>
      </c>
      <c r="I122">
        <v>4885</v>
      </c>
      <c r="J122">
        <v>635.51</v>
      </c>
      <c r="K122">
        <v>50.68</v>
      </c>
      <c r="L122">
        <v>26.12</v>
      </c>
      <c r="M122">
        <f>Tabla1[[#This Row],[entrada_litros]]*Tabla1[[#This Row],[entrada_grasa_g_l]]/100</f>
        <v>2114.1605</v>
      </c>
      <c r="N122">
        <f>Tabla1[[#This Row],[entrada_prot_g_l]]*Tabla1[[#This Row],[entrada_litros]]/100</f>
        <v>1726.5230999999999</v>
      </c>
      <c r="O122">
        <f>Tabla1[[#This Row],[cuba_fab_litros]]*Tabla1[[#This Row],[cuba_fab_grasa_g_l]]</f>
        <v>213338.04</v>
      </c>
      <c r="P122">
        <f>Tabla1[[#This Row],[cuba_fab_litros]]*Tabla1[[#This Row],[cuba_fab_prot_g_l]]/100</f>
        <v>1695.4416000000001</v>
      </c>
      <c r="Q122">
        <f>Tabla1[[#This Row],[queso_kg]]*Tabla1[[#This Row],[queso_est_pct]]/100</f>
        <v>322.07646799999998</v>
      </c>
      <c r="R122">
        <f>Tabla1[[#This Row],[queso_kg]]*Tabla1[[#This Row],[queso_mg_pct]]/100</f>
        <v>165.99521199999998</v>
      </c>
      <c r="S122">
        <f>_xlfn.ISOWEEKNUM(Tabla1[[#This Row],[fecha]])</f>
        <v>18</v>
      </c>
      <c r="T122">
        <v>18</v>
      </c>
    </row>
    <row r="123" spans="1:20" x14ac:dyDescent="0.25">
      <c r="A123" s="1">
        <v>45412</v>
      </c>
      <c r="B123">
        <v>5111</v>
      </c>
      <c r="C123">
        <v>4962</v>
      </c>
      <c r="D123">
        <v>43.28</v>
      </c>
      <c r="E123">
        <v>34</v>
      </c>
      <c r="F123">
        <v>5033</v>
      </c>
      <c r="G123">
        <v>41.74</v>
      </c>
      <c r="H123">
        <v>33.03</v>
      </c>
      <c r="I123">
        <v>4847</v>
      </c>
      <c r="J123">
        <v>612.29999999999995</v>
      </c>
      <c r="K123">
        <v>53.39</v>
      </c>
      <c r="L123">
        <v>26.78</v>
      </c>
      <c r="M123">
        <f>Tabla1[[#This Row],[entrada_litros]]*Tabla1[[#This Row],[entrada_grasa_g_l]]/100</f>
        <v>2147.5536000000002</v>
      </c>
      <c r="N123">
        <f>Tabla1[[#This Row],[entrada_prot_g_l]]*Tabla1[[#This Row],[entrada_litros]]/100</f>
        <v>1687.08</v>
      </c>
      <c r="O123">
        <f>Tabla1[[#This Row],[cuba_fab_litros]]*Tabla1[[#This Row],[cuba_fab_grasa_g_l]]</f>
        <v>210077.42</v>
      </c>
      <c r="P123">
        <f>Tabla1[[#This Row],[cuba_fab_litros]]*Tabla1[[#This Row],[cuba_fab_prot_g_l]]/100</f>
        <v>1662.3999000000001</v>
      </c>
      <c r="Q123">
        <f>Tabla1[[#This Row],[queso_kg]]*Tabla1[[#This Row],[queso_est_pct]]/100</f>
        <v>326.90696999999994</v>
      </c>
      <c r="R123">
        <f>Tabla1[[#This Row],[queso_kg]]*Tabla1[[#This Row],[queso_mg_pct]]/100</f>
        <v>163.97394</v>
      </c>
      <c r="S123">
        <f>_xlfn.ISOWEEKNUM(Tabla1[[#This Row],[fecha]])</f>
        <v>18</v>
      </c>
      <c r="T123">
        <v>18</v>
      </c>
    </row>
    <row r="124" spans="1:20" x14ac:dyDescent="0.25">
      <c r="A124" s="1">
        <v>45413</v>
      </c>
      <c r="B124">
        <v>4837</v>
      </c>
      <c r="C124">
        <v>4696</v>
      </c>
      <c r="D124">
        <v>41.57</v>
      </c>
      <c r="E124">
        <v>36.700000000000003</v>
      </c>
      <c r="F124">
        <v>5021</v>
      </c>
      <c r="G124">
        <v>40.880000000000003</v>
      </c>
      <c r="H124">
        <v>33.869999999999997</v>
      </c>
      <c r="I124">
        <v>4543</v>
      </c>
      <c r="J124">
        <v>636.91999999999996</v>
      </c>
      <c r="K124">
        <v>51.44</v>
      </c>
      <c r="L124">
        <v>26.45</v>
      </c>
      <c r="M124">
        <f>Tabla1[[#This Row],[entrada_litros]]*Tabla1[[#This Row],[entrada_grasa_g_l]]/100</f>
        <v>1952.1271999999999</v>
      </c>
      <c r="N124">
        <f>Tabla1[[#This Row],[entrada_prot_g_l]]*Tabla1[[#This Row],[entrada_litros]]/100</f>
        <v>1723.432</v>
      </c>
      <c r="O124">
        <f>Tabla1[[#This Row],[cuba_fab_litros]]*Tabla1[[#This Row],[cuba_fab_grasa_g_l]]</f>
        <v>205258.48</v>
      </c>
      <c r="P124">
        <f>Tabla1[[#This Row],[cuba_fab_litros]]*Tabla1[[#This Row],[cuba_fab_prot_g_l]]/100</f>
        <v>1700.6126999999999</v>
      </c>
      <c r="Q124">
        <f>Tabla1[[#This Row],[queso_kg]]*Tabla1[[#This Row],[queso_est_pct]]/100</f>
        <v>327.63164799999993</v>
      </c>
      <c r="R124">
        <f>Tabla1[[#This Row],[queso_kg]]*Tabla1[[#This Row],[queso_mg_pct]]/100</f>
        <v>168.46534</v>
      </c>
      <c r="S124">
        <f>_xlfn.ISOWEEKNUM(Tabla1[[#This Row],[fecha]])</f>
        <v>18</v>
      </c>
      <c r="T124">
        <v>18</v>
      </c>
    </row>
    <row r="125" spans="1:20" x14ac:dyDescent="0.25">
      <c r="A125" s="1">
        <v>45414</v>
      </c>
      <c r="B125">
        <v>5276</v>
      </c>
      <c r="C125">
        <v>5122</v>
      </c>
      <c r="D125">
        <v>41.92</v>
      </c>
      <c r="E125">
        <v>35.92</v>
      </c>
      <c r="F125">
        <v>5032</v>
      </c>
      <c r="G125">
        <v>40.159999999999997</v>
      </c>
      <c r="H125">
        <v>34.020000000000003</v>
      </c>
      <c r="I125">
        <v>4665</v>
      </c>
      <c r="J125">
        <v>635.9</v>
      </c>
      <c r="K125">
        <v>51.01</v>
      </c>
      <c r="L125">
        <v>26.51</v>
      </c>
      <c r="M125">
        <f>Tabla1[[#This Row],[entrada_litros]]*Tabla1[[#This Row],[entrada_grasa_g_l]]/100</f>
        <v>2147.1424000000002</v>
      </c>
      <c r="N125">
        <f>Tabla1[[#This Row],[entrada_prot_g_l]]*Tabla1[[#This Row],[entrada_litros]]/100</f>
        <v>1839.8224000000002</v>
      </c>
      <c r="O125">
        <f>Tabla1[[#This Row],[cuba_fab_litros]]*Tabla1[[#This Row],[cuba_fab_grasa_g_l]]</f>
        <v>202085.12</v>
      </c>
      <c r="P125">
        <f>Tabla1[[#This Row],[cuba_fab_litros]]*Tabla1[[#This Row],[cuba_fab_prot_g_l]]/100</f>
        <v>1711.8864000000001</v>
      </c>
      <c r="Q125">
        <f>Tabla1[[#This Row],[queso_kg]]*Tabla1[[#This Row],[queso_est_pct]]/100</f>
        <v>324.37259</v>
      </c>
      <c r="R125">
        <f>Tabla1[[#This Row],[queso_kg]]*Tabla1[[#This Row],[queso_mg_pct]]/100</f>
        <v>168.57709</v>
      </c>
      <c r="S125">
        <f>_xlfn.ISOWEEKNUM(Tabla1[[#This Row],[fecha]])</f>
        <v>18</v>
      </c>
      <c r="T125">
        <v>18</v>
      </c>
    </row>
    <row r="126" spans="1:20" x14ac:dyDescent="0.25">
      <c r="A126" s="1">
        <v>45415</v>
      </c>
      <c r="F126">
        <v>4681</v>
      </c>
      <c r="G126">
        <v>40.619999999999997</v>
      </c>
      <c r="H126">
        <v>34.479999999999997</v>
      </c>
      <c r="J126">
        <v>572.20000000000005</v>
      </c>
      <c r="K126">
        <v>53.52</v>
      </c>
      <c r="L126">
        <v>27.67</v>
      </c>
      <c r="M126">
        <f>Tabla1[[#This Row],[entrada_litros]]*Tabla1[[#This Row],[entrada_grasa_g_l]]/100</f>
        <v>0</v>
      </c>
      <c r="N126">
        <f>Tabla1[[#This Row],[entrada_prot_g_l]]*Tabla1[[#This Row],[entrada_litros]]/100</f>
        <v>0</v>
      </c>
      <c r="O126">
        <f>Tabla1[[#This Row],[cuba_fab_litros]]*Tabla1[[#This Row],[cuba_fab_grasa_g_l]]</f>
        <v>190142.22</v>
      </c>
      <c r="P126">
        <f>Tabla1[[#This Row],[cuba_fab_litros]]*Tabla1[[#This Row],[cuba_fab_prot_g_l]]/100</f>
        <v>1614.0087999999998</v>
      </c>
      <c r="Q126">
        <f>Tabla1[[#This Row],[queso_kg]]*Tabla1[[#This Row],[queso_est_pct]]/100</f>
        <v>306.24144000000001</v>
      </c>
      <c r="R126">
        <f>Tabla1[[#This Row],[queso_kg]]*Tabla1[[#This Row],[queso_mg_pct]]/100</f>
        <v>158.32774000000003</v>
      </c>
      <c r="S126">
        <f>_xlfn.ISOWEEKNUM(Tabla1[[#This Row],[fecha]])</f>
        <v>18</v>
      </c>
      <c r="T126">
        <v>18</v>
      </c>
    </row>
    <row r="127" spans="1:20" x14ac:dyDescent="0.25">
      <c r="A127" s="1">
        <v>45416</v>
      </c>
      <c r="M127">
        <f>Tabla1[[#This Row],[entrada_litros]]*Tabla1[[#This Row],[entrada_grasa_g_l]]/100</f>
        <v>0</v>
      </c>
      <c r="N127">
        <f>Tabla1[[#This Row],[entrada_prot_g_l]]*Tabla1[[#This Row],[entrada_litros]]/100</f>
        <v>0</v>
      </c>
      <c r="O127">
        <f>Tabla1[[#This Row],[cuba_fab_litros]]*Tabla1[[#This Row],[cuba_fab_grasa_g_l]]</f>
        <v>0</v>
      </c>
      <c r="P127">
        <f>Tabla1[[#This Row],[cuba_fab_litros]]*Tabla1[[#This Row],[cuba_fab_prot_g_l]]/100</f>
        <v>0</v>
      </c>
      <c r="Q127">
        <f>Tabla1[[#This Row],[queso_kg]]*Tabla1[[#This Row],[queso_est_pct]]/100</f>
        <v>0</v>
      </c>
      <c r="R127">
        <f>Tabla1[[#This Row],[queso_kg]]*Tabla1[[#This Row],[queso_mg_pct]]/100</f>
        <v>0</v>
      </c>
      <c r="S127">
        <f>_xlfn.ISOWEEKNUM(Tabla1[[#This Row],[fecha]])</f>
        <v>18</v>
      </c>
      <c r="T127">
        <v>18</v>
      </c>
    </row>
    <row r="128" spans="1:20" x14ac:dyDescent="0.25">
      <c r="A128" s="1">
        <v>45417</v>
      </c>
      <c r="B128">
        <v>4752</v>
      </c>
      <c r="C128">
        <v>4614</v>
      </c>
      <c r="D128">
        <v>40.119999999999997</v>
      </c>
      <c r="E128">
        <v>36.11</v>
      </c>
      <c r="I128">
        <v>4614</v>
      </c>
      <c r="M128">
        <f>Tabla1[[#This Row],[entrada_litros]]*Tabla1[[#This Row],[entrada_grasa_g_l]]/100</f>
        <v>1851.1368</v>
      </c>
      <c r="N128">
        <f>Tabla1[[#This Row],[entrada_prot_g_l]]*Tabla1[[#This Row],[entrada_litros]]/100</f>
        <v>1666.1154000000001</v>
      </c>
      <c r="O128">
        <f>Tabla1[[#This Row],[cuba_fab_litros]]*Tabla1[[#This Row],[cuba_fab_grasa_g_l]]</f>
        <v>0</v>
      </c>
      <c r="P128">
        <f>Tabla1[[#This Row],[cuba_fab_litros]]*Tabla1[[#This Row],[cuba_fab_prot_g_l]]/100</f>
        <v>0</v>
      </c>
      <c r="Q128">
        <f>Tabla1[[#This Row],[queso_kg]]*Tabla1[[#This Row],[queso_est_pct]]/100</f>
        <v>0</v>
      </c>
      <c r="R128">
        <f>Tabla1[[#This Row],[queso_kg]]*Tabla1[[#This Row],[queso_mg_pct]]/100</f>
        <v>0</v>
      </c>
      <c r="S128">
        <f>_xlfn.ISOWEEKNUM(Tabla1[[#This Row],[fecha]])</f>
        <v>18</v>
      </c>
      <c r="T128">
        <v>19</v>
      </c>
    </row>
    <row r="129" spans="1:20" x14ac:dyDescent="0.25">
      <c r="A129" s="1">
        <v>45418</v>
      </c>
      <c r="B129">
        <v>5359</v>
      </c>
      <c r="C129">
        <v>5203</v>
      </c>
      <c r="D129">
        <v>42.6</v>
      </c>
      <c r="E129">
        <v>35</v>
      </c>
      <c r="F129">
        <v>5024</v>
      </c>
      <c r="G129">
        <v>39.08</v>
      </c>
      <c r="H129">
        <v>33.9</v>
      </c>
      <c r="I129">
        <v>4817</v>
      </c>
      <c r="J129">
        <v>647.1</v>
      </c>
      <c r="K129">
        <v>50.74</v>
      </c>
      <c r="L129">
        <v>26.33</v>
      </c>
      <c r="M129">
        <f>Tabla1[[#This Row],[entrada_litros]]*Tabla1[[#This Row],[entrada_grasa_g_l]]/100</f>
        <v>2216.4780000000001</v>
      </c>
      <c r="N129">
        <f>Tabla1[[#This Row],[entrada_prot_g_l]]*Tabla1[[#This Row],[entrada_litros]]/100</f>
        <v>1821.05</v>
      </c>
      <c r="O129">
        <f>Tabla1[[#This Row],[cuba_fab_litros]]*Tabla1[[#This Row],[cuba_fab_grasa_g_l]]</f>
        <v>196337.91999999998</v>
      </c>
      <c r="P129">
        <f>Tabla1[[#This Row],[cuba_fab_litros]]*Tabla1[[#This Row],[cuba_fab_prot_g_l]]/100</f>
        <v>1703.136</v>
      </c>
      <c r="Q129">
        <f>Tabla1[[#This Row],[queso_kg]]*Tabla1[[#This Row],[queso_est_pct]]/100</f>
        <v>328.33853999999997</v>
      </c>
      <c r="R129">
        <f>Tabla1[[#This Row],[queso_kg]]*Tabla1[[#This Row],[queso_mg_pct]]/100</f>
        <v>170.38142999999999</v>
      </c>
      <c r="S129">
        <f>_xlfn.ISOWEEKNUM(Tabla1[[#This Row],[fecha]])</f>
        <v>19</v>
      </c>
      <c r="T129">
        <v>19</v>
      </c>
    </row>
    <row r="130" spans="1:20" x14ac:dyDescent="0.25">
      <c r="A130" s="1">
        <v>45419</v>
      </c>
      <c r="B130">
        <v>4751</v>
      </c>
      <c r="C130">
        <v>4613</v>
      </c>
      <c r="D130">
        <v>42.61</v>
      </c>
      <c r="E130">
        <v>33.090000000000003</v>
      </c>
      <c r="F130">
        <v>5024</v>
      </c>
      <c r="G130">
        <v>40.32</v>
      </c>
      <c r="H130">
        <v>32.479999999999997</v>
      </c>
      <c r="I130">
        <v>4430</v>
      </c>
      <c r="J130">
        <v>628.73</v>
      </c>
      <c r="K130">
        <v>52.25</v>
      </c>
      <c r="L130">
        <v>27.17</v>
      </c>
      <c r="M130">
        <f>Tabla1[[#This Row],[entrada_litros]]*Tabla1[[#This Row],[entrada_grasa_g_l]]/100</f>
        <v>1965.5992999999999</v>
      </c>
      <c r="N130">
        <f>Tabla1[[#This Row],[entrada_prot_g_l]]*Tabla1[[#This Row],[entrada_litros]]/100</f>
        <v>1526.4417000000001</v>
      </c>
      <c r="O130">
        <f>Tabla1[[#This Row],[cuba_fab_litros]]*Tabla1[[#This Row],[cuba_fab_grasa_g_l]]</f>
        <v>202567.67999999999</v>
      </c>
      <c r="P130">
        <f>Tabla1[[#This Row],[cuba_fab_litros]]*Tabla1[[#This Row],[cuba_fab_prot_g_l]]/100</f>
        <v>1631.7951999999998</v>
      </c>
      <c r="Q130">
        <f>Tabla1[[#This Row],[queso_kg]]*Tabla1[[#This Row],[queso_est_pct]]/100</f>
        <v>328.51142500000003</v>
      </c>
      <c r="R130">
        <f>Tabla1[[#This Row],[queso_kg]]*Tabla1[[#This Row],[queso_mg_pct]]/100</f>
        <v>170.82594100000003</v>
      </c>
      <c r="S130">
        <f>_xlfn.ISOWEEKNUM(Tabla1[[#This Row],[fecha]])</f>
        <v>19</v>
      </c>
      <c r="T130">
        <v>19</v>
      </c>
    </row>
    <row r="131" spans="1:20" x14ac:dyDescent="0.25">
      <c r="A131" s="1">
        <v>45420</v>
      </c>
      <c r="B131">
        <v>4886</v>
      </c>
      <c r="C131">
        <v>4744</v>
      </c>
      <c r="D131">
        <v>43.89</v>
      </c>
      <c r="E131">
        <v>36.479999999999997</v>
      </c>
      <c r="F131">
        <v>5030</v>
      </c>
      <c r="G131">
        <v>40.75</v>
      </c>
      <c r="H131">
        <v>33.65</v>
      </c>
      <c r="I131">
        <v>4174</v>
      </c>
      <c r="J131">
        <v>637.9</v>
      </c>
      <c r="K131">
        <v>51.65</v>
      </c>
      <c r="L131">
        <v>27.6</v>
      </c>
      <c r="M131">
        <f>Tabla1[[#This Row],[entrada_litros]]*Tabla1[[#This Row],[entrada_grasa_g_l]]/100</f>
        <v>2082.1415999999999</v>
      </c>
      <c r="N131">
        <f>Tabla1[[#This Row],[entrada_prot_g_l]]*Tabla1[[#This Row],[entrada_litros]]/100</f>
        <v>1730.6112000000001</v>
      </c>
      <c r="O131">
        <f>Tabla1[[#This Row],[cuba_fab_litros]]*Tabla1[[#This Row],[cuba_fab_grasa_g_l]]</f>
        <v>204972.5</v>
      </c>
      <c r="P131">
        <f>Tabla1[[#This Row],[cuba_fab_litros]]*Tabla1[[#This Row],[cuba_fab_prot_g_l]]/100</f>
        <v>1692.595</v>
      </c>
      <c r="Q131">
        <f>Tabla1[[#This Row],[queso_kg]]*Tabla1[[#This Row],[queso_est_pct]]/100</f>
        <v>329.47534999999993</v>
      </c>
      <c r="R131">
        <f>Tabla1[[#This Row],[queso_kg]]*Tabla1[[#This Row],[queso_mg_pct]]/100</f>
        <v>176.06040000000002</v>
      </c>
      <c r="S131">
        <f>_xlfn.ISOWEEKNUM(Tabla1[[#This Row],[fecha]])</f>
        <v>19</v>
      </c>
      <c r="T131">
        <v>19</v>
      </c>
    </row>
    <row r="132" spans="1:20" x14ac:dyDescent="0.25">
      <c r="A132" s="1">
        <v>45421</v>
      </c>
      <c r="B132">
        <v>5110</v>
      </c>
      <c r="C132">
        <v>4961</v>
      </c>
      <c r="D132">
        <v>40.619999999999997</v>
      </c>
      <c r="E132">
        <v>36.590000000000003</v>
      </c>
      <c r="F132">
        <v>5020</v>
      </c>
      <c r="G132">
        <v>39.71</v>
      </c>
      <c r="H132">
        <v>34.54</v>
      </c>
      <c r="I132">
        <v>4135</v>
      </c>
      <c r="J132">
        <v>593.29999999999995</v>
      </c>
      <c r="K132">
        <v>55.27</v>
      </c>
      <c r="L132">
        <v>28.73</v>
      </c>
      <c r="M132">
        <f>Tabla1[[#This Row],[entrada_litros]]*Tabla1[[#This Row],[entrada_grasa_g_l]]/100</f>
        <v>2015.1581999999999</v>
      </c>
      <c r="N132">
        <f>Tabla1[[#This Row],[entrada_prot_g_l]]*Tabla1[[#This Row],[entrada_litros]]/100</f>
        <v>1815.2299000000003</v>
      </c>
      <c r="O132">
        <f>Tabla1[[#This Row],[cuba_fab_litros]]*Tabla1[[#This Row],[cuba_fab_grasa_g_l]]</f>
        <v>199344.2</v>
      </c>
      <c r="P132">
        <f>Tabla1[[#This Row],[cuba_fab_litros]]*Tabla1[[#This Row],[cuba_fab_prot_g_l]]/100</f>
        <v>1733.9079999999999</v>
      </c>
      <c r="Q132">
        <f>Tabla1[[#This Row],[queso_kg]]*Tabla1[[#This Row],[queso_est_pct]]/100</f>
        <v>327.91690999999997</v>
      </c>
      <c r="R132">
        <f>Tabla1[[#This Row],[queso_kg]]*Tabla1[[#This Row],[queso_mg_pct]]/100</f>
        <v>170.45508999999998</v>
      </c>
      <c r="S132">
        <f>_xlfn.ISOWEEKNUM(Tabla1[[#This Row],[fecha]])</f>
        <v>19</v>
      </c>
      <c r="T132">
        <v>19</v>
      </c>
    </row>
    <row r="133" spans="1:20" x14ac:dyDescent="0.25">
      <c r="A133" s="1">
        <v>45422</v>
      </c>
      <c r="F133">
        <v>4154</v>
      </c>
      <c r="G133">
        <v>39.85</v>
      </c>
      <c r="H133">
        <v>34.36</v>
      </c>
      <c r="J133">
        <v>531.41</v>
      </c>
      <c r="K133">
        <v>51.18</v>
      </c>
      <c r="L133">
        <v>27.28</v>
      </c>
      <c r="M133">
        <f>Tabla1[[#This Row],[entrada_litros]]*Tabla1[[#This Row],[entrada_grasa_g_l]]/100</f>
        <v>0</v>
      </c>
      <c r="N133">
        <f>Tabla1[[#This Row],[entrada_prot_g_l]]*Tabla1[[#This Row],[entrada_litros]]/100</f>
        <v>0</v>
      </c>
      <c r="O133">
        <f>Tabla1[[#This Row],[cuba_fab_litros]]*Tabla1[[#This Row],[cuba_fab_grasa_g_l]]</f>
        <v>165536.9</v>
      </c>
      <c r="P133">
        <f>Tabla1[[#This Row],[cuba_fab_litros]]*Tabla1[[#This Row],[cuba_fab_prot_g_l]]/100</f>
        <v>1427.3144</v>
      </c>
      <c r="Q133">
        <f>Tabla1[[#This Row],[queso_kg]]*Tabla1[[#This Row],[queso_est_pct]]/100</f>
        <v>271.975638</v>
      </c>
      <c r="R133">
        <f>Tabla1[[#This Row],[queso_kg]]*Tabla1[[#This Row],[queso_mg_pct]]/100</f>
        <v>144.968648</v>
      </c>
      <c r="S133">
        <f>_xlfn.ISOWEEKNUM(Tabla1[[#This Row],[fecha]])</f>
        <v>19</v>
      </c>
      <c r="T133">
        <v>19</v>
      </c>
    </row>
    <row r="134" spans="1:20" x14ac:dyDescent="0.25">
      <c r="A134" s="1">
        <v>45423</v>
      </c>
      <c r="M134">
        <f>Tabla1[[#This Row],[entrada_litros]]*Tabla1[[#This Row],[entrada_grasa_g_l]]/100</f>
        <v>0</v>
      </c>
      <c r="N134">
        <f>Tabla1[[#This Row],[entrada_prot_g_l]]*Tabla1[[#This Row],[entrada_litros]]/100</f>
        <v>0</v>
      </c>
      <c r="O134">
        <f>Tabla1[[#This Row],[cuba_fab_litros]]*Tabla1[[#This Row],[cuba_fab_grasa_g_l]]</f>
        <v>0</v>
      </c>
      <c r="P134">
        <f>Tabla1[[#This Row],[cuba_fab_litros]]*Tabla1[[#This Row],[cuba_fab_prot_g_l]]/100</f>
        <v>0</v>
      </c>
      <c r="Q134">
        <f>Tabla1[[#This Row],[queso_kg]]*Tabla1[[#This Row],[queso_est_pct]]/100</f>
        <v>0</v>
      </c>
      <c r="R134">
        <f>Tabla1[[#This Row],[queso_kg]]*Tabla1[[#This Row],[queso_mg_pct]]/100</f>
        <v>0</v>
      </c>
      <c r="S134">
        <f>_xlfn.ISOWEEKNUM(Tabla1[[#This Row],[fecha]])</f>
        <v>19</v>
      </c>
      <c r="T134">
        <v>19</v>
      </c>
    </row>
    <row r="135" spans="1:20" x14ac:dyDescent="0.25">
      <c r="A135" s="1">
        <v>45424</v>
      </c>
      <c r="B135">
        <v>4987</v>
      </c>
      <c r="C135">
        <v>4842</v>
      </c>
      <c r="D135">
        <v>42.26</v>
      </c>
      <c r="E135">
        <v>36.35</v>
      </c>
      <c r="I135">
        <v>4842</v>
      </c>
      <c r="M135">
        <f>Tabla1[[#This Row],[entrada_litros]]*Tabla1[[#This Row],[entrada_grasa_g_l]]/100</f>
        <v>2046.2291999999998</v>
      </c>
      <c r="N135">
        <f>Tabla1[[#This Row],[entrada_prot_g_l]]*Tabla1[[#This Row],[entrada_litros]]/100</f>
        <v>1760.067</v>
      </c>
      <c r="O135">
        <f>Tabla1[[#This Row],[cuba_fab_litros]]*Tabla1[[#This Row],[cuba_fab_grasa_g_l]]</f>
        <v>0</v>
      </c>
      <c r="P135">
        <f>Tabla1[[#This Row],[cuba_fab_litros]]*Tabla1[[#This Row],[cuba_fab_prot_g_l]]/100</f>
        <v>0</v>
      </c>
      <c r="Q135">
        <f>Tabla1[[#This Row],[queso_kg]]*Tabla1[[#This Row],[queso_est_pct]]/100</f>
        <v>0</v>
      </c>
      <c r="R135">
        <f>Tabla1[[#This Row],[queso_kg]]*Tabla1[[#This Row],[queso_mg_pct]]/100</f>
        <v>0</v>
      </c>
      <c r="S135">
        <f>_xlfn.ISOWEEKNUM(Tabla1[[#This Row],[fecha]])</f>
        <v>19</v>
      </c>
      <c r="T135">
        <v>20</v>
      </c>
    </row>
    <row r="136" spans="1:20" x14ac:dyDescent="0.25">
      <c r="A136" s="1">
        <v>45425</v>
      </c>
      <c r="B136">
        <v>5636</v>
      </c>
      <c r="C136">
        <v>5472</v>
      </c>
      <c r="D136">
        <v>40.85</v>
      </c>
      <c r="E136">
        <v>35.78</v>
      </c>
      <c r="F136">
        <v>5031</v>
      </c>
      <c r="G136">
        <v>40.14</v>
      </c>
      <c r="H136">
        <v>34.5</v>
      </c>
      <c r="I136">
        <v>5314</v>
      </c>
      <c r="J136">
        <v>626.47</v>
      </c>
      <c r="K136">
        <v>52.11</v>
      </c>
      <c r="L136">
        <v>26.62</v>
      </c>
      <c r="M136">
        <f>Tabla1[[#This Row],[entrada_litros]]*Tabla1[[#This Row],[entrada_grasa_g_l]]/100</f>
        <v>2235.3119999999999</v>
      </c>
      <c r="N136">
        <f>Tabla1[[#This Row],[entrada_prot_g_l]]*Tabla1[[#This Row],[entrada_litros]]/100</f>
        <v>1957.8815999999999</v>
      </c>
      <c r="O136">
        <f>Tabla1[[#This Row],[cuba_fab_litros]]*Tabla1[[#This Row],[cuba_fab_grasa_g_l]]</f>
        <v>201944.34</v>
      </c>
      <c r="P136">
        <f>Tabla1[[#This Row],[cuba_fab_litros]]*Tabla1[[#This Row],[cuba_fab_prot_g_l]]/100</f>
        <v>1735.6949999999999</v>
      </c>
      <c r="Q136">
        <f>Tabla1[[#This Row],[queso_kg]]*Tabla1[[#This Row],[queso_est_pct]]/100</f>
        <v>326.45351699999998</v>
      </c>
      <c r="R136">
        <f>Tabla1[[#This Row],[queso_kg]]*Tabla1[[#This Row],[queso_mg_pct]]/100</f>
        <v>166.76631400000002</v>
      </c>
      <c r="S136">
        <f>_xlfn.ISOWEEKNUM(Tabla1[[#This Row],[fecha]])</f>
        <v>20</v>
      </c>
      <c r="T136">
        <v>20</v>
      </c>
    </row>
    <row r="137" spans="1:20" x14ac:dyDescent="0.25">
      <c r="A137" s="1">
        <v>45426</v>
      </c>
      <c r="B137">
        <v>5615</v>
      </c>
      <c r="C137">
        <v>5451</v>
      </c>
      <c r="D137">
        <v>44.17</v>
      </c>
      <c r="E137">
        <v>34.450000000000003</v>
      </c>
      <c r="F137">
        <v>5018</v>
      </c>
      <c r="G137">
        <v>41</v>
      </c>
      <c r="H137">
        <v>33.46</v>
      </c>
      <c r="I137">
        <v>5765</v>
      </c>
      <c r="J137">
        <v>650.65</v>
      </c>
      <c r="K137">
        <v>49.52</v>
      </c>
      <c r="L137">
        <v>25.26</v>
      </c>
      <c r="M137">
        <f>Tabla1[[#This Row],[entrada_litros]]*Tabla1[[#This Row],[entrada_grasa_g_l]]/100</f>
        <v>2407.7067000000002</v>
      </c>
      <c r="N137">
        <f>Tabla1[[#This Row],[entrada_prot_g_l]]*Tabla1[[#This Row],[entrada_litros]]/100</f>
        <v>1877.8695</v>
      </c>
      <c r="O137">
        <f>Tabla1[[#This Row],[cuba_fab_litros]]*Tabla1[[#This Row],[cuba_fab_grasa_g_l]]</f>
        <v>205738</v>
      </c>
      <c r="P137">
        <f>Tabla1[[#This Row],[cuba_fab_litros]]*Tabla1[[#This Row],[cuba_fab_prot_g_l]]/100</f>
        <v>1679.0228</v>
      </c>
      <c r="Q137">
        <f>Tabla1[[#This Row],[queso_kg]]*Tabla1[[#This Row],[queso_est_pct]]/100</f>
        <v>322.20188000000002</v>
      </c>
      <c r="R137">
        <f>Tabla1[[#This Row],[queso_kg]]*Tabla1[[#This Row],[queso_mg_pct]]/100</f>
        <v>164.35419000000002</v>
      </c>
      <c r="S137">
        <f>_xlfn.ISOWEEKNUM(Tabla1[[#This Row],[fecha]])</f>
        <v>20</v>
      </c>
      <c r="T137">
        <v>20</v>
      </c>
    </row>
    <row r="138" spans="1:20" x14ac:dyDescent="0.25">
      <c r="A138" s="1">
        <v>45427</v>
      </c>
      <c r="B138">
        <v>5439</v>
      </c>
      <c r="C138">
        <v>5281</v>
      </c>
      <c r="D138">
        <v>42.59</v>
      </c>
      <c r="E138">
        <v>35</v>
      </c>
      <c r="F138">
        <v>5018</v>
      </c>
      <c r="G138">
        <v>40.86</v>
      </c>
      <c r="H138">
        <v>33.61</v>
      </c>
      <c r="I138">
        <v>6046</v>
      </c>
      <c r="J138">
        <v>624.69000000000005</v>
      </c>
      <c r="K138">
        <v>52.13</v>
      </c>
      <c r="L138">
        <v>26.88</v>
      </c>
      <c r="M138">
        <f>Tabla1[[#This Row],[entrada_litros]]*Tabla1[[#This Row],[entrada_grasa_g_l]]/100</f>
        <v>2249.1779000000001</v>
      </c>
      <c r="N138">
        <f>Tabla1[[#This Row],[entrada_prot_g_l]]*Tabla1[[#This Row],[entrada_litros]]/100</f>
        <v>1848.35</v>
      </c>
      <c r="O138">
        <f>Tabla1[[#This Row],[cuba_fab_litros]]*Tabla1[[#This Row],[cuba_fab_grasa_g_l]]</f>
        <v>205035.48</v>
      </c>
      <c r="P138">
        <f>Tabla1[[#This Row],[cuba_fab_litros]]*Tabla1[[#This Row],[cuba_fab_prot_g_l]]/100</f>
        <v>1686.5498</v>
      </c>
      <c r="Q138">
        <f>Tabla1[[#This Row],[queso_kg]]*Tabla1[[#This Row],[queso_est_pct]]/100</f>
        <v>325.65089700000004</v>
      </c>
      <c r="R138">
        <f>Tabla1[[#This Row],[queso_kg]]*Tabla1[[#This Row],[queso_mg_pct]]/100</f>
        <v>167.91667200000001</v>
      </c>
      <c r="S138">
        <f>_xlfn.ISOWEEKNUM(Tabla1[[#This Row],[fecha]])</f>
        <v>20</v>
      </c>
      <c r="T138">
        <v>20</v>
      </c>
    </row>
    <row r="139" spans="1:20" x14ac:dyDescent="0.25">
      <c r="A139" s="1">
        <v>45428</v>
      </c>
      <c r="B139">
        <v>5250</v>
      </c>
      <c r="C139">
        <v>5097</v>
      </c>
      <c r="D139">
        <v>40.9</v>
      </c>
      <c r="E139">
        <v>36.299999999999997</v>
      </c>
      <c r="F139">
        <v>5023</v>
      </c>
      <c r="G139">
        <v>39.72</v>
      </c>
      <c r="H139">
        <v>34.08</v>
      </c>
      <c r="I139">
        <v>6143</v>
      </c>
      <c r="J139">
        <v>633.86</v>
      </c>
      <c r="K139">
        <v>51.11</v>
      </c>
      <c r="L139">
        <v>26.98</v>
      </c>
      <c r="M139">
        <f>Tabla1[[#This Row],[entrada_litros]]*Tabla1[[#This Row],[entrada_grasa_g_l]]/100</f>
        <v>2084.6729999999998</v>
      </c>
      <c r="N139">
        <f>Tabla1[[#This Row],[entrada_prot_g_l]]*Tabla1[[#This Row],[entrada_litros]]/100</f>
        <v>1850.2109999999998</v>
      </c>
      <c r="O139">
        <f>Tabla1[[#This Row],[cuba_fab_litros]]*Tabla1[[#This Row],[cuba_fab_grasa_g_l]]</f>
        <v>199513.56</v>
      </c>
      <c r="P139">
        <f>Tabla1[[#This Row],[cuba_fab_litros]]*Tabla1[[#This Row],[cuba_fab_prot_g_l]]/100</f>
        <v>1711.8383999999999</v>
      </c>
      <c r="Q139">
        <f>Tabla1[[#This Row],[queso_kg]]*Tabla1[[#This Row],[queso_est_pct]]/100</f>
        <v>323.965846</v>
      </c>
      <c r="R139">
        <f>Tabla1[[#This Row],[queso_kg]]*Tabla1[[#This Row],[queso_mg_pct]]/100</f>
        <v>171.01542799999999</v>
      </c>
      <c r="S139">
        <f>_xlfn.ISOWEEKNUM(Tabla1[[#This Row],[fecha]])</f>
        <v>20</v>
      </c>
      <c r="T139">
        <v>20</v>
      </c>
    </row>
    <row r="140" spans="1:20" x14ac:dyDescent="0.25">
      <c r="A140" s="1">
        <v>45429</v>
      </c>
      <c r="F140">
        <v>6171</v>
      </c>
      <c r="G140">
        <v>40.04</v>
      </c>
      <c r="H140">
        <v>34.03</v>
      </c>
      <c r="J140">
        <v>761.67</v>
      </c>
      <c r="K140">
        <v>52.49</v>
      </c>
      <c r="L140">
        <v>28.03</v>
      </c>
      <c r="M140">
        <f>Tabla1[[#This Row],[entrada_litros]]*Tabla1[[#This Row],[entrada_grasa_g_l]]/100</f>
        <v>0</v>
      </c>
      <c r="N140">
        <f>Tabla1[[#This Row],[entrada_prot_g_l]]*Tabla1[[#This Row],[entrada_litros]]/100</f>
        <v>0</v>
      </c>
      <c r="O140">
        <f>Tabla1[[#This Row],[cuba_fab_litros]]*Tabla1[[#This Row],[cuba_fab_grasa_g_l]]</f>
        <v>247086.84</v>
      </c>
      <c r="P140">
        <f>Tabla1[[#This Row],[cuba_fab_litros]]*Tabla1[[#This Row],[cuba_fab_prot_g_l]]/100</f>
        <v>2099.9913000000001</v>
      </c>
      <c r="Q140">
        <f>Tabla1[[#This Row],[queso_kg]]*Tabla1[[#This Row],[queso_est_pct]]/100</f>
        <v>399.80058299999996</v>
      </c>
      <c r="R140">
        <f>Tabla1[[#This Row],[queso_kg]]*Tabla1[[#This Row],[queso_mg_pct]]/100</f>
        <v>213.49610099999998</v>
      </c>
      <c r="S140">
        <f>_xlfn.ISOWEEKNUM(Tabla1[[#This Row],[fecha]])</f>
        <v>20</v>
      </c>
      <c r="T140">
        <v>20</v>
      </c>
    </row>
    <row r="141" spans="1:20" x14ac:dyDescent="0.25">
      <c r="A141" s="1">
        <v>45430</v>
      </c>
      <c r="M141">
        <f>Tabla1[[#This Row],[entrada_litros]]*Tabla1[[#This Row],[entrada_grasa_g_l]]/100</f>
        <v>0</v>
      </c>
      <c r="N141">
        <f>Tabla1[[#This Row],[entrada_prot_g_l]]*Tabla1[[#This Row],[entrada_litros]]/100</f>
        <v>0</v>
      </c>
      <c r="O141">
        <f>Tabla1[[#This Row],[cuba_fab_litros]]*Tabla1[[#This Row],[cuba_fab_grasa_g_l]]</f>
        <v>0</v>
      </c>
      <c r="P141">
        <f>Tabla1[[#This Row],[cuba_fab_litros]]*Tabla1[[#This Row],[cuba_fab_prot_g_l]]/100</f>
        <v>0</v>
      </c>
      <c r="Q141">
        <f>Tabla1[[#This Row],[queso_kg]]*Tabla1[[#This Row],[queso_est_pct]]/100</f>
        <v>0</v>
      </c>
      <c r="R141">
        <f>Tabla1[[#This Row],[queso_kg]]*Tabla1[[#This Row],[queso_mg_pct]]/100</f>
        <v>0</v>
      </c>
      <c r="S141">
        <f>_xlfn.ISOWEEKNUM(Tabla1[[#This Row],[fecha]])</f>
        <v>20</v>
      </c>
      <c r="T141">
        <v>20</v>
      </c>
    </row>
    <row r="142" spans="1:20" x14ac:dyDescent="0.25">
      <c r="A142" s="1">
        <v>45431</v>
      </c>
      <c r="B142">
        <v>4904</v>
      </c>
      <c r="C142">
        <v>4761</v>
      </c>
      <c r="D142">
        <v>40.72</v>
      </c>
      <c r="E142">
        <v>35.53</v>
      </c>
      <c r="I142">
        <v>4761</v>
      </c>
      <c r="M142">
        <f>Tabla1[[#This Row],[entrada_litros]]*Tabla1[[#This Row],[entrada_grasa_g_l]]/100</f>
        <v>1938.6791999999998</v>
      </c>
      <c r="N142">
        <f>Tabla1[[#This Row],[entrada_prot_g_l]]*Tabla1[[#This Row],[entrada_litros]]/100</f>
        <v>1691.5833000000002</v>
      </c>
      <c r="O142">
        <f>Tabla1[[#This Row],[cuba_fab_litros]]*Tabla1[[#This Row],[cuba_fab_grasa_g_l]]</f>
        <v>0</v>
      </c>
      <c r="P142">
        <f>Tabla1[[#This Row],[cuba_fab_litros]]*Tabla1[[#This Row],[cuba_fab_prot_g_l]]/100</f>
        <v>0</v>
      </c>
      <c r="Q142">
        <f>Tabla1[[#This Row],[queso_kg]]*Tabla1[[#This Row],[queso_est_pct]]/100</f>
        <v>0</v>
      </c>
      <c r="R142">
        <f>Tabla1[[#This Row],[queso_kg]]*Tabla1[[#This Row],[queso_mg_pct]]/100</f>
        <v>0</v>
      </c>
      <c r="S142">
        <f>_xlfn.ISOWEEKNUM(Tabla1[[#This Row],[fecha]])</f>
        <v>20</v>
      </c>
      <c r="T142">
        <v>21</v>
      </c>
    </row>
    <row r="143" spans="1:20" x14ac:dyDescent="0.25">
      <c r="A143" s="1">
        <v>45432</v>
      </c>
      <c r="B143">
        <v>5224</v>
      </c>
      <c r="C143">
        <v>5072</v>
      </c>
      <c r="D143">
        <v>40.630000000000003</v>
      </c>
      <c r="E143">
        <v>35.74</v>
      </c>
      <c r="F143">
        <v>5025</v>
      </c>
      <c r="G143">
        <v>38.64</v>
      </c>
      <c r="H143">
        <v>33.94</v>
      </c>
      <c r="I143">
        <v>4833</v>
      </c>
      <c r="J143">
        <v>610.59</v>
      </c>
      <c r="K143">
        <v>53.76</v>
      </c>
      <c r="L143">
        <v>28.08</v>
      </c>
      <c r="M143">
        <f>Tabla1[[#This Row],[entrada_litros]]*Tabla1[[#This Row],[entrada_grasa_g_l]]/100</f>
        <v>2060.7536</v>
      </c>
      <c r="N143">
        <f>Tabla1[[#This Row],[entrada_prot_g_l]]*Tabla1[[#This Row],[entrada_litros]]/100</f>
        <v>1812.7328</v>
      </c>
      <c r="O143">
        <f>Tabla1[[#This Row],[cuba_fab_litros]]*Tabla1[[#This Row],[cuba_fab_grasa_g_l]]</f>
        <v>194166</v>
      </c>
      <c r="P143">
        <f>Tabla1[[#This Row],[cuba_fab_litros]]*Tabla1[[#This Row],[cuba_fab_prot_g_l]]/100</f>
        <v>1705.4849999999999</v>
      </c>
      <c r="Q143">
        <f>Tabla1[[#This Row],[queso_kg]]*Tabla1[[#This Row],[queso_est_pct]]/100</f>
        <v>328.25318400000003</v>
      </c>
      <c r="R143">
        <f>Tabla1[[#This Row],[queso_kg]]*Tabla1[[#This Row],[queso_mg_pct]]/100</f>
        <v>171.45367200000001</v>
      </c>
      <c r="S143">
        <f>_xlfn.ISOWEEKNUM(Tabla1[[#This Row],[fecha]])</f>
        <v>21</v>
      </c>
      <c r="T143">
        <v>21</v>
      </c>
    </row>
    <row r="144" spans="1:20" x14ac:dyDescent="0.25">
      <c r="A144" s="1">
        <v>45433</v>
      </c>
      <c r="B144">
        <v>4950</v>
      </c>
      <c r="C144">
        <v>4806</v>
      </c>
      <c r="D144">
        <v>42.33</v>
      </c>
      <c r="E144">
        <v>35.549999999999997</v>
      </c>
      <c r="F144">
        <v>5024</v>
      </c>
      <c r="G144">
        <v>39.86</v>
      </c>
      <c r="H144">
        <v>33.86</v>
      </c>
      <c r="I144">
        <v>4639</v>
      </c>
      <c r="J144">
        <v>652.09</v>
      </c>
      <c r="K144">
        <v>49.86</v>
      </c>
      <c r="L144">
        <v>25.84</v>
      </c>
      <c r="M144">
        <f>Tabla1[[#This Row],[entrada_litros]]*Tabla1[[#This Row],[entrada_grasa_g_l]]/100</f>
        <v>2034.3797999999997</v>
      </c>
      <c r="N144">
        <f>Tabla1[[#This Row],[entrada_prot_g_l]]*Tabla1[[#This Row],[entrada_litros]]/100</f>
        <v>1708.5329999999999</v>
      </c>
      <c r="O144">
        <f>Tabla1[[#This Row],[cuba_fab_litros]]*Tabla1[[#This Row],[cuba_fab_grasa_g_l]]</f>
        <v>200256.63999999998</v>
      </c>
      <c r="P144">
        <f>Tabla1[[#This Row],[cuba_fab_litros]]*Tabla1[[#This Row],[cuba_fab_prot_g_l]]/100</f>
        <v>1701.1263999999999</v>
      </c>
      <c r="Q144">
        <f>Tabla1[[#This Row],[queso_kg]]*Tabla1[[#This Row],[queso_est_pct]]/100</f>
        <v>325.13207400000005</v>
      </c>
      <c r="R144">
        <f>Tabla1[[#This Row],[queso_kg]]*Tabla1[[#This Row],[queso_mg_pct]]/100</f>
        <v>168.500056</v>
      </c>
      <c r="S144">
        <f>_xlfn.ISOWEEKNUM(Tabla1[[#This Row],[fecha]])</f>
        <v>21</v>
      </c>
      <c r="T144">
        <v>21</v>
      </c>
    </row>
    <row r="145" spans="1:20" x14ac:dyDescent="0.25">
      <c r="A145" s="1">
        <v>45434</v>
      </c>
      <c r="B145">
        <v>5310</v>
      </c>
      <c r="C145">
        <v>5155</v>
      </c>
      <c r="D145">
        <v>43.33</v>
      </c>
      <c r="E145">
        <v>34.619999999999997</v>
      </c>
      <c r="F145">
        <v>5024</v>
      </c>
      <c r="G145">
        <v>40.44</v>
      </c>
      <c r="H145">
        <v>33.869999999999997</v>
      </c>
      <c r="I145">
        <v>4794</v>
      </c>
      <c r="J145">
        <v>630.08000000000004</v>
      </c>
      <c r="K145">
        <v>52.02</v>
      </c>
      <c r="L145">
        <v>27.59</v>
      </c>
      <c r="M145">
        <f>Tabla1[[#This Row],[entrada_litros]]*Tabla1[[#This Row],[entrada_grasa_g_l]]/100</f>
        <v>2233.6615000000002</v>
      </c>
      <c r="N145">
        <f>Tabla1[[#This Row],[entrada_prot_g_l]]*Tabla1[[#This Row],[entrada_litros]]/100</f>
        <v>1784.6609999999998</v>
      </c>
      <c r="O145">
        <f>Tabla1[[#This Row],[cuba_fab_litros]]*Tabla1[[#This Row],[cuba_fab_grasa_g_l]]</f>
        <v>203170.56</v>
      </c>
      <c r="P145">
        <f>Tabla1[[#This Row],[cuba_fab_litros]]*Tabla1[[#This Row],[cuba_fab_prot_g_l]]/100</f>
        <v>1701.6287999999997</v>
      </c>
      <c r="Q145">
        <f>Tabla1[[#This Row],[queso_kg]]*Tabla1[[#This Row],[queso_est_pct]]/100</f>
        <v>327.76761600000003</v>
      </c>
      <c r="R145">
        <f>Tabla1[[#This Row],[queso_kg]]*Tabla1[[#This Row],[queso_mg_pct]]/100</f>
        <v>173.83907200000002</v>
      </c>
      <c r="S145">
        <f>_xlfn.ISOWEEKNUM(Tabla1[[#This Row],[fecha]])</f>
        <v>21</v>
      </c>
      <c r="T145">
        <v>21</v>
      </c>
    </row>
    <row r="146" spans="1:20" x14ac:dyDescent="0.25">
      <c r="A146" s="1">
        <v>45435</v>
      </c>
      <c r="B146">
        <v>4993</v>
      </c>
      <c r="C146">
        <v>4848</v>
      </c>
      <c r="D146">
        <v>42.82</v>
      </c>
      <c r="E146">
        <v>37.5</v>
      </c>
      <c r="F146">
        <v>5011</v>
      </c>
      <c r="G146">
        <v>40.950000000000003</v>
      </c>
      <c r="H146">
        <v>34.5</v>
      </c>
      <c r="I146">
        <v>4642</v>
      </c>
      <c r="J146">
        <v>649.64</v>
      </c>
      <c r="K146">
        <v>50.08</v>
      </c>
      <c r="L146">
        <v>26.26</v>
      </c>
      <c r="M146">
        <f>Tabla1[[#This Row],[entrada_litros]]*Tabla1[[#This Row],[entrada_grasa_g_l]]/100</f>
        <v>2075.9136000000003</v>
      </c>
      <c r="N146">
        <f>Tabla1[[#This Row],[entrada_prot_g_l]]*Tabla1[[#This Row],[entrada_litros]]/100</f>
        <v>1818</v>
      </c>
      <c r="O146">
        <f>Tabla1[[#This Row],[cuba_fab_litros]]*Tabla1[[#This Row],[cuba_fab_grasa_g_l]]</f>
        <v>205200.45</v>
      </c>
      <c r="P146">
        <f>Tabla1[[#This Row],[cuba_fab_litros]]*Tabla1[[#This Row],[cuba_fab_prot_g_l]]/100</f>
        <v>1728.7950000000001</v>
      </c>
      <c r="Q146">
        <f>Tabla1[[#This Row],[queso_kg]]*Tabla1[[#This Row],[queso_est_pct]]/100</f>
        <v>325.33971200000002</v>
      </c>
      <c r="R146">
        <f>Tabla1[[#This Row],[queso_kg]]*Tabla1[[#This Row],[queso_mg_pct]]/100</f>
        <v>170.59546399999999</v>
      </c>
      <c r="S146">
        <f>_xlfn.ISOWEEKNUM(Tabla1[[#This Row],[fecha]])</f>
        <v>21</v>
      </c>
      <c r="T146">
        <v>21</v>
      </c>
    </row>
    <row r="147" spans="1:20" x14ac:dyDescent="0.25">
      <c r="A147" s="1">
        <v>45436</v>
      </c>
      <c r="F147">
        <v>4668</v>
      </c>
      <c r="G147">
        <v>40.86</v>
      </c>
      <c r="H147">
        <v>34.520000000000003</v>
      </c>
      <c r="J147">
        <v>570.69000000000005</v>
      </c>
      <c r="K147">
        <v>52.59</v>
      </c>
      <c r="L147">
        <v>26.64</v>
      </c>
      <c r="M147">
        <f>Tabla1[[#This Row],[entrada_litros]]*Tabla1[[#This Row],[entrada_grasa_g_l]]/100</f>
        <v>0</v>
      </c>
      <c r="N147">
        <f>Tabla1[[#This Row],[entrada_prot_g_l]]*Tabla1[[#This Row],[entrada_litros]]/100</f>
        <v>0</v>
      </c>
      <c r="O147">
        <f>Tabla1[[#This Row],[cuba_fab_litros]]*Tabla1[[#This Row],[cuba_fab_grasa_g_l]]</f>
        <v>190734.48</v>
      </c>
      <c r="P147">
        <f>Tabla1[[#This Row],[cuba_fab_litros]]*Tabla1[[#This Row],[cuba_fab_prot_g_l]]/100</f>
        <v>1611.3936000000001</v>
      </c>
      <c r="Q147">
        <f>Tabla1[[#This Row],[queso_kg]]*Tabla1[[#This Row],[queso_est_pct]]/100</f>
        <v>300.12587100000002</v>
      </c>
      <c r="R147">
        <f>Tabla1[[#This Row],[queso_kg]]*Tabla1[[#This Row],[queso_mg_pct]]/100</f>
        <v>152.03181600000002</v>
      </c>
      <c r="S147">
        <f>_xlfn.ISOWEEKNUM(Tabla1[[#This Row],[fecha]])</f>
        <v>21</v>
      </c>
      <c r="T147">
        <v>21</v>
      </c>
    </row>
    <row r="148" spans="1:20" x14ac:dyDescent="0.25">
      <c r="A148" s="1">
        <v>45437</v>
      </c>
      <c r="M148">
        <f>Tabla1[[#This Row],[entrada_litros]]*Tabla1[[#This Row],[entrada_grasa_g_l]]/100</f>
        <v>0</v>
      </c>
      <c r="N148">
        <f>Tabla1[[#This Row],[entrada_prot_g_l]]*Tabla1[[#This Row],[entrada_litros]]/100</f>
        <v>0</v>
      </c>
      <c r="O148">
        <f>Tabla1[[#This Row],[cuba_fab_litros]]*Tabla1[[#This Row],[cuba_fab_grasa_g_l]]</f>
        <v>0</v>
      </c>
      <c r="P148">
        <f>Tabla1[[#This Row],[cuba_fab_litros]]*Tabla1[[#This Row],[cuba_fab_prot_g_l]]/100</f>
        <v>0</v>
      </c>
      <c r="Q148">
        <f>Tabla1[[#This Row],[queso_kg]]*Tabla1[[#This Row],[queso_est_pct]]/100</f>
        <v>0</v>
      </c>
      <c r="R148">
        <f>Tabla1[[#This Row],[queso_kg]]*Tabla1[[#This Row],[queso_mg_pct]]/100</f>
        <v>0</v>
      </c>
      <c r="S148">
        <f>_xlfn.ISOWEEKNUM(Tabla1[[#This Row],[fecha]])</f>
        <v>21</v>
      </c>
      <c r="T148">
        <v>21</v>
      </c>
    </row>
    <row r="149" spans="1:20" x14ac:dyDescent="0.25">
      <c r="A149" s="1">
        <v>45438</v>
      </c>
      <c r="B149">
        <v>5599</v>
      </c>
      <c r="C149">
        <v>5436</v>
      </c>
      <c r="D149">
        <v>41.77</v>
      </c>
      <c r="E149">
        <v>36.659999999999997</v>
      </c>
      <c r="I149">
        <v>5436</v>
      </c>
      <c r="M149">
        <f>Tabla1[[#This Row],[entrada_litros]]*Tabla1[[#This Row],[entrada_grasa_g_l]]/100</f>
        <v>2270.6172000000001</v>
      </c>
      <c r="N149">
        <f>Tabla1[[#This Row],[entrada_prot_g_l]]*Tabla1[[#This Row],[entrada_litros]]/100</f>
        <v>1992.8375999999998</v>
      </c>
      <c r="O149">
        <f>Tabla1[[#This Row],[cuba_fab_litros]]*Tabla1[[#This Row],[cuba_fab_grasa_g_l]]</f>
        <v>0</v>
      </c>
      <c r="P149">
        <f>Tabla1[[#This Row],[cuba_fab_litros]]*Tabla1[[#This Row],[cuba_fab_prot_g_l]]/100</f>
        <v>0</v>
      </c>
      <c r="Q149">
        <f>Tabla1[[#This Row],[queso_kg]]*Tabla1[[#This Row],[queso_est_pct]]/100</f>
        <v>0</v>
      </c>
      <c r="R149">
        <f>Tabla1[[#This Row],[queso_kg]]*Tabla1[[#This Row],[queso_mg_pct]]/100</f>
        <v>0</v>
      </c>
      <c r="S149">
        <f>_xlfn.ISOWEEKNUM(Tabla1[[#This Row],[fecha]])</f>
        <v>21</v>
      </c>
      <c r="T149">
        <v>22</v>
      </c>
    </row>
    <row r="150" spans="1:20" x14ac:dyDescent="0.25">
      <c r="A150" s="1">
        <v>45439</v>
      </c>
      <c r="B150">
        <v>5254</v>
      </c>
      <c r="C150">
        <v>5101</v>
      </c>
      <c r="D150">
        <v>43.33</v>
      </c>
      <c r="E150">
        <v>34.86</v>
      </c>
      <c r="F150">
        <v>5027</v>
      </c>
      <c r="G150">
        <v>40.74</v>
      </c>
      <c r="H150">
        <v>34.32</v>
      </c>
      <c r="I150">
        <v>5537</v>
      </c>
      <c r="J150">
        <v>633.72</v>
      </c>
      <c r="K150">
        <v>51.75</v>
      </c>
      <c r="L150">
        <v>26.24</v>
      </c>
      <c r="M150">
        <f>Tabla1[[#This Row],[entrada_litros]]*Tabla1[[#This Row],[entrada_grasa_g_l]]/100</f>
        <v>2210.2633000000001</v>
      </c>
      <c r="N150">
        <f>Tabla1[[#This Row],[entrada_prot_g_l]]*Tabla1[[#This Row],[entrada_litros]]/100</f>
        <v>1778.2085999999999</v>
      </c>
      <c r="O150">
        <f>Tabla1[[#This Row],[cuba_fab_litros]]*Tabla1[[#This Row],[cuba_fab_grasa_g_l]]</f>
        <v>204799.98</v>
      </c>
      <c r="P150">
        <f>Tabla1[[#This Row],[cuba_fab_litros]]*Tabla1[[#This Row],[cuba_fab_prot_g_l]]/100</f>
        <v>1725.2664000000002</v>
      </c>
      <c r="Q150">
        <f>Tabla1[[#This Row],[queso_kg]]*Tabla1[[#This Row],[queso_est_pct]]/100</f>
        <v>327.95010000000002</v>
      </c>
      <c r="R150">
        <f>Tabla1[[#This Row],[queso_kg]]*Tabla1[[#This Row],[queso_mg_pct]]/100</f>
        <v>166.288128</v>
      </c>
      <c r="S150">
        <f>_xlfn.ISOWEEKNUM(Tabla1[[#This Row],[fecha]])</f>
        <v>22</v>
      </c>
      <c r="T150">
        <v>22</v>
      </c>
    </row>
    <row r="151" spans="1:20" x14ac:dyDescent="0.25">
      <c r="A151" s="1">
        <v>45440</v>
      </c>
      <c r="B151">
        <v>5848</v>
      </c>
      <c r="C151">
        <v>5678</v>
      </c>
      <c r="D151">
        <v>39.57</v>
      </c>
      <c r="E151">
        <v>34.93</v>
      </c>
      <c r="F151">
        <v>5023</v>
      </c>
      <c r="G151">
        <v>39.159999999999997</v>
      </c>
      <c r="H151">
        <v>33.79</v>
      </c>
      <c r="I151">
        <v>6215</v>
      </c>
      <c r="J151">
        <v>648.79</v>
      </c>
      <c r="K151">
        <v>51.02</v>
      </c>
      <c r="L151">
        <v>26.33</v>
      </c>
      <c r="M151">
        <f>Tabla1[[#This Row],[entrada_litros]]*Tabla1[[#This Row],[entrada_grasa_g_l]]/100</f>
        <v>2246.7846</v>
      </c>
      <c r="N151">
        <f>Tabla1[[#This Row],[entrada_prot_g_l]]*Tabla1[[#This Row],[entrada_litros]]/100</f>
        <v>1983.3254000000002</v>
      </c>
      <c r="O151">
        <f>Tabla1[[#This Row],[cuba_fab_litros]]*Tabla1[[#This Row],[cuba_fab_grasa_g_l]]</f>
        <v>196700.68</v>
      </c>
      <c r="P151">
        <f>Tabla1[[#This Row],[cuba_fab_litros]]*Tabla1[[#This Row],[cuba_fab_prot_g_l]]/100</f>
        <v>1697.2716999999998</v>
      </c>
      <c r="Q151">
        <f>Tabla1[[#This Row],[queso_kg]]*Tabla1[[#This Row],[queso_est_pct]]/100</f>
        <v>331.01265799999999</v>
      </c>
      <c r="R151">
        <f>Tabla1[[#This Row],[queso_kg]]*Tabla1[[#This Row],[queso_mg_pct]]/100</f>
        <v>170.82640699999996</v>
      </c>
      <c r="S151">
        <f>_xlfn.ISOWEEKNUM(Tabla1[[#This Row],[fecha]])</f>
        <v>22</v>
      </c>
      <c r="T151">
        <v>22</v>
      </c>
    </row>
    <row r="152" spans="1:20" x14ac:dyDescent="0.25">
      <c r="A152" s="1">
        <v>45441</v>
      </c>
      <c r="B152">
        <v>5020</v>
      </c>
      <c r="C152">
        <v>4874</v>
      </c>
      <c r="D152">
        <v>43.89</v>
      </c>
      <c r="E152">
        <v>34.130000000000003</v>
      </c>
      <c r="F152">
        <v>5029</v>
      </c>
      <c r="G152">
        <v>40.200000000000003</v>
      </c>
      <c r="H152">
        <v>33.44</v>
      </c>
      <c r="I152">
        <v>6089</v>
      </c>
      <c r="J152">
        <v>637.71</v>
      </c>
      <c r="K152">
        <v>51.16</v>
      </c>
      <c r="L152">
        <v>26.98</v>
      </c>
      <c r="M152">
        <f>Tabla1[[#This Row],[entrada_litros]]*Tabla1[[#This Row],[entrada_grasa_g_l]]/100</f>
        <v>2139.1986000000002</v>
      </c>
      <c r="N152">
        <f>Tabla1[[#This Row],[entrada_prot_g_l]]*Tabla1[[#This Row],[entrada_litros]]/100</f>
        <v>1663.4962000000003</v>
      </c>
      <c r="O152">
        <f>Tabla1[[#This Row],[cuba_fab_litros]]*Tabla1[[#This Row],[cuba_fab_grasa_g_l]]</f>
        <v>202165.80000000002</v>
      </c>
      <c r="P152">
        <f>Tabla1[[#This Row],[cuba_fab_litros]]*Tabla1[[#This Row],[cuba_fab_prot_g_l]]/100</f>
        <v>1681.6975999999997</v>
      </c>
      <c r="Q152">
        <f>Tabla1[[#This Row],[queso_kg]]*Tabla1[[#This Row],[queso_est_pct]]/100</f>
        <v>326.25243599999999</v>
      </c>
      <c r="R152">
        <f>Tabla1[[#This Row],[queso_kg]]*Tabla1[[#This Row],[queso_mg_pct]]/100</f>
        <v>172.05415800000003</v>
      </c>
      <c r="S152">
        <f>_xlfn.ISOWEEKNUM(Tabla1[[#This Row],[fecha]])</f>
        <v>22</v>
      </c>
      <c r="T152">
        <v>22</v>
      </c>
    </row>
    <row r="153" spans="1:20" x14ac:dyDescent="0.25">
      <c r="A153" s="1">
        <v>45442</v>
      </c>
      <c r="B153">
        <v>5838</v>
      </c>
      <c r="C153">
        <v>5668</v>
      </c>
      <c r="D153">
        <v>44.35</v>
      </c>
      <c r="E153">
        <v>36.01</v>
      </c>
      <c r="F153">
        <v>5029</v>
      </c>
      <c r="G153">
        <v>41.13</v>
      </c>
      <c r="H153">
        <v>33.630000000000003</v>
      </c>
      <c r="I153">
        <v>6757</v>
      </c>
      <c r="J153">
        <v>634.61</v>
      </c>
      <c r="K153">
        <v>51.72</v>
      </c>
      <c r="L153">
        <v>26.2</v>
      </c>
      <c r="M153">
        <f>Tabla1[[#This Row],[entrada_litros]]*Tabla1[[#This Row],[entrada_grasa_g_l]]/100</f>
        <v>2513.7580000000003</v>
      </c>
      <c r="N153">
        <f>Tabla1[[#This Row],[entrada_prot_g_l]]*Tabla1[[#This Row],[entrada_litros]]/100</f>
        <v>2041.0467999999998</v>
      </c>
      <c r="O153">
        <f>Tabla1[[#This Row],[cuba_fab_litros]]*Tabla1[[#This Row],[cuba_fab_grasa_g_l]]</f>
        <v>206842.77000000002</v>
      </c>
      <c r="P153">
        <f>Tabla1[[#This Row],[cuba_fab_litros]]*Tabla1[[#This Row],[cuba_fab_prot_g_l]]/100</f>
        <v>1691.2527000000002</v>
      </c>
      <c r="Q153">
        <f>Tabla1[[#This Row],[queso_kg]]*Tabla1[[#This Row],[queso_est_pct]]/100</f>
        <v>328.22029199999997</v>
      </c>
      <c r="R153">
        <f>Tabla1[[#This Row],[queso_kg]]*Tabla1[[#This Row],[queso_mg_pct]]/100</f>
        <v>166.26782</v>
      </c>
      <c r="S153">
        <f>_xlfn.ISOWEEKNUM(Tabla1[[#This Row],[fecha]])</f>
        <v>22</v>
      </c>
      <c r="T153">
        <v>22</v>
      </c>
    </row>
    <row r="154" spans="1:20" x14ac:dyDescent="0.25">
      <c r="A154" s="1">
        <v>45443</v>
      </c>
      <c r="F154">
        <v>6779</v>
      </c>
      <c r="G154">
        <v>41.56</v>
      </c>
      <c r="H154">
        <v>33.81</v>
      </c>
      <c r="J154">
        <v>859.84</v>
      </c>
      <c r="K154">
        <v>51.51</v>
      </c>
      <c r="L154">
        <v>26.44</v>
      </c>
      <c r="M154">
        <f>Tabla1[[#This Row],[entrada_litros]]*Tabla1[[#This Row],[entrada_grasa_g_l]]/100</f>
        <v>0</v>
      </c>
      <c r="N154">
        <f>Tabla1[[#This Row],[entrada_prot_g_l]]*Tabla1[[#This Row],[entrada_litros]]/100</f>
        <v>0</v>
      </c>
      <c r="O154">
        <f>Tabla1[[#This Row],[cuba_fab_litros]]*Tabla1[[#This Row],[cuba_fab_grasa_g_l]]</f>
        <v>281735.24</v>
      </c>
      <c r="P154">
        <f>Tabla1[[#This Row],[cuba_fab_litros]]*Tabla1[[#This Row],[cuba_fab_prot_g_l]]/100</f>
        <v>2291.9799000000003</v>
      </c>
      <c r="Q154">
        <f>Tabla1[[#This Row],[queso_kg]]*Tabla1[[#This Row],[queso_est_pct]]/100</f>
        <v>442.90358399999997</v>
      </c>
      <c r="R154">
        <f>Tabla1[[#This Row],[queso_kg]]*Tabla1[[#This Row],[queso_mg_pct]]/100</f>
        <v>227.34169600000001</v>
      </c>
      <c r="S154">
        <f>_xlfn.ISOWEEKNUM(Tabla1[[#This Row],[fecha]])</f>
        <v>22</v>
      </c>
      <c r="T154">
        <v>22</v>
      </c>
    </row>
    <row r="155" spans="1:20" x14ac:dyDescent="0.25">
      <c r="A155" s="1">
        <v>45444</v>
      </c>
      <c r="M155">
        <f>Tabla1[[#This Row],[entrada_litros]]*Tabla1[[#This Row],[entrada_grasa_g_l]]/100</f>
        <v>0</v>
      </c>
      <c r="N155">
        <f>Tabla1[[#This Row],[entrada_prot_g_l]]*Tabla1[[#This Row],[entrada_litros]]/100</f>
        <v>0</v>
      </c>
      <c r="O155">
        <f>Tabla1[[#This Row],[cuba_fab_litros]]*Tabla1[[#This Row],[cuba_fab_grasa_g_l]]</f>
        <v>0</v>
      </c>
      <c r="P155">
        <f>Tabla1[[#This Row],[cuba_fab_litros]]*Tabla1[[#This Row],[cuba_fab_prot_g_l]]/100</f>
        <v>0</v>
      </c>
      <c r="Q155">
        <f>Tabla1[[#This Row],[queso_kg]]*Tabla1[[#This Row],[queso_est_pct]]/100</f>
        <v>0</v>
      </c>
      <c r="R155">
        <f>Tabla1[[#This Row],[queso_kg]]*Tabla1[[#This Row],[queso_mg_pct]]/100</f>
        <v>0</v>
      </c>
      <c r="S155">
        <f>_xlfn.ISOWEEKNUM(Tabla1[[#This Row],[fecha]])</f>
        <v>22</v>
      </c>
      <c r="T155">
        <v>22</v>
      </c>
    </row>
    <row r="156" spans="1:20" x14ac:dyDescent="0.25">
      <c r="A156" s="1">
        <v>45445</v>
      </c>
      <c r="B156">
        <v>5304</v>
      </c>
      <c r="C156">
        <v>5150</v>
      </c>
      <c r="D156">
        <v>41.69</v>
      </c>
      <c r="E156">
        <v>35.71</v>
      </c>
      <c r="I156">
        <v>5150</v>
      </c>
      <c r="M156">
        <f>Tabla1[[#This Row],[entrada_litros]]*Tabla1[[#This Row],[entrada_grasa_g_l]]/100</f>
        <v>2147.0349999999999</v>
      </c>
      <c r="N156">
        <f>Tabla1[[#This Row],[entrada_prot_g_l]]*Tabla1[[#This Row],[entrada_litros]]/100</f>
        <v>1839.0650000000001</v>
      </c>
      <c r="O156">
        <f>Tabla1[[#This Row],[cuba_fab_litros]]*Tabla1[[#This Row],[cuba_fab_grasa_g_l]]</f>
        <v>0</v>
      </c>
      <c r="P156">
        <f>Tabla1[[#This Row],[cuba_fab_litros]]*Tabla1[[#This Row],[cuba_fab_prot_g_l]]/100</f>
        <v>0</v>
      </c>
      <c r="Q156">
        <f>Tabla1[[#This Row],[queso_kg]]*Tabla1[[#This Row],[queso_est_pct]]/100</f>
        <v>0</v>
      </c>
      <c r="R156">
        <f>Tabla1[[#This Row],[queso_kg]]*Tabla1[[#This Row],[queso_mg_pct]]/100</f>
        <v>0</v>
      </c>
      <c r="S156">
        <f>_xlfn.ISOWEEKNUM(Tabla1[[#This Row],[fecha]])</f>
        <v>22</v>
      </c>
      <c r="T156">
        <v>23</v>
      </c>
    </row>
    <row r="157" spans="1:20" x14ac:dyDescent="0.25">
      <c r="A157" s="1">
        <v>45446</v>
      </c>
      <c r="B157">
        <v>5499</v>
      </c>
      <c r="C157">
        <v>5339</v>
      </c>
      <c r="D157">
        <v>44.45</v>
      </c>
      <c r="E157">
        <v>36.35</v>
      </c>
      <c r="F157">
        <v>5028</v>
      </c>
      <c r="G157">
        <v>41.31</v>
      </c>
      <c r="H157">
        <v>34.28</v>
      </c>
      <c r="I157">
        <v>5489</v>
      </c>
      <c r="J157">
        <v>628.45000000000005</v>
      </c>
      <c r="K157">
        <v>52.11</v>
      </c>
      <c r="L157">
        <v>26.91</v>
      </c>
      <c r="M157">
        <f>Tabla1[[#This Row],[entrada_litros]]*Tabla1[[#This Row],[entrada_grasa_g_l]]/100</f>
        <v>2373.1855</v>
      </c>
      <c r="N157">
        <f>Tabla1[[#This Row],[entrada_prot_g_l]]*Tabla1[[#This Row],[entrada_litros]]/100</f>
        <v>1940.7265</v>
      </c>
      <c r="O157">
        <f>Tabla1[[#This Row],[cuba_fab_litros]]*Tabla1[[#This Row],[cuba_fab_grasa_g_l]]</f>
        <v>207706.68000000002</v>
      </c>
      <c r="P157">
        <f>Tabla1[[#This Row],[cuba_fab_litros]]*Tabla1[[#This Row],[cuba_fab_prot_g_l]]/100</f>
        <v>1723.5983999999999</v>
      </c>
      <c r="Q157">
        <f>Tabla1[[#This Row],[queso_kg]]*Tabla1[[#This Row],[queso_est_pct]]/100</f>
        <v>327.48529500000001</v>
      </c>
      <c r="R157">
        <f>Tabla1[[#This Row],[queso_kg]]*Tabla1[[#This Row],[queso_mg_pct]]/100</f>
        <v>169.11589500000002</v>
      </c>
      <c r="S157">
        <f>_xlfn.ISOWEEKNUM(Tabla1[[#This Row],[fecha]])</f>
        <v>23</v>
      </c>
      <c r="T157">
        <v>23</v>
      </c>
    </row>
    <row r="158" spans="1:20" x14ac:dyDescent="0.25">
      <c r="A158" s="1">
        <v>45447</v>
      </c>
      <c r="B158">
        <v>4772</v>
      </c>
      <c r="C158">
        <v>4633</v>
      </c>
      <c r="D158">
        <v>41.71</v>
      </c>
      <c r="E158">
        <v>36.19</v>
      </c>
      <c r="F158">
        <v>5029</v>
      </c>
      <c r="G158">
        <v>40.630000000000003</v>
      </c>
      <c r="H158">
        <v>34.479999999999997</v>
      </c>
      <c r="I158">
        <v>5122</v>
      </c>
      <c r="J158">
        <v>643.14</v>
      </c>
      <c r="K158">
        <v>50.91</v>
      </c>
      <c r="L158">
        <v>26.29</v>
      </c>
      <c r="M158">
        <f>Tabla1[[#This Row],[entrada_litros]]*Tabla1[[#This Row],[entrada_grasa_g_l]]/100</f>
        <v>1932.4242999999999</v>
      </c>
      <c r="N158">
        <f>Tabla1[[#This Row],[entrada_prot_g_l]]*Tabla1[[#This Row],[entrada_litros]]/100</f>
        <v>1676.6826999999998</v>
      </c>
      <c r="O158">
        <f>Tabla1[[#This Row],[cuba_fab_litros]]*Tabla1[[#This Row],[cuba_fab_grasa_g_l]]</f>
        <v>204328.27000000002</v>
      </c>
      <c r="P158">
        <f>Tabla1[[#This Row],[cuba_fab_litros]]*Tabla1[[#This Row],[cuba_fab_prot_g_l]]/100</f>
        <v>1733.9991999999997</v>
      </c>
      <c r="Q158">
        <f>Tabla1[[#This Row],[queso_kg]]*Tabla1[[#This Row],[queso_est_pct]]/100</f>
        <v>327.422574</v>
      </c>
      <c r="R158">
        <f>Tabla1[[#This Row],[queso_kg]]*Tabla1[[#This Row],[queso_mg_pct]]/100</f>
        <v>169.08150600000002</v>
      </c>
      <c r="S158">
        <f>_xlfn.ISOWEEKNUM(Tabla1[[#This Row],[fecha]])</f>
        <v>23</v>
      </c>
      <c r="T158">
        <v>23</v>
      </c>
    </row>
    <row r="159" spans="1:20" x14ac:dyDescent="0.25">
      <c r="A159" s="1">
        <v>45448</v>
      </c>
      <c r="B159">
        <v>5179</v>
      </c>
      <c r="C159">
        <v>5028</v>
      </c>
      <c r="D159">
        <v>40.19</v>
      </c>
      <c r="E159">
        <v>35.32</v>
      </c>
      <c r="F159">
        <v>5018</v>
      </c>
      <c r="G159">
        <v>39.700000000000003</v>
      </c>
      <c r="H159">
        <v>34.49</v>
      </c>
      <c r="I159">
        <v>5150</v>
      </c>
      <c r="J159">
        <v>618.11</v>
      </c>
      <c r="K159">
        <v>52.84</v>
      </c>
      <c r="L159">
        <v>27.83</v>
      </c>
      <c r="M159">
        <f>Tabla1[[#This Row],[entrada_litros]]*Tabla1[[#This Row],[entrada_grasa_g_l]]/100</f>
        <v>2020.7531999999999</v>
      </c>
      <c r="N159">
        <f>Tabla1[[#This Row],[entrada_prot_g_l]]*Tabla1[[#This Row],[entrada_litros]]/100</f>
        <v>1775.8896</v>
      </c>
      <c r="O159">
        <f>Tabla1[[#This Row],[cuba_fab_litros]]*Tabla1[[#This Row],[cuba_fab_grasa_g_l]]</f>
        <v>199214.6</v>
      </c>
      <c r="P159">
        <f>Tabla1[[#This Row],[cuba_fab_litros]]*Tabla1[[#This Row],[cuba_fab_prot_g_l]]/100</f>
        <v>1730.7082</v>
      </c>
      <c r="Q159">
        <f>Tabla1[[#This Row],[queso_kg]]*Tabla1[[#This Row],[queso_est_pct]]/100</f>
        <v>326.60932400000002</v>
      </c>
      <c r="R159">
        <f>Tabla1[[#This Row],[queso_kg]]*Tabla1[[#This Row],[queso_mg_pct]]/100</f>
        <v>172.02001300000001</v>
      </c>
      <c r="S159">
        <f>_xlfn.ISOWEEKNUM(Tabla1[[#This Row],[fecha]])</f>
        <v>23</v>
      </c>
      <c r="T159">
        <v>23</v>
      </c>
    </row>
    <row r="160" spans="1:20" x14ac:dyDescent="0.25">
      <c r="A160" s="1">
        <v>45449</v>
      </c>
      <c r="B160">
        <v>4434</v>
      </c>
      <c r="C160">
        <v>4305</v>
      </c>
      <c r="D160">
        <v>41.8</v>
      </c>
      <c r="E160">
        <v>36.49</v>
      </c>
      <c r="F160">
        <v>5022</v>
      </c>
      <c r="G160">
        <v>39.700000000000003</v>
      </c>
      <c r="H160">
        <v>34.46</v>
      </c>
      <c r="I160">
        <v>4455</v>
      </c>
      <c r="J160">
        <v>608.64</v>
      </c>
      <c r="K160">
        <v>53.25</v>
      </c>
      <c r="L160">
        <v>27.75</v>
      </c>
      <c r="M160">
        <f>Tabla1[[#This Row],[entrada_litros]]*Tabla1[[#This Row],[entrada_grasa_g_l]]/100</f>
        <v>1799.49</v>
      </c>
      <c r="N160">
        <f>Tabla1[[#This Row],[entrada_prot_g_l]]*Tabla1[[#This Row],[entrada_litros]]/100</f>
        <v>1570.8945000000001</v>
      </c>
      <c r="O160">
        <f>Tabla1[[#This Row],[cuba_fab_litros]]*Tabla1[[#This Row],[cuba_fab_grasa_g_l]]</f>
        <v>199373.40000000002</v>
      </c>
      <c r="P160">
        <f>Tabla1[[#This Row],[cuba_fab_litros]]*Tabla1[[#This Row],[cuba_fab_prot_g_l]]/100</f>
        <v>1730.5811999999999</v>
      </c>
      <c r="Q160">
        <f>Tabla1[[#This Row],[queso_kg]]*Tabla1[[#This Row],[queso_est_pct]]/100</f>
        <v>324.10079999999999</v>
      </c>
      <c r="R160">
        <f>Tabla1[[#This Row],[queso_kg]]*Tabla1[[#This Row],[queso_mg_pct]]/100</f>
        <v>168.89759999999998</v>
      </c>
      <c r="S160">
        <f>_xlfn.ISOWEEKNUM(Tabla1[[#This Row],[fecha]])</f>
        <v>23</v>
      </c>
      <c r="T160">
        <v>23</v>
      </c>
    </row>
    <row r="161" spans="1:20" x14ac:dyDescent="0.25">
      <c r="A161" s="1">
        <v>45450</v>
      </c>
      <c r="F161">
        <v>4482</v>
      </c>
      <c r="G161">
        <v>39.74</v>
      </c>
      <c r="H161">
        <v>34.46</v>
      </c>
      <c r="J161">
        <v>581.11</v>
      </c>
      <c r="K161">
        <v>50.29</v>
      </c>
      <c r="L161">
        <v>25.36</v>
      </c>
      <c r="M161">
        <f>Tabla1[[#This Row],[entrada_litros]]*Tabla1[[#This Row],[entrada_grasa_g_l]]/100</f>
        <v>0</v>
      </c>
      <c r="N161">
        <f>Tabla1[[#This Row],[entrada_prot_g_l]]*Tabla1[[#This Row],[entrada_litros]]/100</f>
        <v>0</v>
      </c>
      <c r="O161">
        <f>Tabla1[[#This Row],[cuba_fab_litros]]*Tabla1[[#This Row],[cuba_fab_grasa_g_l]]</f>
        <v>178114.68000000002</v>
      </c>
      <c r="P161">
        <f>Tabla1[[#This Row],[cuba_fab_litros]]*Tabla1[[#This Row],[cuba_fab_prot_g_l]]/100</f>
        <v>1544.4972</v>
      </c>
      <c r="Q161">
        <f>Tabla1[[#This Row],[queso_kg]]*Tabla1[[#This Row],[queso_est_pct]]/100</f>
        <v>292.24021900000002</v>
      </c>
      <c r="R161">
        <f>Tabla1[[#This Row],[queso_kg]]*Tabla1[[#This Row],[queso_mg_pct]]/100</f>
        <v>147.369496</v>
      </c>
      <c r="S161">
        <f>_xlfn.ISOWEEKNUM(Tabla1[[#This Row],[fecha]])</f>
        <v>23</v>
      </c>
      <c r="T161">
        <v>23</v>
      </c>
    </row>
    <row r="162" spans="1:20" x14ac:dyDescent="0.25">
      <c r="A162" s="1">
        <v>45451</v>
      </c>
      <c r="M162">
        <f>Tabla1[[#This Row],[entrada_litros]]*Tabla1[[#This Row],[entrada_grasa_g_l]]/100</f>
        <v>0</v>
      </c>
      <c r="N162">
        <f>Tabla1[[#This Row],[entrada_prot_g_l]]*Tabla1[[#This Row],[entrada_litros]]/100</f>
        <v>0</v>
      </c>
      <c r="O162">
        <f>Tabla1[[#This Row],[cuba_fab_litros]]*Tabla1[[#This Row],[cuba_fab_grasa_g_l]]</f>
        <v>0</v>
      </c>
      <c r="P162">
        <f>Tabla1[[#This Row],[cuba_fab_litros]]*Tabla1[[#This Row],[cuba_fab_prot_g_l]]/100</f>
        <v>0</v>
      </c>
      <c r="Q162">
        <f>Tabla1[[#This Row],[queso_kg]]*Tabla1[[#This Row],[queso_est_pct]]/100</f>
        <v>0</v>
      </c>
      <c r="R162">
        <f>Tabla1[[#This Row],[queso_kg]]*Tabla1[[#This Row],[queso_mg_pct]]/100</f>
        <v>0</v>
      </c>
      <c r="S162">
        <f>_xlfn.ISOWEEKNUM(Tabla1[[#This Row],[fecha]])</f>
        <v>23</v>
      </c>
      <c r="T162">
        <v>23</v>
      </c>
    </row>
    <row r="163" spans="1:20" x14ac:dyDescent="0.25">
      <c r="A163" s="1">
        <v>45452</v>
      </c>
      <c r="B163">
        <v>5030</v>
      </c>
      <c r="C163">
        <v>4883</v>
      </c>
      <c r="D163">
        <v>40.44</v>
      </c>
      <c r="E163">
        <v>36.43</v>
      </c>
      <c r="I163">
        <v>4883</v>
      </c>
      <c r="M163">
        <f>Tabla1[[#This Row],[entrada_litros]]*Tabla1[[#This Row],[entrada_grasa_g_l]]/100</f>
        <v>1974.6851999999999</v>
      </c>
      <c r="N163">
        <f>Tabla1[[#This Row],[entrada_prot_g_l]]*Tabla1[[#This Row],[entrada_litros]]/100</f>
        <v>1778.8769</v>
      </c>
      <c r="O163">
        <f>Tabla1[[#This Row],[cuba_fab_litros]]*Tabla1[[#This Row],[cuba_fab_grasa_g_l]]</f>
        <v>0</v>
      </c>
      <c r="P163">
        <f>Tabla1[[#This Row],[cuba_fab_litros]]*Tabla1[[#This Row],[cuba_fab_prot_g_l]]/100</f>
        <v>0</v>
      </c>
      <c r="Q163">
        <f>Tabla1[[#This Row],[queso_kg]]*Tabla1[[#This Row],[queso_est_pct]]/100</f>
        <v>0</v>
      </c>
      <c r="R163">
        <f>Tabla1[[#This Row],[queso_kg]]*Tabla1[[#This Row],[queso_mg_pct]]/100</f>
        <v>0</v>
      </c>
      <c r="S163">
        <f>_xlfn.ISOWEEKNUM(Tabla1[[#This Row],[fecha]])</f>
        <v>23</v>
      </c>
      <c r="T163">
        <v>24</v>
      </c>
    </row>
    <row r="164" spans="1:20" x14ac:dyDescent="0.25">
      <c r="A164" s="1">
        <v>45453</v>
      </c>
      <c r="B164">
        <v>5316</v>
      </c>
      <c r="C164">
        <v>5161</v>
      </c>
      <c r="D164">
        <v>44.22</v>
      </c>
      <c r="E164">
        <v>35.51</v>
      </c>
      <c r="F164">
        <v>5022</v>
      </c>
      <c r="G164">
        <v>40.39</v>
      </c>
      <c r="H164">
        <v>34.409999999999997</v>
      </c>
      <c r="I164">
        <v>5044</v>
      </c>
      <c r="J164">
        <v>622.95000000000005</v>
      </c>
      <c r="K164">
        <v>52.38</v>
      </c>
      <c r="L164">
        <v>27.07</v>
      </c>
      <c r="M164">
        <f>Tabla1[[#This Row],[entrada_litros]]*Tabla1[[#This Row],[entrada_grasa_g_l]]/100</f>
        <v>2282.1941999999999</v>
      </c>
      <c r="N164">
        <f>Tabla1[[#This Row],[entrada_prot_g_l]]*Tabla1[[#This Row],[entrada_litros]]/100</f>
        <v>1832.6710999999998</v>
      </c>
      <c r="O164">
        <f>Tabla1[[#This Row],[cuba_fab_litros]]*Tabla1[[#This Row],[cuba_fab_grasa_g_l]]</f>
        <v>202838.58000000002</v>
      </c>
      <c r="P164">
        <f>Tabla1[[#This Row],[cuba_fab_litros]]*Tabla1[[#This Row],[cuba_fab_prot_g_l]]/100</f>
        <v>1728.0701999999999</v>
      </c>
      <c r="Q164">
        <f>Tabla1[[#This Row],[queso_kg]]*Tabla1[[#This Row],[queso_est_pct]]/100</f>
        <v>326.30121000000003</v>
      </c>
      <c r="R164">
        <f>Tabla1[[#This Row],[queso_kg]]*Tabla1[[#This Row],[queso_mg_pct]]/100</f>
        <v>168.63256500000003</v>
      </c>
      <c r="S164">
        <f>_xlfn.ISOWEEKNUM(Tabla1[[#This Row],[fecha]])</f>
        <v>24</v>
      </c>
      <c r="T164">
        <v>24</v>
      </c>
    </row>
    <row r="165" spans="1:20" x14ac:dyDescent="0.25">
      <c r="A165" s="1">
        <v>45454</v>
      </c>
      <c r="B165">
        <v>5368</v>
      </c>
      <c r="C165">
        <v>5212</v>
      </c>
      <c r="D165">
        <v>41.59</v>
      </c>
      <c r="E165">
        <v>35.729999999999997</v>
      </c>
      <c r="F165">
        <v>5027</v>
      </c>
      <c r="G165">
        <v>40.07</v>
      </c>
      <c r="H165">
        <v>34.32</v>
      </c>
      <c r="I165">
        <v>5256</v>
      </c>
      <c r="J165">
        <v>612.17999999999995</v>
      </c>
      <c r="K165">
        <v>54</v>
      </c>
      <c r="L165">
        <v>28.52</v>
      </c>
      <c r="M165">
        <f>Tabla1[[#This Row],[entrada_litros]]*Tabla1[[#This Row],[entrada_grasa_g_l]]/100</f>
        <v>2167.6708000000003</v>
      </c>
      <c r="N165">
        <f>Tabla1[[#This Row],[entrada_prot_g_l]]*Tabla1[[#This Row],[entrada_litros]]/100</f>
        <v>1862.2475999999997</v>
      </c>
      <c r="O165">
        <f>Tabla1[[#This Row],[cuba_fab_litros]]*Tabla1[[#This Row],[cuba_fab_grasa_g_l]]</f>
        <v>201431.89</v>
      </c>
      <c r="P165">
        <f>Tabla1[[#This Row],[cuba_fab_litros]]*Tabla1[[#This Row],[cuba_fab_prot_g_l]]/100</f>
        <v>1725.2664000000002</v>
      </c>
      <c r="Q165">
        <f>Tabla1[[#This Row],[queso_kg]]*Tabla1[[#This Row],[queso_est_pct]]/100</f>
        <v>330.57719999999995</v>
      </c>
      <c r="R165">
        <f>Tabla1[[#This Row],[queso_kg]]*Tabla1[[#This Row],[queso_mg_pct]]/100</f>
        <v>174.59373599999998</v>
      </c>
      <c r="S165">
        <f>_xlfn.ISOWEEKNUM(Tabla1[[#This Row],[fecha]])</f>
        <v>24</v>
      </c>
      <c r="T165">
        <v>24</v>
      </c>
    </row>
    <row r="166" spans="1:20" x14ac:dyDescent="0.25">
      <c r="A166" s="1">
        <v>45455</v>
      </c>
      <c r="B166">
        <v>5483</v>
      </c>
      <c r="C166">
        <v>5323</v>
      </c>
      <c r="D166">
        <v>41.63</v>
      </c>
      <c r="E166">
        <v>33.97</v>
      </c>
      <c r="F166">
        <v>5028</v>
      </c>
      <c r="G166">
        <v>40.22</v>
      </c>
      <c r="H166">
        <v>32.93</v>
      </c>
      <c r="I166">
        <v>5579</v>
      </c>
      <c r="J166">
        <v>632.47</v>
      </c>
      <c r="K166">
        <v>51.85</v>
      </c>
      <c r="L166">
        <v>27.17</v>
      </c>
      <c r="M166">
        <f>Tabla1[[#This Row],[entrada_litros]]*Tabla1[[#This Row],[entrada_grasa_g_l]]/100</f>
        <v>2215.9649000000004</v>
      </c>
      <c r="N166">
        <f>Tabla1[[#This Row],[entrada_prot_g_l]]*Tabla1[[#This Row],[entrada_litros]]/100</f>
        <v>1808.2230999999999</v>
      </c>
      <c r="O166">
        <f>Tabla1[[#This Row],[cuba_fab_litros]]*Tabla1[[#This Row],[cuba_fab_grasa_g_l]]</f>
        <v>202226.16</v>
      </c>
      <c r="P166">
        <f>Tabla1[[#This Row],[cuba_fab_litros]]*Tabla1[[#This Row],[cuba_fab_prot_g_l]]/100</f>
        <v>1655.7204000000002</v>
      </c>
      <c r="Q166">
        <f>Tabla1[[#This Row],[queso_kg]]*Tabla1[[#This Row],[queso_est_pct]]/100</f>
        <v>327.93569500000007</v>
      </c>
      <c r="R166">
        <f>Tabla1[[#This Row],[queso_kg]]*Tabla1[[#This Row],[queso_mg_pct]]/100</f>
        <v>171.84209900000002</v>
      </c>
      <c r="S166">
        <f>_xlfn.ISOWEEKNUM(Tabla1[[#This Row],[fecha]])</f>
        <v>24</v>
      </c>
      <c r="T166">
        <v>24</v>
      </c>
    </row>
    <row r="167" spans="1:20" x14ac:dyDescent="0.25">
      <c r="A167" s="1">
        <v>45456</v>
      </c>
      <c r="B167">
        <v>5295</v>
      </c>
      <c r="C167">
        <v>5141</v>
      </c>
      <c r="D167">
        <v>42.66</v>
      </c>
      <c r="E167">
        <v>35.770000000000003</v>
      </c>
      <c r="F167">
        <v>5029</v>
      </c>
      <c r="G167">
        <v>40.26</v>
      </c>
      <c r="H167">
        <v>33.770000000000003</v>
      </c>
      <c r="I167">
        <v>5720</v>
      </c>
      <c r="J167">
        <v>611.15</v>
      </c>
      <c r="K167">
        <v>53.44</v>
      </c>
      <c r="L167">
        <v>27.49</v>
      </c>
      <c r="M167">
        <f>Tabla1[[#This Row],[entrada_litros]]*Tabla1[[#This Row],[entrada_grasa_g_l]]/100</f>
        <v>2193.1505999999995</v>
      </c>
      <c r="N167">
        <f>Tabla1[[#This Row],[entrada_prot_g_l]]*Tabla1[[#This Row],[entrada_litros]]/100</f>
        <v>1838.9357</v>
      </c>
      <c r="O167">
        <f>Tabla1[[#This Row],[cuba_fab_litros]]*Tabla1[[#This Row],[cuba_fab_grasa_g_l]]</f>
        <v>202467.53999999998</v>
      </c>
      <c r="P167">
        <f>Tabla1[[#This Row],[cuba_fab_litros]]*Tabla1[[#This Row],[cuba_fab_prot_g_l]]/100</f>
        <v>1698.2933000000003</v>
      </c>
      <c r="Q167">
        <f>Tabla1[[#This Row],[queso_kg]]*Tabla1[[#This Row],[queso_est_pct]]/100</f>
        <v>326.59855999999996</v>
      </c>
      <c r="R167">
        <f>Tabla1[[#This Row],[queso_kg]]*Tabla1[[#This Row],[queso_mg_pct]]/100</f>
        <v>168.00513499999997</v>
      </c>
      <c r="S167">
        <f>_xlfn.ISOWEEKNUM(Tabla1[[#This Row],[fecha]])</f>
        <v>24</v>
      </c>
      <c r="T167">
        <v>24</v>
      </c>
    </row>
    <row r="168" spans="1:20" x14ac:dyDescent="0.25">
      <c r="A168" s="1">
        <v>45457</v>
      </c>
      <c r="F168">
        <v>5745</v>
      </c>
      <c r="G168">
        <v>40.67</v>
      </c>
      <c r="H168">
        <v>34.020000000000003</v>
      </c>
      <c r="J168">
        <v>744.79</v>
      </c>
      <c r="K168">
        <v>49.14</v>
      </c>
      <c r="L168">
        <v>25.35</v>
      </c>
      <c r="M168">
        <f>Tabla1[[#This Row],[entrada_litros]]*Tabla1[[#This Row],[entrada_grasa_g_l]]/100</f>
        <v>0</v>
      </c>
      <c r="N168">
        <f>Tabla1[[#This Row],[entrada_prot_g_l]]*Tabla1[[#This Row],[entrada_litros]]/100</f>
        <v>0</v>
      </c>
      <c r="O168">
        <f>Tabla1[[#This Row],[cuba_fab_litros]]*Tabla1[[#This Row],[cuba_fab_grasa_g_l]]</f>
        <v>233649.15000000002</v>
      </c>
      <c r="P168">
        <f>Tabla1[[#This Row],[cuba_fab_litros]]*Tabla1[[#This Row],[cuba_fab_prot_g_l]]/100</f>
        <v>1954.4490000000003</v>
      </c>
      <c r="Q168">
        <f>Tabla1[[#This Row],[queso_kg]]*Tabla1[[#This Row],[queso_est_pct]]/100</f>
        <v>365.98980599999993</v>
      </c>
      <c r="R168">
        <f>Tabla1[[#This Row],[queso_kg]]*Tabla1[[#This Row],[queso_mg_pct]]/100</f>
        <v>188.80426500000002</v>
      </c>
      <c r="S168">
        <f>_xlfn.ISOWEEKNUM(Tabla1[[#This Row],[fecha]])</f>
        <v>24</v>
      </c>
      <c r="T168">
        <v>24</v>
      </c>
    </row>
    <row r="169" spans="1:20" x14ac:dyDescent="0.25">
      <c r="A169" s="1">
        <v>45458</v>
      </c>
      <c r="M169">
        <f>Tabla1[[#This Row],[entrada_litros]]*Tabla1[[#This Row],[entrada_grasa_g_l]]/100</f>
        <v>0</v>
      </c>
      <c r="N169">
        <f>Tabla1[[#This Row],[entrada_prot_g_l]]*Tabla1[[#This Row],[entrada_litros]]/100</f>
        <v>0</v>
      </c>
      <c r="O169">
        <f>Tabla1[[#This Row],[cuba_fab_litros]]*Tabla1[[#This Row],[cuba_fab_grasa_g_l]]</f>
        <v>0</v>
      </c>
      <c r="P169">
        <f>Tabla1[[#This Row],[cuba_fab_litros]]*Tabla1[[#This Row],[cuba_fab_prot_g_l]]/100</f>
        <v>0</v>
      </c>
      <c r="Q169">
        <f>Tabla1[[#This Row],[queso_kg]]*Tabla1[[#This Row],[queso_est_pct]]/100</f>
        <v>0</v>
      </c>
      <c r="R169">
        <f>Tabla1[[#This Row],[queso_kg]]*Tabla1[[#This Row],[queso_mg_pct]]/100</f>
        <v>0</v>
      </c>
      <c r="S169">
        <f>_xlfn.ISOWEEKNUM(Tabla1[[#This Row],[fecha]])</f>
        <v>24</v>
      </c>
      <c r="T169">
        <v>24</v>
      </c>
    </row>
    <row r="170" spans="1:20" x14ac:dyDescent="0.25">
      <c r="A170" s="1">
        <v>45459</v>
      </c>
      <c r="B170">
        <v>4958</v>
      </c>
      <c r="C170">
        <v>4814</v>
      </c>
      <c r="D170">
        <v>44.67</v>
      </c>
      <c r="E170">
        <v>35.68</v>
      </c>
      <c r="I170">
        <v>4814</v>
      </c>
      <c r="M170">
        <f>Tabla1[[#This Row],[entrada_litros]]*Tabla1[[#This Row],[entrada_grasa_g_l]]/100</f>
        <v>2150.4138000000003</v>
      </c>
      <c r="N170">
        <f>Tabla1[[#This Row],[entrada_prot_g_l]]*Tabla1[[#This Row],[entrada_litros]]/100</f>
        <v>1717.6351999999999</v>
      </c>
      <c r="O170">
        <f>Tabla1[[#This Row],[cuba_fab_litros]]*Tabla1[[#This Row],[cuba_fab_grasa_g_l]]</f>
        <v>0</v>
      </c>
      <c r="P170">
        <f>Tabla1[[#This Row],[cuba_fab_litros]]*Tabla1[[#This Row],[cuba_fab_prot_g_l]]/100</f>
        <v>0</v>
      </c>
      <c r="Q170">
        <f>Tabla1[[#This Row],[queso_kg]]*Tabla1[[#This Row],[queso_est_pct]]/100</f>
        <v>0</v>
      </c>
      <c r="R170">
        <f>Tabla1[[#This Row],[queso_kg]]*Tabla1[[#This Row],[queso_mg_pct]]/100</f>
        <v>0</v>
      </c>
      <c r="S170">
        <f>_xlfn.ISOWEEKNUM(Tabla1[[#This Row],[fecha]])</f>
        <v>24</v>
      </c>
      <c r="T170">
        <v>25</v>
      </c>
    </row>
    <row r="171" spans="1:20" x14ac:dyDescent="0.25">
      <c r="A171" s="1">
        <v>45460</v>
      </c>
      <c r="B171">
        <v>5070</v>
      </c>
      <c r="C171">
        <v>4922</v>
      </c>
      <c r="D171">
        <v>42.43</v>
      </c>
      <c r="E171">
        <v>34.92</v>
      </c>
      <c r="F171">
        <v>5019</v>
      </c>
      <c r="G171">
        <v>41.77</v>
      </c>
      <c r="H171">
        <v>33.61</v>
      </c>
      <c r="I171">
        <v>4736</v>
      </c>
      <c r="J171">
        <v>620.97</v>
      </c>
      <c r="K171">
        <v>52.57</v>
      </c>
      <c r="L171">
        <v>27.6</v>
      </c>
      <c r="M171">
        <f>Tabla1[[#This Row],[entrada_litros]]*Tabla1[[#This Row],[entrada_grasa_g_l]]/100</f>
        <v>2088.4045999999998</v>
      </c>
      <c r="N171">
        <f>Tabla1[[#This Row],[entrada_prot_g_l]]*Tabla1[[#This Row],[entrada_litros]]/100</f>
        <v>1718.7624000000003</v>
      </c>
      <c r="O171">
        <f>Tabla1[[#This Row],[cuba_fab_litros]]*Tabla1[[#This Row],[cuba_fab_grasa_g_l]]</f>
        <v>209643.63</v>
      </c>
      <c r="P171">
        <f>Tabla1[[#This Row],[cuba_fab_litros]]*Tabla1[[#This Row],[cuba_fab_prot_g_l]]/100</f>
        <v>1686.8859</v>
      </c>
      <c r="Q171">
        <f>Tabla1[[#This Row],[queso_kg]]*Tabla1[[#This Row],[queso_est_pct]]/100</f>
        <v>326.44392900000003</v>
      </c>
      <c r="R171">
        <f>Tabla1[[#This Row],[queso_kg]]*Tabla1[[#This Row],[queso_mg_pct]]/100</f>
        <v>171.38772</v>
      </c>
      <c r="S171">
        <f>_xlfn.ISOWEEKNUM(Tabla1[[#This Row],[fecha]])</f>
        <v>25</v>
      </c>
      <c r="T171">
        <v>25</v>
      </c>
    </row>
    <row r="172" spans="1:20" x14ac:dyDescent="0.25">
      <c r="A172" s="1">
        <v>45461</v>
      </c>
      <c r="B172">
        <v>5101</v>
      </c>
      <c r="C172">
        <v>4952</v>
      </c>
      <c r="D172">
        <v>42.43</v>
      </c>
      <c r="E172">
        <v>35.4</v>
      </c>
      <c r="F172">
        <v>5024</v>
      </c>
      <c r="G172">
        <v>41.08</v>
      </c>
      <c r="H172">
        <v>34.14</v>
      </c>
      <c r="I172">
        <v>4688</v>
      </c>
      <c r="J172">
        <v>626.79999999999995</v>
      </c>
      <c r="K172">
        <v>52.2</v>
      </c>
      <c r="L172">
        <v>27.41</v>
      </c>
      <c r="M172">
        <f>Tabla1[[#This Row],[entrada_litros]]*Tabla1[[#This Row],[entrada_grasa_g_l]]/100</f>
        <v>2101.1335999999997</v>
      </c>
      <c r="N172">
        <f>Tabla1[[#This Row],[entrada_prot_g_l]]*Tabla1[[#This Row],[entrada_litros]]/100</f>
        <v>1753.0079999999998</v>
      </c>
      <c r="O172">
        <f>Tabla1[[#This Row],[cuba_fab_litros]]*Tabla1[[#This Row],[cuba_fab_grasa_g_l]]</f>
        <v>206385.91999999998</v>
      </c>
      <c r="P172">
        <f>Tabla1[[#This Row],[cuba_fab_litros]]*Tabla1[[#This Row],[cuba_fab_prot_g_l]]/100</f>
        <v>1715.1936000000001</v>
      </c>
      <c r="Q172">
        <f>Tabla1[[#This Row],[queso_kg]]*Tabla1[[#This Row],[queso_est_pct]]/100</f>
        <v>327.18959999999998</v>
      </c>
      <c r="R172">
        <f>Tabla1[[#This Row],[queso_kg]]*Tabla1[[#This Row],[queso_mg_pct]]/100</f>
        <v>171.80588</v>
      </c>
      <c r="S172">
        <f>_xlfn.ISOWEEKNUM(Tabla1[[#This Row],[fecha]])</f>
        <v>25</v>
      </c>
      <c r="T172">
        <v>25</v>
      </c>
    </row>
    <row r="173" spans="1:20" x14ac:dyDescent="0.25">
      <c r="A173" s="1">
        <v>45462</v>
      </c>
      <c r="B173">
        <v>5152</v>
      </c>
      <c r="C173">
        <v>5002</v>
      </c>
      <c r="D173">
        <v>43.5</v>
      </c>
      <c r="E173">
        <v>35.840000000000003</v>
      </c>
      <c r="F173">
        <v>5024</v>
      </c>
      <c r="G173">
        <v>41.07</v>
      </c>
      <c r="H173">
        <v>34.200000000000003</v>
      </c>
      <c r="I173">
        <v>4690</v>
      </c>
      <c r="J173">
        <v>637.37</v>
      </c>
      <c r="K173">
        <v>51</v>
      </c>
      <c r="L173">
        <v>27.45</v>
      </c>
      <c r="M173">
        <f>Tabla1[[#This Row],[entrada_litros]]*Tabla1[[#This Row],[entrada_grasa_g_l]]/100</f>
        <v>2175.87</v>
      </c>
      <c r="N173">
        <f>Tabla1[[#This Row],[entrada_prot_g_l]]*Tabla1[[#This Row],[entrada_litros]]/100</f>
        <v>1792.7168000000001</v>
      </c>
      <c r="O173">
        <f>Tabla1[[#This Row],[cuba_fab_litros]]*Tabla1[[#This Row],[cuba_fab_grasa_g_l]]</f>
        <v>206335.68</v>
      </c>
      <c r="P173">
        <f>Tabla1[[#This Row],[cuba_fab_litros]]*Tabla1[[#This Row],[cuba_fab_prot_g_l]]/100</f>
        <v>1718.2080000000001</v>
      </c>
      <c r="Q173">
        <f>Tabla1[[#This Row],[queso_kg]]*Tabla1[[#This Row],[queso_est_pct]]/100</f>
        <v>325.05869999999999</v>
      </c>
      <c r="R173">
        <f>Tabla1[[#This Row],[queso_kg]]*Tabla1[[#This Row],[queso_mg_pct]]/100</f>
        <v>174.95806499999998</v>
      </c>
      <c r="S173">
        <f>_xlfn.ISOWEEKNUM(Tabla1[[#This Row],[fecha]])</f>
        <v>25</v>
      </c>
      <c r="T173">
        <v>25</v>
      </c>
    </row>
    <row r="174" spans="1:20" x14ac:dyDescent="0.25">
      <c r="A174" s="1">
        <v>45463</v>
      </c>
      <c r="B174">
        <v>5494</v>
      </c>
      <c r="C174">
        <v>5334</v>
      </c>
      <c r="D174">
        <v>43.56</v>
      </c>
      <c r="E174">
        <v>36.450000000000003</v>
      </c>
      <c r="F174">
        <v>5031</v>
      </c>
      <c r="G174">
        <v>41.57</v>
      </c>
      <c r="H174">
        <v>34.31</v>
      </c>
      <c r="I174">
        <v>5024</v>
      </c>
      <c r="J174">
        <v>642.23</v>
      </c>
      <c r="K174">
        <v>51.38</v>
      </c>
      <c r="L174">
        <v>26.63</v>
      </c>
      <c r="M174">
        <f>Tabla1[[#This Row],[entrada_litros]]*Tabla1[[#This Row],[entrada_grasa_g_l]]/100</f>
        <v>2323.4904000000001</v>
      </c>
      <c r="N174">
        <f>Tabla1[[#This Row],[entrada_prot_g_l]]*Tabla1[[#This Row],[entrada_litros]]/100</f>
        <v>1944.2430000000002</v>
      </c>
      <c r="O174">
        <f>Tabla1[[#This Row],[cuba_fab_litros]]*Tabla1[[#This Row],[cuba_fab_grasa_g_l]]</f>
        <v>209138.67</v>
      </c>
      <c r="P174">
        <f>Tabla1[[#This Row],[cuba_fab_litros]]*Tabla1[[#This Row],[cuba_fab_prot_g_l]]/100</f>
        <v>1726.1361000000002</v>
      </c>
      <c r="Q174">
        <f>Tabla1[[#This Row],[queso_kg]]*Tabla1[[#This Row],[queso_est_pct]]/100</f>
        <v>329.97777400000001</v>
      </c>
      <c r="R174">
        <f>Tabla1[[#This Row],[queso_kg]]*Tabla1[[#This Row],[queso_mg_pct]]/100</f>
        <v>171.02584900000002</v>
      </c>
      <c r="S174">
        <f>_xlfn.ISOWEEKNUM(Tabla1[[#This Row],[fecha]])</f>
        <v>25</v>
      </c>
      <c r="T174">
        <v>25</v>
      </c>
    </row>
    <row r="175" spans="1:20" x14ac:dyDescent="0.25">
      <c r="A175" s="1">
        <v>45464</v>
      </c>
      <c r="F175">
        <v>5052</v>
      </c>
      <c r="G175">
        <v>41.67</v>
      </c>
      <c r="H175">
        <v>34.4</v>
      </c>
      <c r="J175">
        <v>656.88</v>
      </c>
      <c r="K175">
        <v>49.58</v>
      </c>
      <c r="L175">
        <v>25.52</v>
      </c>
      <c r="M175">
        <f>Tabla1[[#This Row],[entrada_litros]]*Tabla1[[#This Row],[entrada_grasa_g_l]]/100</f>
        <v>0</v>
      </c>
      <c r="N175">
        <f>Tabla1[[#This Row],[entrada_prot_g_l]]*Tabla1[[#This Row],[entrada_litros]]/100</f>
        <v>0</v>
      </c>
      <c r="O175">
        <f>Tabla1[[#This Row],[cuba_fab_litros]]*Tabla1[[#This Row],[cuba_fab_grasa_g_l]]</f>
        <v>210516.84</v>
      </c>
      <c r="P175">
        <f>Tabla1[[#This Row],[cuba_fab_litros]]*Tabla1[[#This Row],[cuba_fab_prot_g_l]]/100</f>
        <v>1737.8879999999999</v>
      </c>
      <c r="Q175">
        <f>Tabla1[[#This Row],[queso_kg]]*Tabla1[[#This Row],[queso_est_pct]]/100</f>
        <v>325.681104</v>
      </c>
      <c r="R175">
        <f>Tabla1[[#This Row],[queso_kg]]*Tabla1[[#This Row],[queso_mg_pct]]/100</f>
        <v>167.63577599999999</v>
      </c>
      <c r="S175">
        <f>_xlfn.ISOWEEKNUM(Tabla1[[#This Row],[fecha]])</f>
        <v>25</v>
      </c>
      <c r="T175">
        <v>25</v>
      </c>
    </row>
    <row r="176" spans="1:20" x14ac:dyDescent="0.25">
      <c r="A176" s="1">
        <v>45465</v>
      </c>
      <c r="M176">
        <f>Tabla1[[#This Row],[entrada_litros]]*Tabla1[[#This Row],[entrada_grasa_g_l]]/100</f>
        <v>0</v>
      </c>
      <c r="N176">
        <f>Tabla1[[#This Row],[entrada_prot_g_l]]*Tabla1[[#This Row],[entrada_litros]]/100</f>
        <v>0</v>
      </c>
      <c r="O176">
        <f>Tabla1[[#This Row],[cuba_fab_litros]]*Tabla1[[#This Row],[cuba_fab_grasa_g_l]]</f>
        <v>0</v>
      </c>
      <c r="P176">
        <f>Tabla1[[#This Row],[cuba_fab_litros]]*Tabla1[[#This Row],[cuba_fab_prot_g_l]]/100</f>
        <v>0</v>
      </c>
      <c r="Q176">
        <f>Tabla1[[#This Row],[queso_kg]]*Tabla1[[#This Row],[queso_est_pct]]/100</f>
        <v>0</v>
      </c>
      <c r="R176">
        <f>Tabla1[[#This Row],[queso_kg]]*Tabla1[[#This Row],[queso_mg_pct]]/100</f>
        <v>0</v>
      </c>
      <c r="S176">
        <f>_xlfn.ISOWEEKNUM(Tabla1[[#This Row],[fecha]])</f>
        <v>25</v>
      </c>
      <c r="T176">
        <v>25</v>
      </c>
    </row>
    <row r="177" spans="1:20" x14ac:dyDescent="0.25">
      <c r="A177" s="1">
        <v>45466</v>
      </c>
      <c r="B177">
        <v>5382</v>
      </c>
      <c r="C177">
        <v>5225</v>
      </c>
      <c r="D177">
        <v>39.78</v>
      </c>
      <c r="E177">
        <v>34.51</v>
      </c>
      <c r="I177">
        <v>5225</v>
      </c>
      <c r="M177">
        <f>Tabla1[[#This Row],[entrada_litros]]*Tabla1[[#This Row],[entrada_grasa_g_l]]/100</f>
        <v>2078.5050000000001</v>
      </c>
      <c r="N177">
        <f>Tabla1[[#This Row],[entrada_prot_g_l]]*Tabla1[[#This Row],[entrada_litros]]/100</f>
        <v>1803.1475</v>
      </c>
      <c r="O177">
        <f>Tabla1[[#This Row],[cuba_fab_litros]]*Tabla1[[#This Row],[cuba_fab_grasa_g_l]]</f>
        <v>0</v>
      </c>
      <c r="P177">
        <f>Tabla1[[#This Row],[cuba_fab_litros]]*Tabla1[[#This Row],[cuba_fab_prot_g_l]]/100</f>
        <v>0</v>
      </c>
      <c r="Q177">
        <f>Tabla1[[#This Row],[queso_kg]]*Tabla1[[#This Row],[queso_est_pct]]/100</f>
        <v>0</v>
      </c>
      <c r="R177">
        <f>Tabla1[[#This Row],[queso_kg]]*Tabla1[[#This Row],[queso_mg_pct]]/100</f>
        <v>0</v>
      </c>
      <c r="S177">
        <f>_xlfn.ISOWEEKNUM(Tabla1[[#This Row],[fecha]])</f>
        <v>25</v>
      </c>
      <c r="T177">
        <v>26</v>
      </c>
    </row>
    <row r="178" spans="1:20" x14ac:dyDescent="0.25">
      <c r="A178" s="1">
        <v>45467</v>
      </c>
      <c r="B178">
        <v>5305</v>
      </c>
      <c r="C178">
        <v>5150</v>
      </c>
      <c r="D178">
        <v>41.75</v>
      </c>
      <c r="E178">
        <v>36.61</v>
      </c>
      <c r="F178">
        <v>5017</v>
      </c>
      <c r="G178">
        <v>39.01</v>
      </c>
      <c r="H178">
        <v>33.68</v>
      </c>
      <c r="I178">
        <v>5375</v>
      </c>
      <c r="J178">
        <v>607.1</v>
      </c>
      <c r="K178">
        <v>53.24</v>
      </c>
      <c r="L178">
        <v>28.79</v>
      </c>
      <c r="M178">
        <f>Tabla1[[#This Row],[entrada_litros]]*Tabla1[[#This Row],[entrada_grasa_g_l]]/100</f>
        <v>2150.125</v>
      </c>
      <c r="N178">
        <f>Tabla1[[#This Row],[entrada_prot_g_l]]*Tabla1[[#This Row],[entrada_litros]]/100</f>
        <v>1885.415</v>
      </c>
      <c r="O178">
        <f>Tabla1[[#This Row],[cuba_fab_litros]]*Tabla1[[#This Row],[cuba_fab_grasa_g_l]]</f>
        <v>195713.16999999998</v>
      </c>
      <c r="P178">
        <f>Tabla1[[#This Row],[cuba_fab_litros]]*Tabla1[[#This Row],[cuba_fab_prot_g_l]]/100</f>
        <v>1689.7256</v>
      </c>
      <c r="Q178">
        <f>Tabla1[[#This Row],[queso_kg]]*Tabla1[[#This Row],[queso_est_pct]]/100</f>
        <v>323.22003999999998</v>
      </c>
      <c r="R178">
        <f>Tabla1[[#This Row],[queso_kg]]*Tabla1[[#This Row],[queso_mg_pct]]/100</f>
        <v>174.78408999999999</v>
      </c>
      <c r="S178">
        <f>_xlfn.ISOWEEKNUM(Tabla1[[#This Row],[fecha]])</f>
        <v>26</v>
      </c>
      <c r="T178">
        <v>26</v>
      </c>
    </row>
    <row r="179" spans="1:20" x14ac:dyDescent="0.25">
      <c r="A179" s="1">
        <v>45468</v>
      </c>
      <c r="B179">
        <v>5544</v>
      </c>
      <c r="C179">
        <v>5383</v>
      </c>
      <c r="D179">
        <v>44.34</v>
      </c>
      <c r="E179">
        <v>37.31</v>
      </c>
      <c r="F179">
        <v>5028</v>
      </c>
      <c r="G179">
        <v>40.78</v>
      </c>
      <c r="H179">
        <v>34.57</v>
      </c>
      <c r="I179">
        <v>5758</v>
      </c>
      <c r="J179">
        <v>605.64</v>
      </c>
      <c r="K179">
        <v>54.07</v>
      </c>
      <c r="L179">
        <v>27.57</v>
      </c>
      <c r="M179">
        <f>Tabla1[[#This Row],[entrada_litros]]*Tabla1[[#This Row],[entrada_grasa_g_l]]/100</f>
        <v>2386.8222000000005</v>
      </c>
      <c r="N179">
        <f>Tabla1[[#This Row],[entrada_prot_g_l]]*Tabla1[[#This Row],[entrada_litros]]/100</f>
        <v>2008.3973000000001</v>
      </c>
      <c r="O179">
        <f>Tabla1[[#This Row],[cuba_fab_litros]]*Tabla1[[#This Row],[cuba_fab_grasa_g_l]]</f>
        <v>205041.84</v>
      </c>
      <c r="P179">
        <f>Tabla1[[#This Row],[cuba_fab_litros]]*Tabla1[[#This Row],[cuba_fab_prot_g_l]]/100</f>
        <v>1738.1795999999999</v>
      </c>
      <c r="Q179">
        <f>Tabla1[[#This Row],[queso_kg]]*Tabla1[[#This Row],[queso_est_pct]]/100</f>
        <v>327.46954799999997</v>
      </c>
      <c r="R179">
        <f>Tabla1[[#This Row],[queso_kg]]*Tabla1[[#This Row],[queso_mg_pct]]/100</f>
        <v>166.97494800000001</v>
      </c>
      <c r="S179">
        <f>_xlfn.ISOWEEKNUM(Tabla1[[#This Row],[fecha]])</f>
        <v>26</v>
      </c>
      <c r="T179">
        <v>26</v>
      </c>
    </row>
    <row r="180" spans="1:20" x14ac:dyDescent="0.25">
      <c r="A180" s="1">
        <v>45469</v>
      </c>
      <c r="B180">
        <v>5099</v>
      </c>
      <c r="C180">
        <v>4950</v>
      </c>
      <c r="D180">
        <v>42.94</v>
      </c>
      <c r="E180">
        <v>37.36</v>
      </c>
      <c r="F180">
        <v>5025</v>
      </c>
      <c r="G180">
        <v>40.630000000000003</v>
      </c>
      <c r="H180">
        <v>35.06</v>
      </c>
      <c r="I180">
        <v>5708</v>
      </c>
      <c r="J180">
        <v>654.98</v>
      </c>
      <c r="K180">
        <v>49.74</v>
      </c>
      <c r="L180">
        <v>26.73</v>
      </c>
      <c r="M180">
        <f>Tabla1[[#This Row],[entrada_litros]]*Tabla1[[#This Row],[entrada_grasa_g_l]]/100</f>
        <v>2125.5300000000002</v>
      </c>
      <c r="N180">
        <f>Tabla1[[#This Row],[entrada_prot_g_l]]*Tabla1[[#This Row],[entrada_litros]]/100</f>
        <v>1849.32</v>
      </c>
      <c r="O180">
        <f>Tabla1[[#This Row],[cuba_fab_litros]]*Tabla1[[#This Row],[cuba_fab_grasa_g_l]]</f>
        <v>204165.75</v>
      </c>
      <c r="P180">
        <f>Tabla1[[#This Row],[cuba_fab_litros]]*Tabla1[[#This Row],[cuba_fab_prot_g_l]]/100</f>
        <v>1761.7650000000001</v>
      </c>
      <c r="Q180">
        <f>Tabla1[[#This Row],[queso_kg]]*Tabla1[[#This Row],[queso_est_pct]]/100</f>
        <v>325.78705200000002</v>
      </c>
      <c r="R180">
        <f>Tabla1[[#This Row],[queso_kg]]*Tabla1[[#This Row],[queso_mg_pct]]/100</f>
        <v>175.07615400000003</v>
      </c>
      <c r="S180">
        <f>_xlfn.ISOWEEKNUM(Tabla1[[#This Row],[fecha]])</f>
        <v>26</v>
      </c>
      <c r="T180">
        <v>26</v>
      </c>
    </row>
    <row r="181" spans="1:20" x14ac:dyDescent="0.25">
      <c r="A181" s="1">
        <v>45470</v>
      </c>
      <c r="B181">
        <v>5187</v>
      </c>
      <c r="C181">
        <v>5036</v>
      </c>
      <c r="D181">
        <v>42.65</v>
      </c>
      <c r="E181">
        <v>36.71</v>
      </c>
      <c r="F181">
        <v>5015</v>
      </c>
      <c r="G181">
        <v>40.89</v>
      </c>
      <c r="H181">
        <v>35.200000000000003</v>
      </c>
      <c r="I181">
        <v>5744</v>
      </c>
      <c r="J181">
        <v>643.63</v>
      </c>
      <c r="K181">
        <v>50.64</v>
      </c>
      <c r="L181">
        <v>27.92</v>
      </c>
      <c r="M181">
        <f>Tabla1[[#This Row],[entrada_litros]]*Tabla1[[#This Row],[entrada_grasa_g_l]]/100</f>
        <v>2147.8539999999998</v>
      </c>
      <c r="N181">
        <f>Tabla1[[#This Row],[entrada_prot_g_l]]*Tabla1[[#This Row],[entrada_litros]]/100</f>
        <v>1848.7156</v>
      </c>
      <c r="O181">
        <f>Tabla1[[#This Row],[cuba_fab_litros]]*Tabla1[[#This Row],[cuba_fab_grasa_g_l]]</f>
        <v>205063.35</v>
      </c>
      <c r="P181">
        <f>Tabla1[[#This Row],[cuba_fab_litros]]*Tabla1[[#This Row],[cuba_fab_prot_g_l]]/100</f>
        <v>1765.28</v>
      </c>
      <c r="Q181">
        <f>Tabla1[[#This Row],[queso_kg]]*Tabla1[[#This Row],[queso_est_pct]]/100</f>
        <v>325.93423200000001</v>
      </c>
      <c r="R181">
        <f>Tabla1[[#This Row],[queso_kg]]*Tabla1[[#This Row],[queso_mg_pct]]/100</f>
        <v>179.70149600000002</v>
      </c>
      <c r="S181">
        <f>_xlfn.ISOWEEKNUM(Tabla1[[#This Row],[fecha]])</f>
        <v>26</v>
      </c>
      <c r="T181">
        <v>26</v>
      </c>
    </row>
    <row r="182" spans="1:20" x14ac:dyDescent="0.25">
      <c r="A182" s="1">
        <v>45471</v>
      </c>
      <c r="F182">
        <v>5766</v>
      </c>
      <c r="G182">
        <v>40.840000000000003</v>
      </c>
      <c r="H182">
        <v>35.1</v>
      </c>
      <c r="J182">
        <v>724.04</v>
      </c>
      <c r="K182">
        <v>51.54</v>
      </c>
      <c r="L182">
        <v>26.53</v>
      </c>
      <c r="M182">
        <f>Tabla1[[#This Row],[entrada_litros]]*Tabla1[[#This Row],[entrada_grasa_g_l]]/100</f>
        <v>0</v>
      </c>
      <c r="N182">
        <f>Tabla1[[#This Row],[entrada_prot_g_l]]*Tabla1[[#This Row],[entrada_litros]]/100</f>
        <v>0</v>
      </c>
      <c r="O182">
        <f>Tabla1[[#This Row],[cuba_fab_litros]]*Tabla1[[#This Row],[cuba_fab_grasa_g_l]]</f>
        <v>235483.44000000003</v>
      </c>
      <c r="P182">
        <f>Tabla1[[#This Row],[cuba_fab_litros]]*Tabla1[[#This Row],[cuba_fab_prot_g_l]]/100</f>
        <v>2023.866</v>
      </c>
      <c r="Q182">
        <f>Tabla1[[#This Row],[queso_kg]]*Tabla1[[#This Row],[queso_est_pct]]/100</f>
        <v>373.17021599999998</v>
      </c>
      <c r="R182">
        <f>Tabla1[[#This Row],[queso_kg]]*Tabla1[[#This Row],[queso_mg_pct]]/100</f>
        <v>192.08781200000001</v>
      </c>
      <c r="S182">
        <f>_xlfn.ISOWEEKNUM(Tabla1[[#This Row],[fecha]])</f>
        <v>26</v>
      </c>
      <c r="T182">
        <v>26</v>
      </c>
    </row>
    <row r="183" spans="1:20" x14ac:dyDescent="0.25">
      <c r="A183" s="1">
        <v>45472</v>
      </c>
      <c r="M183">
        <f>Tabla1[[#This Row],[entrada_litros]]*Tabla1[[#This Row],[entrada_grasa_g_l]]/100</f>
        <v>0</v>
      </c>
      <c r="N183">
        <f>Tabla1[[#This Row],[entrada_prot_g_l]]*Tabla1[[#This Row],[entrada_litros]]/100</f>
        <v>0</v>
      </c>
      <c r="O183">
        <f>Tabla1[[#This Row],[cuba_fab_litros]]*Tabla1[[#This Row],[cuba_fab_grasa_g_l]]</f>
        <v>0</v>
      </c>
      <c r="P183">
        <f>Tabla1[[#This Row],[cuba_fab_litros]]*Tabla1[[#This Row],[cuba_fab_prot_g_l]]/100</f>
        <v>0</v>
      </c>
      <c r="Q183">
        <f>Tabla1[[#This Row],[queso_kg]]*Tabla1[[#This Row],[queso_est_pct]]/100</f>
        <v>0</v>
      </c>
      <c r="R183">
        <f>Tabla1[[#This Row],[queso_kg]]*Tabla1[[#This Row],[queso_mg_pct]]/100</f>
        <v>0</v>
      </c>
      <c r="S183">
        <f>_xlfn.ISOWEEKNUM(Tabla1[[#This Row],[fecha]])</f>
        <v>26</v>
      </c>
      <c r="T183">
        <v>26</v>
      </c>
    </row>
    <row r="184" spans="1:20" x14ac:dyDescent="0.25">
      <c r="A184" s="1">
        <v>45473</v>
      </c>
      <c r="B184">
        <v>5623</v>
      </c>
      <c r="C184">
        <v>5459</v>
      </c>
      <c r="D184">
        <v>41.45</v>
      </c>
      <c r="E184">
        <v>37.549999999999997</v>
      </c>
      <c r="I184">
        <v>5459</v>
      </c>
      <c r="M184">
        <f>Tabla1[[#This Row],[entrada_litros]]*Tabla1[[#This Row],[entrada_grasa_g_l]]/100</f>
        <v>2262.7555000000002</v>
      </c>
      <c r="N184">
        <f>Tabla1[[#This Row],[entrada_prot_g_l]]*Tabla1[[#This Row],[entrada_litros]]/100</f>
        <v>2049.8544999999999</v>
      </c>
      <c r="O184">
        <f>Tabla1[[#This Row],[cuba_fab_litros]]*Tabla1[[#This Row],[cuba_fab_grasa_g_l]]</f>
        <v>0</v>
      </c>
      <c r="P184">
        <f>Tabla1[[#This Row],[cuba_fab_litros]]*Tabla1[[#This Row],[cuba_fab_prot_g_l]]/100</f>
        <v>0</v>
      </c>
      <c r="Q184">
        <f>Tabla1[[#This Row],[queso_kg]]*Tabla1[[#This Row],[queso_est_pct]]/100</f>
        <v>0</v>
      </c>
      <c r="R184">
        <f>Tabla1[[#This Row],[queso_kg]]*Tabla1[[#This Row],[queso_mg_pct]]/100</f>
        <v>0</v>
      </c>
      <c r="S184">
        <f>_xlfn.ISOWEEKNUM(Tabla1[[#This Row],[fecha]])</f>
        <v>26</v>
      </c>
      <c r="T184">
        <v>27</v>
      </c>
    </row>
    <row r="185" spans="1:20" x14ac:dyDescent="0.25">
      <c r="A185" s="1">
        <v>45474</v>
      </c>
      <c r="B185">
        <v>5586</v>
      </c>
      <c r="C185">
        <v>5423</v>
      </c>
      <c r="D185">
        <v>44.02</v>
      </c>
      <c r="E185">
        <v>36.47</v>
      </c>
      <c r="F185">
        <v>5032</v>
      </c>
      <c r="G185">
        <v>40.729999999999997</v>
      </c>
      <c r="H185">
        <v>35.39</v>
      </c>
      <c r="I185">
        <v>5882</v>
      </c>
      <c r="J185">
        <v>613.37</v>
      </c>
      <c r="K185">
        <v>52.65</v>
      </c>
      <c r="L185">
        <v>26.74</v>
      </c>
      <c r="M185">
        <f>Tabla1[[#This Row],[entrada_litros]]*Tabla1[[#This Row],[entrada_grasa_g_l]]/100</f>
        <v>2387.2046</v>
      </c>
      <c r="N185">
        <f>Tabla1[[#This Row],[entrada_prot_g_l]]*Tabla1[[#This Row],[entrada_litros]]/100</f>
        <v>1977.7681</v>
      </c>
      <c r="O185">
        <f>Tabla1[[#This Row],[cuba_fab_litros]]*Tabla1[[#This Row],[cuba_fab_grasa_g_l]]</f>
        <v>204953.36</v>
      </c>
      <c r="P185">
        <f>Tabla1[[#This Row],[cuba_fab_litros]]*Tabla1[[#This Row],[cuba_fab_prot_g_l]]/100</f>
        <v>1780.8248000000001</v>
      </c>
      <c r="Q185">
        <f>Tabla1[[#This Row],[queso_kg]]*Tabla1[[#This Row],[queso_est_pct]]/100</f>
        <v>322.93930499999999</v>
      </c>
      <c r="R185">
        <f>Tabla1[[#This Row],[queso_kg]]*Tabla1[[#This Row],[queso_mg_pct]]/100</f>
        <v>164.01513800000001</v>
      </c>
      <c r="S185">
        <f>_xlfn.ISOWEEKNUM(Tabla1[[#This Row],[fecha]])</f>
        <v>27</v>
      </c>
      <c r="T185">
        <v>27</v>
      </c>
    </row>
    <row r="186" spans="1:20" x14ac:dyDescent="0.25">
      <c r="A186" s="1">
        <v>45475</v>
      </c>
      <c r="B186">
        <v>5323</v>
      </c>
      <c r="C186">
        <v>5168</v>
      </c>
      <c r="D186">
        <v>43.53</v>
      </c>
      <c r="E186">
        <v>35.14</v>
      </c>
      <c r="F186">
        <v>5031</v>
      </c>
      <c r="G186">
        <v>41.11</v>
      </c>
      <c r="H186">
        <v>33.97</v>
      </c>
      <c r="I186">
        <v>6050</v>
      </c>
      <c r="J186">
        <v>600.16</v>
      </c>
      <c r="K186">
        <v>54.67</v>
      </c>
      <c r="L186">
        <v>28.59</v>
      </c>
      <c r="M186">
        <f>Tabla1[[#This Row],[entrada_litros]]*Tabla1[[#This Row],[entrada_grasa_g_l]]/100</f>
        <v>2249.6304</v>
      </c>
      <c r="N186">
        <f>Tabla1[[#This Row],[entrada_prot_g_l]]*Tabla1[[#This Row],[entrada_litros]]/100</f>
        <v>1816.0351999999998</v>
      </c>
      <c r="O186">
        <f>Tabla1[[#This Row],[cuba_fab_litros]]*Tabla1[[#This Row],[cuba_fab_grasa_g_l]]</f>
        <v>206824.41</v>
      </c>
      <c r="P186">
        <f>Tabla1[[#This Row],[cuba_fab_litros]]*Tabla1[[#This Row],[cuba_fab_prot_g_l]]/100</f>
        <v>1709.0307</v>
      </c>
      <c r="Q186">
        <f>Tabla1[[#This Row],[queso_kg]]*Tabla1[[#This Row],[queso_est_pct]]/100</f>
        <v>328.10747199999997</v>
      </c>
      <c r="R186">
        <f>Tabla1[[#This Row],[queso_kg]]*Tabla1[[#This Row],[queso_mg_pct]]/100</f>
        <v>171.58574399999998</v>
      </c>
      <c r="S186">
        <f>_xlfn.ISOWEEKNUM(Tabla1[[#This Row],[fecha]])</f>
        <v>27</v>
      </c>
      <c r="T186">
        <v>27</v>
      </c>
    </row>
    <row r="187" spans="1:20" x14ac:dyDescent="0.25">
      <c r="A187" s="1">
        <v>45476</v>
      </c>
      <c r="B187">
        <v>5103</v>
      </c>
      <c r="C187">
        <v>4954</v>
      </c>
      <c r="D187">
        <v>42.86</v>
      </c>
      <c r="E187">
        <v>34.26</v>
      </c>
      <c r="F187">
        <v>5024</v>
      </c>
      <c r="G187">
        <v>40.619999999999997</v>
      </c>
      <c r="H187">
        <v>33.85</v>
      </c>
      <c r="I187">
        <v>6004</v>
      </c>
      <c r="J187">
        <v>622.01</v>
      </c>
      <c r="K187">
        <v>52.97</v>
      </c>
      <c r="L187">
        <v>27.21</v>
      </c>
      <c r="M187">
        <f>Tabla1[[#This Row],[entrada_litros]]*Tabla1[[#This Row],[entrada_grasa_g_l]]/100</f>
        <v>2123.2844</v>
      </c>
      <c r="N187">
        <f>Tabla1[[#This Row],[entrada_prot_g_l]]*Tabla1[[#This Row],[entrada_litros]]/100</f>
        <v>1697.2403999999997</v>
      </c>
      <c r="O187">
        <f>Tabla1[[#This Row],[cuba_fab_litros]]*Tabla1[[#This Row],[cuba_fab_grasa_g_l]]</f>
        <v>204074.87999999998</v>
      </c>
      <c r="P187">
        <f>Tabla1[[#This Row],[cuba_fab_litros]]*Tabla1[[#This Row],[cuba_fab_prot_g_l]]/100</f>
        <v>1700.624</v>
      </c>
      <c r="Q187">
        <f>Tabla1[[#This Row],[queso_kg]]*Tabla1[[#This Row],[queso_est_pct]]/100</f>
        <v>329.47869699999995</v>
      </c>
      <c r="R187">
        <f>Tabla1[[#This Row],[queso_kg]]*Tabla1[[#This Row],[queso_mg_pct]]/100</f>
        <v>169.248921</v>
      </c>
      <c r="S187">
        <f>_xlfn.ISOWEEKNUM(Tabla1[[#This Row],[fecha]])</f>
        <v>27</v>
      </c>
      <c r="T187">
        <v>27</v>
      </c>
    </row>
    <row r="188" spans="1:20" x14ac:dyDescent="0.25">
      <c r="A188" s="1">
        <v>45477</v>
      </c>
      <c r="B188">
        <v>5478</v>
      </c>
      <c r="C188">
        <v>5318</v>
      </c>
      <c r="D188">
        <v>42.46</v>
      </c>
      <c r="E188">
        <v>37.549999999999997</v>
      </c>
      <c r="F188">
        <v>5025</v>
      </c>
      <c r="G188">
        <v>40.96</v>
      </c>
      <c r="H188">
        <v>34.69</v>
      </c>
      <c r="I188">
        <v>6322</v>
      </c>
      <c r="J188">
        <v>609.09</v>
      </c>
      <c r="K188">
        <v>53.44</v>
      </c>
      <c r="L188">
        <v>27.52</v>
      </c>
      <c r="M188">
        <f>Tabla1[[#This Row],[entrada_litros]]*Tabla1[[#This Row],[entrada_grasa_g_l]]/100</f>
        <v>2258.0228000000002</v>
      </c>
      <c r="N188">
        <f>Tabla1[[#This Row],[entrada_prot_g_l]]*Tabla1[[#This Row],[entrada_litros]]/100</f>
        <v>1996.9089999999999</v>
      </c>
      <c r="O188">
        <f>Tabla1[[#This Row],[cuba_fab_litros]]*Tabla1[[#This Row],[cuba_fab_grasa_g_l]]</f>
        <v>205824</v>
      </c>
      <c r="P188">
        <f>Tabla1[[#This Row],[cuba_fab_litros]]*Tabla1[[#This Row],[cuba_fab_prot_g_l]]/100</f>
        <v>1743.1724999999999</v>
      </c>
      <c r="Q188">
        <f>Tabla1[[#This Row],[queso_kg]]*Tabla1[[#This Row],[queso_est_pct]]/100</f>
        <v>325.49769600000002</v>
      </c>
      <c r="R188">
        <f>Tabla1[[#This Row],[queso_kg]]*Tabla1[[#This Row],[queso_mg_pct]]/100</f>
        <v>167.621568</v>
      </c>
      <c r="S188">
        <f>_xlfn.ISOWEEKNUM(Tabla1[[#This Row],[fecha]])</f>
        <v>27</v>
      </c>
      <c r="T188">
        <v>27</v>
      </c>
    </row>
    <row r="189" spans="1:20" x14ac:dyDescent="0.25">
      <c r="A189" s="1">
        <v>45478</v>
      </c>
      <c r="F189">
        <v>6338</v>
      </c>
      <c r="G189">
        <v>41</v>
      </c>
      <c r="H189">
        <v>34.61</v>
      </c>
      <c r="J189">
        <v>837.85</v>
      </c>
      <c r="K189">
        <v>49.26</v>
      </c>
      <c r="L189">
        <v>25.97</v>
      </c>
      <c r="M189">
        <f>Tabla1[[#This Row],[entrada_litros]]*Tabla1[[#This Row],[entrada_grasa_g_l]]/100</f>
        <v>0</v>
      </c>
      <c r="N189">
        <f>Tabla1[[#This Row],[entrada_prot_g_l]]*Tabla1[[#This Row],[entrada_litros]]/100</f>
        <v>0</v>
      </c>
      <c r="O189">
        <f>Tabla1[[#This Row],[cuba_fab_litros]]*Tabla1[[#This Row],[cuba_fab_grasa_g_l]]</f>
        <v>259858</v>
      </c>
      <c r="P189">
        <f>Tabla1[[#This Row],[cuba_fab_litros]]*Tabla1[[#This Row],[cuba_fab_prot_g_l]]/100</f>
        <v>2193.5817999999999</v>
      </c>
      <c r="Q189">
        <f>Tabla1[[#This Row],[queso_kg]]*Tabla1[[#This Row],[queso_est_pct]]/100</f>
        <v>412.72491000000002</v>
      </c>
      <c r="R189">
        <f>Tabla1[[#This Row],[queso_kg]]*Tabla1[[#This Row],[queso_mg_pct]]/100</f>
        <v>217.58964499999999</v>
      </c>
      <c r="S189">
        <f>_xlfn.ISOWEEKNUM(Tabla1[[#This Row],[fecha]])</f>
        <v>27</v>
      </c>
      <c r="T189">
        <v>27</v>
      </c>
    </row>
    <row r="190" spans="1:20" x14ac:dyDescent="0.25">
      <c r="A190" s="1">
        <v>45479</v>
      </c>
      <c r="M190">
        <f>Tabla1[[#This Row],[entrada_litros]]*Tabla1[[#This Row],[entrada_grasa_g_l]]/100</f>
        <v>0</v>
      </c>
      <c r="N190">
        <f>Tabla1[[#This Row],[entrada_prot_g_l]]*Tabla1[[#This Row],[entrada_litros]]/100</f>
        <v>0</v>
      </c>
      <c r="O190">
        <f>Tabla1[[#This Row],[cuba_fab_litros]]*Tabla1[[#This Row],[cuba_fab_grasa_g_l]]</f>
        <v>0</v>
      </c>
      <c r="P190">
        <f>Tabla1[[#This Row],[cuba_fab_litros]]*Tabla1[[#This Row],[cuba_fab_prot_g_l]]/100</f>
        <v>0</v>
      </c>
      <c r="Q190">
        <f>Tabla1[[#This Row],[queso_kg]]*Tabla1[[#This Row],[queso_est_pct]]/100</f>
        <v>0</v>
      </c>
      <c r="R190">
        <f>Tabla1[[#This Row],[queso_kg]]*Tabla1[[#This Row],[queso_mg_pct]]/100</f>
        <v>0</v>
      </c>
      <c r="S190">
        <f>_xlfn.ISOWEEKNUM(Tabla1[[#This Row],[fecha]])</f>
        <v>27</v>
      </c>
      <c r="T190">
        <v>27</v>
      </c>
    </row>
    <row r="191" spans="1:20" x14ac:dyDescent="0.25">
      <c r="A191" s="1">
        <v>45480</v>
      </c>
      <c r="B191">
        <v>5246</v>
      </c>
      <c r="C191">
        <v>5093</v>
      </c>
      <c r="D191">
        <v>43.05</v>
      </c>
      <c r="E191">
        <v>35.33</v>
      </c>
      <c r="I191">
        <v>5093</v>
      </c>
      <c r="M191">
        <f>Tabla1[[#This Row],[entrada_litros]]*Tabla1[[#This Row],[entrada_grasa_g_l]]/100</f>
        <v>2192.5365000000002</v>
      </c>
      <c r="N191">
        <f>Tabla1[[#This Row],[entrada_prot_g_l]]*Tabla1[[#This Row],[entrada_litros]]/100</f>
        <v>1799.3569</v>
      </c>
      <c r="O191">
        <f>Tabla1[[#This Row],[cuba_fab_litros]]*Tabla1[[#This Row],[cuba_fab_grasa_g_l]]</f>
        <v>0</v>
      </c>
      <c r="P191">
        <f>Tabla1[[#This Row],[cuba_fab_litros]]*Tabla1[[#This Row],[cuba_fab_prot_g_l]]/100</f>
        <v>0</v>
      </c>
      <c r="Q191">
        <f>Tabla1[[#This Row],[queso_kg]]*Tabla1[[#This Row],[queso_est_pct]]/100</f>
        <v>0</v>
      </c>
      <c r="R191">
        <f>Tabla1[[#This Row],[queso_kg]]*Tabla1[[#This Row],[queso_mg_pct]]/100</f>
        <v>0</v>
      </c>
      <c r="S191">
        <f>_xlfn.ISOWEEKNUM(Tabla1[[#This Row],[fecha]])</f>
        <v>27</v>
      </c>
      <c r="T191">
        <v>28</v>
      </c>
    </row>
    <row r="192" spans="1:20" x14ac:dyDescent="0.25">
      <c r="A192" s="1">
        <v>45481</v>
      </c>
      <c r="B192">
        <v>5403</v>
      </c>
      <c r="C192">
        <v>5246</v>
      </c>
      <c r="D192">
        <v>41.4</v>
      </c>
      <c r="E192">
        <v>34.32</v>
      </c>
      <c r="F192">
        <v>5030</v>
      </c>
      <c r="G192">
        <v>40.08</v>
      </c>
      <c r="H192">
        <v>33.32</v>
      </c>
      <c r="I192">
        <v>5339</v>
      </c>
      <c r="J192">
        <v>609.16</v>
      </c>
      <c r="K192">
        <v>53.39</v>
      </c>
      <c r="L192">
        <v>27.15</v>
      </c>
      <c r="M192">
        <f>Tabla1[[#This Row],[entrada_litros]]*Tabla1[[#This Row],[entrada_grasa_g_l]]/100</f>
        <v>2171.8440000000001</v>
      </c>
      <c r="N192">
        <f>Tabla1[[#This Row],[entrada_prot_g_l]]*Tabla1[[#This Row],[entrada_litros]]/100</f>
        <v>1800.4272000000001</v>
      </c>
      <c r="O192">
        <f>Tabla1[[#This Row],[cuba_fab_litros]]*Tabla1[[#This Row],[cuba_fab_grasa_g_l]]</f>
        <v>201602.4</v>
      </c>
      <c r="P192">
        <f>Tabla1[[#This Row],[cuba_fab_litros]]*Tabla1[[#This Row],[cuba_fab_prot_g_l]]/100</f>
        <v>1675.9960000000001</v>
      </c>
      <c r="Q192">
        <f>Tabla1[[#This Row],[queso_kg]]*Tabla1[[#This Row],[queso_est_pct]]/100</f>
        <v>325.23052399999995</v>
      </c>
      <c r="R192">
        <f>Tabla1[[#This Row],[queso_kg]]*Tabla1[[#This Row],[queso_mg_pct]]/100</f>
        <v>165.38693999999998</v>
      </c>
      <c r="S192">
        <f>_xlfn.ISOWEEKNUM(Tabla1[[#This Row],[fecha]])</f>
        <v>28</v>
      </c>
      <c r="T192">
        <v>28</v>
      </c>
    </row>
    <row r="193" spans="1:20" x14ac:dyDescent="0.25">
      <c r="A193" s="1">
        <v>45482</v>
      </c>
      <c r="B193">
        <v>5335</v>
      </c>
      <c r="C193">
        <v>5180</v>
      </c>
      <c r="D193">
        <v>44.35</v>
      </c>
      <c r="E193">
        <v>36.93</v>
      </c>
      <c r="F193">
        <v>5025</v>
      </c>
      <c r="G193">
        <v>41.29</v>
      </c>
      <c r="H193">
        <v>34.340000000000003</v>
      </c>
      <c r="I193">
        <v>5519</v>
      </c>
      <c r="J193">
        <v>605.12</v>
      </c>
      <c r="K193">
        <v>53.2</v>
      </c>
      <c r="L193">
        <v>27.51</v>
      </c>
      <c r="M193">
        <f>Tabla1[[#This Row],[entrada_litros]]*Tabla1[[#This Row],[entrada_grasa_g_l]]/100</f>
        <v>2297.33</v>
      </c>
      <c r="N193">
        <f>Tabla1[[#This Row],[entrada_prot_g_l]]*Tabla1[[#This Row],[entrada_litros]]/100</f>
        <v>1912.9739999999999</v>
      </c>
      <c r="O193">
        <f>Tabla1[[#This Row],[cuba_fab_litros]]*Tabla1[[#This Row],[cuba_fab_grasa_g_l]]</f>
        <v>207482.25</v>
      </c>
      <c r="P193">
        <f>Tabla1[[#This Row],[cuba_fab_litros]]*Tabla1[[#This Row],[cuba_fab_prot_g_l]]/100</f>
        <v>1725.5850000000003</v>
      </c>
      <c r="Q193">
        <f>Tabla1[[#This Row],[queso_kg]]*Tabla1[[#This Row],[queso_est_pct]]/100</f>
        <v>321.92384000000004</v>
      </c>
      <c r="R193">
        <f>Tabla1[[#This Row],[queso_kg]]*Tabla1[[#This Row],[queso_mg_pct]]/100</f>
        <v>166.468512</v>
      </c>
      <c r="S193">
        <f>_xlfn.ISOWEEKNUM(Tabla1[[#This Row],[fecha]])</f>
        <v>28</v>
      </c>
      <c r="T193">
        <v>28</v>
      </c>
    </row>
    <row r="194" spans="1:20" x14ac:dyDescent="0.25">
      <c r="A194" s="1">
        <v>45483</v>
      </c>
      <c r="B194">
        <v>5102</v>
      </c>
      <c r="C194">
        <v>4953</v>
      </c>
      <c r="D194">
        <v>43.76</v>
      </c>
      <c r="E194">
        <v>35.22</v>
      </c>
      <c r="F194">
        <v>5014</v>
      </c>
      <c r="G194">
        <v>41.6</v>
      </c>
      <c r="H194">
        <v>34.22</v>
      </c>
      <c r="I194">
        <v>5472</v>
      </c>
      <c r="J194">
        <v>617.05999999999995</v>
      </c>
      <c r="K194">
        <v>52.92</v>
      </c>
      <c r="L194">
        <v>26.24</v>
      </c>
      <c r="M194">
        <f>Tabla1[[#This Row],[entrada_litros]]*Tabla1[[#This Row],[entrada_grasa_g_l]]/100</f>
        <v>2167.4328</v>
      </c>
      <c r="N194">
        <f>Tabla1[[#This Row],[entrada_prot_g_l]]*Tabla1[[#This Row],[entrada_litros]]/100</f>
        <v>1744.4466</v>
      </c>
      <c r="O194">
        <f>Tabla1[[#This Row],[cuba_fab_litros]]*Tabla1[[#This Row],[cuba_fab_grasa_g_l]]</f>
        <v>208582.39999999999</v>
      </c>
      <c r="P194">
        <f>Tabla1[[#This Row],[cuba_fab_litros]]*Tabla1[[#This Row],[cuba_fab_prot_g_l]]/100</f>
        <v>1715.7907999999998</v>
      </c>
      <c r="Q194">
        <f>Tabla1[[#This Row],[queso_kg]]*Tabla1[[#This Row],[queso_est_pct]]/100</f>
        <v>326.54815199999996</v>
      </c>
      <c r="R194">
        <f>Tabla1[[#This Row],[queso_kg]]*Tabla1[[#This Row],[queso_mg_pct]]/100</f>
        <v>161.91654399999999</v>
      </c>
      <c r="S194">
        <f>_xlfn.ISOWEEKNUM(Tabla1[[#This Row],[fecha]])</f>
        <v>28</v>
      </c>
      <c r="T194">
        <v>28</v>
      </c>
    </row>
    <row r="195" spans="1:20" x14ac:dyDescent="0.25">
      <c r="A195" s="1">
        <v>45484</v>
      </c>
      <c r="B195">
        <v>5101</v>
      </c>
      <c r="C195">
        <v>4952</v>
      </c>
      <c r="D195">
        <v>42.48</v>
      </c>
      <c r="E195">
        <v>34.520000000000003</v>
      </c>
      <c r="F195">
        <v>5025</v>
      </c>
      <c r="G195">
        <v>40.99</v>
      </c>
      <c r="H195">
        <v>33.61</v>
      </c>
      <c r="I195">
        <v>5424</v>
      </c>
      <c r="J195">
        <v>643.24</v>
      </c>
      <c r="K195">
        <v>50.76</v>
      </c>
      <c r="L195">
        <v>25.92</v>
      </c>
      <c r="M195">
        <f>Tabla1[[#This Row],[entrada_litros]]*Tabla1[[#This Row],[entrada_grasa_g_l]]/100</f>
        <v>2103.6095999999998</v>
      </c>
      <c r="N195">
        <f>Tabla1[[#This Row],[entrada_prot_g_l]]*Tabla1[[#This Row],[entrada_litros]]/100</f>
        <v>1709.4304000000002</v>
      </c>
      <c r="O195">
        <f>Tabla1[[#This Row],[cuba_fab_litros]]*Tabla1[[#This Row],[cuba_fab_grasa_g_l]]</f>
        <v>205974.75</v>
      </c>
      <c r="P195">
        <f>Tabla1[[#This Row],[cuba_fab_litros]]*Tabla1[[#This Row],[cuba_fab_prot_g_l]]/100</f>
        <v>1688.9024999999999</v>
      </c>
      <c r="Q195">
        <f>Tabla1[[#This Row],[queso_kg]]*Tabla1[[#This Row],[queso_est_pct]]/100</f>
        <v>326.508624</v>
      </c>
      <c r="R195">
        <f>Tabla1[[#This Row],[queso_kg]]*Tabla1[[#This Row],[queso_mg_pct]]/100</f>
        <v>166.72780800000001</v>
      </c>
      <c r="S195">
        <f>_xlfn.ISOWEEKNUM(Tabla1[[#This Row],[fecha]])</f>
        <v>28</v>
      </c>
      <c r="T195">
        <v>28</v>
      </c>
    </row>
    <row r="196" spans="1:20" x14ac:dyDescent="0.25">
      <c r="A196" s="1">
        <v>45485</v>
      </c>
      <c r="F196">
        <v>5452</v>
      </c>
      <c r="G196">
        <v>41.17</v>
      </c>
      <c r="H196">
        <v>33.97</v>
      </c>
      <c r="J196">
        <v>696.12</v>
      </c>
      <c r="K196">
        <v>50.89</v>
      </c>
      <c r="L196">
        <v>26.25</v>
      </c>
      <c r="M196">
        <f>Tabla1[[#This Row],[entrada_litros]]*Tabla1[[#This Row],[entrada_grasa_g_l]]/100</f>
        <v>0</v>
      </c>
      <c r="N196">
        <f>Tabla1[[#This Row],[entrada_prot_g_l]]*Tabla1[[#This Row],[entrada_litros]]/100</f>
        <v>0</v>
      </c>
      <c r="O196">
        <f>Tabla1[[#This Row],[cuba_fab_litros]]*Tabla1[[#This Row],[cuba_fab_grasa_g_l]]</f>
        <v>224458.84</v>
      </c>
      <c r="P196">
        <f>Tabla1[[#This Row],[cuba_fab_litros]]*Tabla1[[#This Row],[cuba_fab_prot_g_l]]/100</f>
        <v>1852.0444</v>
      </c>
      <c r="Q196">
        <f>Tabla1[[#This Row],[queso_kg]]*Tabla1[[#This Row],[queso_est_pct]]/100</f>
        <v>354.25546800000006</v>
      </c>
      <c r="R196">
        <f>Tabla1[[#This Row],[queso_kg]]*Tabla1[[#This Row],[queso_mg_pct]]/100</f>
        <v>182.73150000000001</v>
      </c>
      <c r="S196">
        <f>_xlfn.ISOWEEKNUM(Tabla1[[#This Row],[fecha]])</f>
        <v>28</v>
      </c>
      <c r="T196">
        <v>28</v>
      </c>
    </row>
    <row r="197" spans="1:20" x14ac:dyDescent="0.25">
      <c r="A197" s="1">
        <v>45486</v>
      </c>
      <c r="M197">
        <f>Tabla1[[#This Row],[entrada_litros]]*Tabla1[[#This Row],[entrada_grasa_g_l]]/100</f>
        <v>0</v>
      </c>
      <c r="N197">
        <f>Tabla1[[#This Row],[entrada_prot_g_l]]*Tabla1[[#This Row],[entrada_litros]]/100</f>
        <v>0</v>
      </c>
      <c r="O197">
        <f>Tabla1[[#This Row],[cuba_fab_litros]]*Tabla1[[#This Row],[cuba_fab_grasa_g_l]]</f>
        <v>0</v>
      </c>
      <c r="P197">
        <f>Tabla1[[#This Row],[cuba_fab_litros]]*Tabla1[[#This Row],[cuba_fab_prot_g_l]]/100</f>
        <v>0</v>
      </c>
      <c r="Q197">
        <f>Tabla1[[#This Row],[queso_kg]]*Tabla1[[#This Row],[queso_est_pct]]/100</f>
        <v>0</v>
      </c>
      <c r="R197">
        <f>Tabla1[[#This Row],[queso_kg]]*Tabla1[[#This Row],[queso_mg_pct]]/100</f>
        <v>0</v>
      </c>
      <c r="S197">
        <f>_xlfn.ISOWEEKNUM(Tabla1[[#This Row],[fecha]])</f>
        <v>28</v>
      </c>
      <c r="T197">
        <v>28</v>
      </c>
    </row>
    <row r="198" spans="1:20" x14ac:dyDescent="0.25">
      <c r="A198" s="1">
        <v>45487</v>
      </c>
      <c r="B198">
        <v>5083</v>
      </c>
      <c r="C198">
        <v>4935</v>
      </c>
      <c r="D198">
        <v>39.56</v>
      </c>
      <c r="E198">
        <v>34.67</v>
      </c>
      <c r="I198">
        <v>4935</v>
      </c>
      <c r="M198">
        <f>Tabla1[[#This Row],[entrada_litros]]*Tabla1[[#This Row],[entrada_grasa_g_l]]/100</f>
        <v>1952.2860000000001</v>
      </c>
      <c r="N198">
        <f>Tabla1[[#This Row],[entrada_prot_g_l]]*Tabla1[[#This Row],[entrada_litros]]/100</f>
        <v>1710.9645</v>
      </c>
      <c r="O198">
        <f>Tabla1[[#This Row],[cuba_fab_litros]]*Tabla1[[#This Row],[cuba_fab_grasa_g_l]]</f>
        <v>0</v>
      </c>
      <c r="P198">
        <f>Tabla1[[#This Row],[cuba_fab_litros]]*Tabla1[[#This Row],[cuba_fab_prot_g_l]]/100</f>
        <v>0</v>
      </c>
      <c r="Q198">
        <f>Tabla1[[#This Row],[queso_kg]]*Tabla1[[#This Row],[queso_est_pct]]/100</f>
        <v>0</v>
      </c>
      <c r="R198">
        <f>Tabla1[[#This Row],[queso_kg]]*Tabla1[[#This Row],[queso_mg_pct]]/100</f>
        <v>0</v>
      </c>
      <c r="S198">
        <f>_xlfn.ISOWEEKNUM(Tabla1[[#This Row],[fecha]])</f>
        <v>28</v>
      </c>
      <c r="T198">
        <v>29</v>
      </c>
    </row>
    <row r="199" spans="1:20" x14ac:dyDescent="0.25">
      <c r="A199" s="1">
        <v>45488</v>
      </c>
      <c r="B199">
        <v>5529</v>
      </c>
      <c r="C199">
        <v>5368</v>
      </c>
      <c r="D199">
        <v>43.65</v>
      </c>
      <c r="E199">
        <v>36.31</v>
      </c>
      <c r="F199">
        <v>5024</v>
      </c>
      <c r="G199">
        <v>39.99</v>
      </c>
      <c r="H199">
        <v>34.04</v>
      </c>
      <c r="I199">
        <v>5303</v>
      </c>
      <c r="J199">
        <v>623.27</v>
      </c>
      <c r="K199">
        <v>51.63</v>
      </c>
      <c r="L199">
        <v>26.56</v>
      </c>
      <c r="M199">
        <f>Tabla1[[#This Row],[entrada_litros]]*Tabla1[[#This Row],[entrada_grasa_g_l]]/100</f>
        <v>2343.1319999999996</v>
      </c>
      <c r="N199">
        <f>Tabla1[[#This Row],[entrada_prot_g_l]]*Tabla1[[#This Row],[entrada_litros]]/100</f>
        <v>1949.1208000000001</v>
      </c>
      <c r="O199">
        <f>Tabla1[[#This Row],[cuba_fab_litros]]*Tabla1[[#This Row],[cuba_fab_grasa_g_l]]</f>
        <v>200909.76</v>
      </c>
      <c r="P199">
        <f>Tabla1[[#This Row],[cuba_fab_litros]]*Tabla1[[#This Row],[cuba_fab_prot_g_l]]/100</f>
        <v>1710.1695999999999</v>
      </c>
      <c r="Q199">
        <f>Tabla1[[#This Row],[queso_kg]]*Tabla1[[#This Row],[queso_est_pct]]/100</f>
        <v>321.79430100000002</v>
      </c>
      <c r="R199">
        <f>Tabla1[[#This Row],[queso_kg]]*Tabla1[[#This Row],[queso_mg_pct]]/100</f>
        <v>165.54051199999998</v>
      </c>
      <c r="S199">
        <f>_xlfn.ISOWEEKNUM(Tabla1[[#This Row],[fecha]])</f>
        <v>29</v>
      </c>
      <c r="T199">
        <v>29</v>
      </c>
    </row>
    <row r="200" spans="1:20" x14ac:dyDescent="0.25">
      <c r="A200" s="1">
        <v>45489</v>
      </c>
      <c r="B200">
        <v>5039</v>
      </c>
      <c r="C200">
        <v>4892</v>
      </c>
      <c r="D200">
        <v>43.19</v>
      </c>
      <c r="E200">
        <v>35.68</v>
      </c>
      <c r="F200">
        <v>5025</v>
      </c>
      <c r="G200">
        <v>40.54</v>
      </c>
      <c r="H200">
        <v>33.82</v>
      </c>
      <c r="I200">
        <v>5195</v>
      </c>
      <c r="J200">
        <v>611.35</v>
      </c>
      <c r="K200">
        <v>52.54</v>
      </c>
      <c r="L200">
        <v>26.66</v>
      </c>
      <c r="M200">
        <f>Tabla1[[#This Row],[entrada_litros]]*Tabla1[[#This Row],[entrada_grasa_g_l]]/100</f>
        <v>2112.8547999999996</v>
      </c>
      <c r="N200">
        <f>Tabla1[[#This Row],[entrada_prot_g_l]]*Tabla1[[#This Row],[entrada_litros]]/100</f>
        <v>1745.4656</v>
      </c>
      <c r="O200">
        <f>Tabla1[[#This Row],[cuba_fab_litros]]*Tabla1[[#This Row],[cuba_fab_grasa_g_l]]</f>
        <v>203713.5</v>
      </c>
      <c r="P200">
        <f>Tabla1[[#This Row],[cuba_fab_litros]]*Tabla1[[#This Row],[cuba_fab_prot_g_l]]/100</f>
        <v>1699.4549999999999</v>
      </c>
      <c r="Q200">
        <f>Tabla1[[#This Row],[queso_kg]]*Tabla1[[#This Row],[queso_est_pct]]/100</f>
        <v>321.20329000000004</v>
      </c>
      <c r="R200">
        <f>Tabla1[[#This Row],[queso_kg]]*Tabla1[[#This Row],[queso_mg_pct]]/100</f>
        <v>162.98590999999999</v>
      </c>
      <c r="S200">
        <f>_xlfn.ISOWEEKNUM(Tabla1[[#This Row],[fecha]])</f>
        <v>29</v>
      </c>
      <c r="T200">
        <v>29</v>
      </c>
    </row>
    <row r="201" spans="1:20" x14ac:dyDescent="0.25">
      <c r="A201" s="1">
        <v>45490</v>
      </c>
      <c r="B201">
        <v>5711</v>
      </c>
      <c r="C201">
        <v>5545</v>
      </c>
      <c r="D201">
        <v>43.05</v>
      </c>
      <c r="E201">
        <v>34.450000000000003</v>
      </c>
      <c r="F201">
        <v>5019</v>
      </c>
      <c r="G201">
        <v>40.69</v>
      </c>
      <c r="H201">
        <v>33.479999999999997</v>
      </c>
      <c r="I201">
        <v>5740</v>
      </c>
      <c r="J201">
        <v>634.48</v>
      </c>
      <c r="K201">
        <v>51.76</v>
      </c>
      <c r="L201">
        <v>25.75</v>
      </c>
      <c r="M201">
        <f>Tabla1[[#This Row],[entrada_litros]]*Tabla1[[#This Row],[entrada_grasa_g_l]]/100</f>
        <v>2387.1224999999995</v>
      </c>
      <c r="N201">
        <f>Tabla1[[#This Row],[entrada_prot_g_l]]*Tabla1[[#This Row],[entrada_litros]]/100</f>
        <v>1910.2525000000003</v>
      </c>
      <c r="O201">
        <f>Tabla1[[#This Row],[cuba_fab_litros]]*Tabla1[[#This Row],[cuba_fab_grasa_g_l]]</f>
        <v>204223.11</v>
      </c>
      <c r="P201">
        <f>Tabla1[[#This Row],[cuba_fab_litros]]*Tabla1[[#This Row],[cuba_fab_prot_g_l]]/100</f>
        <v>1680.3612000000001</v>
      </c>
      <c r="Q201">
        <f>Tabla1[[#This Row],[queso_kg]]*Tabla1[[#This Row],[queso_est_pct]]/100</f>
        <v>328.40684800000002</v>
      </c>
      <c r="R201">
        <f>Tabla1[[#This Row],[queso_kg]]*Tabla1[[#This Row],[queso_mg_pct]]/100</f>
        <v>163.37860000000001</v>
      </c>
      <c r="S201">
        <f>_xlfn.ISOWEEKNUM(Tabla1[[#This Row],[fecha]])</f>
        <v>29</v>
      </c>
      <c r="T201">
        <v>29</v>
      </c>
    </row>
    <row r="202" spans="1:20" x14ac:dyDescent="0.25">
      <c r="A202" s="1">
        <v>45491</v>
      </c>
      <c r="B202">
        <v>5415</v>
      </c>
      <c r="C202">
        <v>5257</v>
      </c>
      <c r="D202">
        <v>42.06</v>
      </c>
      <c r="E202">
        <v>36.4</v>
      </c>
      <c r="F202">
        <v>5026</v>
      </c>
      <c r="G202">
        <v>40.56</v>
      </c>
      <c r="H202">
        <v>34.200000000000003</v>
      </c>
      <c r="I202">
        <v>5997</v>
      </c>
      <c r="J202">
        <v>639.69000000000005</v>
      </c>
      <c r="K202">
        <v>51.01</v>
      </c>
      <c r="L202">
        <v>26.58</v>
      </c>
      <c r="M202">
        <f>Tabla1[[#This Row],[entrada_litros]]*Tabla1[[#This Row],[entrada_grasa_g_l]]/100</f>
        <v>2211.0942</v>
      </c>
      <c r="N202">
        <f>Tabla1[[#This Row],[entrada_prot_g_l]]*Tabla1[[#This Row],[entrada_litros]]/100</f>
        <v>1913.5479999999998</v>
      </c>
      <c r="O202">
        <f>Tabla1[[#This Row],[cuba_fab_litros]]*Tabla1[[#This Row],[cuba_fab_grasa_g_l]]</f>
        <v>203854.56</v>
      </c>
      <c r="P202">
        <f>Tabla1[[#This Row],[cuba_fab_litros]]*Tabla1[[#This Row],[cuba_fab_prot_g_l]]/100</f>
        <v>1718.8920000000001</v>
      </c>
      <c r="Q202">
        <f>Tabla1[[#This Row],[queso_kg]]*Tabla1[[#This Row],[queso_est_pct]]/100</f>
        <v>326.30586900000003</v>
      </c>
      <c r="R202">
        <f>Tabla1[[#This Row],[queso_kg]]*Tabla1[[#This Row],[queso_mg_pct]]/100</f>
        <v>170.02960200000001</v>
      </c>
      <c r="S202">
        <f>_xlfn.ISOWEEKNUM(Tabla1[[#This Row],[fecha]])</f>
        <v>29</v>
      </c>
      <c r="T202">
        <v>29</v>
      </c>
    </row>
    <row r="203" spans="1:20" x14ac:dyDescent="0.25">
      <c r="A203" s="1">
        <v>45492</v>
      </c>
      <c r="F203">
        <v>6026</v>
      </c>
      <c r="G203">
        <v>40.67</v>
      </c>
      <c r="H203">
        <v>34.299999999999997</v>
      </c>
      <c r="J203">
        <v>751.54</v>
      </c>
      <c r="K203">
        <v>52.15</v>
      </c>
      <c r="L203">
        <v>27.24</v>
      </c>
      <c r="M203">
        <f>Tabla1[[#This Row],[entrada_litros]]*Tabla1[[#This Row],[entrada_grasa_g_l]]/100</f>
        <v>0</v>
      </c>
      <c r="N203">
        <f>Tabla1[[#This Row],[entrada_prot_g_l]]*Tabla1[[#This Row],[entrada_litros]]/100</f>
        <v>0</v>
      </c>
      <c r="O203">
        <f>Tabla1[[#This Row],[cuba_fab_litros]]*Tabla1[[#This Row],[cuba_fab_grasa_g_l]]</f>
        <v>245077.42</v>
      </c>
      <c r="P203">
        <f>Tabla1[[#This Row],[cuba_fab_litros]]*Tabla1[[#This Row],[cuba_fab_prot_g_l]]/100</f>
        <v>2066.9179999999997</v>
      </c>
      <c r="Q203">
        <f>Tabla1[[#This Row],[queso_kg]]*Tabla1[[#This Row],[queso_est_pct]]/100</f>
        <v>391.92810999999995</v>
      </c>
      <c r="R203">
        <f>Tabla1[[#This Row],[queso_kg]]*Tabla1[[#This Row],[queso_mg_pct]]/100</f>
        <v>204.71949599999996</v>
      </c>
      <c r="S203">
        <f>_xlfn.ISOWEEKNUM(Tabla1[[#This Row],[fecha]])</f>
        <v>29</v>
      </c>
      <c r="T203">
        <v>29</v>
      </c>
    </row>
    <row r="204" spans="1:20" x14ac:dyDescent="0.25">
      <c r="A204" s="1">
        <v>45493</v>
      </c>
      <c r="M204">
        <f>Tabla1[[#This Row],[entrada_litros]]*Tabla1[[#This Row],[entrada_grasa_g_l]]/100</f>
        <v>0</v>
      </c>
      <c r="N204">
        <f>Tabla1[[#This Row],[entrada_prot_g_l]]*Tabla1[[#This Row],[entrada_litros]]/100</f>
        <v>0</v>
      </c>
      <c r="O204">
        <f>Tabla1[[#This Row],[cuba_fab_litros]]*Tabla1[[#This Row],[cuba_fab_grasa_g_l]]</f>
        <v>0</v>
      </c>
      <c r="P204">
        <f>Tabla1[[#This Row],[cuba_fab_litros]]*Tabla1[[#This Row],[cuba_fab_prot_g_l]]/100</f>
        <v>0</v>
      </c>
      <c r="Q204">
        <f>Tabla1[[#This Row],[queso_kg]]*Tabla1[[#This Row],[queso_est_pct]]/100</f>
        <v>0</v>
      </c>
      <c r="R204">
        <f>Tabla1[[#This Row],[queso_kg]]*Tabla1[[#This Row],[queso_mg_pct]]/100</f>
        <v>0</v>
      </c>
      <c r="S204">
        <f>_xlfn.ISOWEEKNUM(Tabla1[[#This Row],[fecha]])</f>
        <v>29</v>
      </c>
      <c r="T204">
        <v>29</v>
      </c>
    </row>
    <row r="205" spans="1:20" x14ac:dyDescent="0.25">
      <c r="A205" s="1">
        <v>45494</v>
      </c>
      <c r="B205">
        <v>4805</v>
      </c>
      <c r="C205">
        <v>4665</v>
      </c>
      <c r="D205">
        <v>42.05</v>
      </c>
      <c r="E205">
        <v>35.57</v>
      </c>
      <c r="I205">
        <v>4665</v>
      </c>
      <c r="M205">
        <f>Tabla1[[#This Row],[entrada_litros]]*Tabla1[[#This Row],[entrada_grasa_g_l]]/100</f>
        <v>1961.6324999999999</v>
      </c>
      <c r="N205">
        <f>Tabla1[[#This Row],[entrada_prot_g_l]]*Tabla1[[#This Row],[entrada_litros]]/100</f>
        <v>1659.3404999999998</v>
      </c>
      <c r="O205">
        <f>Tabla1[[#This Row],[cuba_fab_litros]]*Tabla1[[#This Row],[cuba_fab_grasa_g_l]]</f>
        <v>0</v>
      </c>
      <c r="P205">
        <f>Tabla1[[#This Row],[cuba_fab_litros]]*Tabla1[[#This Row],[cuba_fab_prot_g_l]]/100</f>
        <v>0</v>
      </c>
      <c r="Q205">
        <f>Tabla1[[#This Row],[queso_kg]]*Tabla1[[#This Row],[queso_est_pct]]/100</f>
        <v>0</v>
      </c>
      <c r="R205">
        <f>Tabla1[[#This Row],[queso_kg]]*Tabla1[[#This Row],[queso_mg_pct]]/100</f>
        <v>0</v>
      </c>
      <c r="S205">
        <f>_xlfn.ISOWEEKNUM(Tabla1[[#This Row],[fecha]])</f>
        <v>29</v>
      </c>
      <c r="T205">
        <v>30</v>
      </c>
    </row>
    <row r="206" spans="1:20" x14ac:dyDescent="0.25">
      <c r="A206" s="1">
        <v>45495</v>
      </c>
      <c r="B206">
        <v>5153</v>
      </c>
      <c r="C206">
        <v>5003</v>
      </c>
      <c r="D206">
        <v>45.16</v>
      </c>
      <c r="E206">
        <v>36.700000000000003</v>
      </c>
      <c r="F206">
        <v>5014</v>
      </c>
      <c r="G206">
        <v>42.02</v>
      </c>
      <c r="H206">
        <v>34.74</v>
      </c>
      <c r="I206">
        <v>4668</v>
      </c>
      <c r="J206">
        <v>627.39</v>
      </c>
      <c r="K206">
        <v>52.04</v>
      </c>
      <c r="L206">
        <v>27.09</v>
      </c>
      <c r="M206">
        <f>Tabla1[[#This Row],[entrada_litros]]*Tabla1[[#This Row],[entrada_grasa_g_l]]/100</f>
        <v>2259.3547999999996</v>
      </c>
      <c r="N206">
        <f>Tabla1[[#This Row],[entrada_prot_g_l]]*Tabla1[[#This Row],[entrada_litros]]/100</f>
        <v>1836.1010000000001</v>
      </c>
      <c r="O206">
        <f>Tabla1[[#This Row],[cuba_fab_litros]]*Tabla1[[#This Row],[cuba_fab_grasa_g_l]]</f>
        <v>210688.28000000003</v>
      </c>
      <c r="P206">
        <f>Tabla1[[#This Row],[cuba_fab_litros]]*Tabla1[[#This Row],[cuba_fab_prot_g_l]]/100</f>
        <v>1741.8636000000001</v>
      </c>
      <c r="Q206">
        <f>Tabla1[[#This Row],[queso_kg]]*Tabla1[[#This Row],[queso_est_pct]]/100</f>
        <v>326.49375600000002</v>
      </c>
      <c r="R206">
        <f>Tabla1[[#This Row],[queso_kg]]*Tabla1[[#This Row],[queso_mg_pct]]/100</f>
        <v>169.95995099999999</v>
      </c>
      <c r="S206">
        <f>_xlfn.ISOWEEKNUM(Tabla1[[#This Row],[fecha]])</f>
        <v>30</v>
      </c>
      <c r="T206">
        <v>30</v>
      </c>
    </row>
    <row r="207" spans="1:20" x14ac:dyDescent="0.25">
      <c r="A207" s="1">
        <v>45496</v>
      </c>
      <c r="B207">
        <v>5282</v>
      </c>
      <c r="C207">
        <v>5128</v>
      </c>
      <c r="D207">
        <v>40.69</v>
      </c>
      <c r="E207">
        <v>34.56</v>
      </c>
      <c r="F207">
        <v>5020</v>
      </c>
      <c r="G207">
        <v>40.51</v>
      </c>
      <c r="H207">
        <v>33.72</v>
      </c>
      <c r="I207">
        <v>4796</v>
      </c>
      <c r="J207">
        <v>625.51</v>
      </c>
      <c r="K207">
        <v>52.12</v>
      </c>
      <c r="L207">
        <v>27.12</v>
      </c>
      <c r="M207">
        <f>Tabla1[[#This Row],[entrada_litros]]*Tabla1[[#This Row],[entrada_grasa_g_l]]/100</f>
        <v>2086.5831999999996</v>
      </c>
      <c r="N207">
        <f>Tabla1[[#This Row],[entrada_prot_g_l]]*Tabla1[[#This Row],[entrada_litros]]/100</f>
        <v>1772.2368000000001</v>
      </c>
      <c r="O207">
        <f>Tabla1[[#This Row],[cuba_fab_litros]]*Tabla1[[#This Row],[cuba_fab_grasa_g_l]]</f>
        <v>203360.19999999998</v>
      </c>
      <c r="P207">
        <f>Tabla1[[#This Row],[cuba_fab_litros]]*Tabla1[[#This Row],[cuba_fab_prot_g_l]]/100</f>
        <v>1692.7439999999999</v>
      </c>
      <c r="Q207">
        <f>Tabla1[[#This Row],[queso_kg]]*Tabla1[[#This Row],[queso_est_pct]]/100</f>
        <v>326.01581199999998</v>
      </c>
      <c r="R207">
        <f>Tabla1[[#This Row],[queso_kg]]*Tabla1[[#This Row],[queso_mg_pct]]/100</f>
        <v>169.63831200000001</v>
      </c>
      <c r="S207">
        <f>_xlfn.ISOWEEKNUM(Tabla1[[#This Row],[fecha]])</f>
        <v>30</v>
      </c>
      <c r="T207">
        <v>30</v>
      </c>
    </row>
    <row r="208" spans="1:20" x14ac:dyDescent="0.25">
      <c r="A208" s="1">
        <v>45497</v>
      </c>
      <c r="B208">
        <v>5319</v>
      </c>
      <c r="C208">
        <v>5164</v>
      </c>
      <c r="D208">
        <v>45.38</v>
      </c>
      <c r="E208">
        <v>36.01</v>
      </c>
      <c r="F208">
        <v>5023</v>
      </c>
      <c r="G208">
        <v>42.05</v>
      </c>
      <c r="H208">
        <v>34.17</v>
      </c>
      <c r="I208">
        <v>4960</v>
      </c>
      <c r="J208">
        <v>626.01</v>
      </c>
      <c r="K208">
        <v>52.17</v>
      </c>
      <c r="L208">
        <v>27.26</v>
      </c>
      <c r="M208">
        <f>Tabla1[[#This Row],[entrada_litros]]*Tabla1[[#This Row],[entrada_grasa_g_l]]/100</f>
        <v>2343.4232000000002</v>
      </c>
      <c r="N208">
        <f>Tabla1[[#This Row],[entrada_prot_g_l]]*Tabla1[[#This Row],[entrada_litros]]/100</f>
        <v>1859.5563999999999</v>
      </c>
      <c r="O208">
        <f>Tabla1[[#This Row],[cuba_fab_litros]]*Tabla1[[#This Row],[cuba_fab_grasa_g_l]]</f>
        <v>211217.15</v>
      </c>
      <c r="P208">
        <f>Tabla1[[#This Row],[cuba_fab_litros]]*Tabla1[[#This Row],[cuba_fab_prot_g_l]]/100</f>
        <v>1716.3591000000001</v>
      </c>
      <c r="Q208">
        <f>Tabla1[[#This Row],[queso_kg]]*Tabla1[[#This Row],[queso_est_pct]]/100</f>
        <v>326.58941699999997</v>
      </c>
      <c r="R208">
        <f>Tabla1[[#This Row],[queso_kg]]*Tabla1[[#This Row],[queso_mg_pct]]/100</f>
        <v>170.65032600000004</v>
      </c>
      <c r="S208">
        <f>_xlfn.ISOWEEKNUM(Tabla1[[#This Row],[fecha]])</f>
        <v>30</v>
      </c>
      <c r="T208">
        <v>30</v>
      </c>
    </row>
    <row r="209" spans="1:20" x14ac:dyDescent="0.25">
      <c r="A209" s="1">
        <v>45498</v>
      </c>
      <c r="B209">
        <v>5134</v>
      </c>
      <c r="C209">
        <v>4984</v>
      </c>
      <c r="D209">
        <v>39.450000000000003</v>
      </c>
      <c r="E209">
        <v>34.979999999999997</v>
      </c>
      <c r="F209">
        <v>5030</v>
      </c>
      <c r="G209">
        <v>39.590000000000003</v>
      </c>
      <c r="H209">
        <v>33.86</v>
      </c>
      <c r="I209">
        <v>4944</v>
      </c>
      <c r="J209">
        <v>619.46</v>
      </c>
      <c r="K209">
        <v>52.88</v>
      </c>
      <c r="L209">
        <v>27.01</v>
      </c>
      <c r="M209">
        <f>Tabla1[[#This Row],[entrada_litros]]*Tabla1[[#This Row],[entrada_grasa_g_l]]/100</f>
        <v>1966.1880000000001</v>
      </c>
      <c r="N209">
        <f>Tabla1[[#This Row],[entrada_prot_g_l]]*Tabla1[[#This Row],[entrada_litros]]/100</f>
        <v>1743.4031999999997</v>
      </c>
      <c r="O209">
        <f>Tabla1[[#This Row],[cuba_fab_litros]]*Tabla1[[#This Row],[cuba_fab_grasa_g_l]]</f>
        <v>199137.7</v>
      </c>
      <c r="P209">
        <f>Tabla1[[#This Row],[cuba_fab_litros]]*Tabla1[[#This Row],[cuba_fab_prot_g_l]]/100</f>
        <v>1703.1579999999999</v>
      </c>
      <c r="Q209">
        <f>Tabla1[[#This Row],[queso_kg]]*Tabla1[[#This Row],[queso_est_pct]]/100</f>
        <v>327.57044800000006</v>
      </c>
      <c r="R209">
        <f>Tabla1[[#This Row],[queso_kg]]*Tabla1[[#This Row],[queso_mg_pct]]/100</f>
        <v>167.316146</v>
      </c>
      <c r="S209">
        <f>_xlfn.ISOWEEKNUM(Tabla1[[#This Row],[fecha]])</f>
        <v>30</v>
      </c>
      <c r="T209">
        <v>30</v>
      </c>
    </row>
    <row r="210" spans="1:20" x14ac:dyDescent="0.25">
      <c r="A210" s="1">
        <v>45499</v>
      </c>
      <c r="F210">
        <v>4975</v>
      </c>
      <c r="G210">
        <v>39.32</v>
      </c>
      <c r="H210">
        <v>33.61</v>
      </c>
      <c r="J210">
        <v>638.41</v>
      </c>
      <c r="K210">
        <v>51.3</v>
      </c>
      <c r="L210">
        <v>26.89</v>
      </c>
      <c r="M210">
        <f>Tabla1[[#This Row],[entrada_litros]]*Tabla1[[#This Row],[entrada_grasa_g_l]]/100</f>
        <v>0</v>
      </c>
      <c r="N210">
        <f>Tabla1[[#This Row],[entrada_prot_g_l]]*Tabla1[[#This Row],[entrada_litros]]/100</f>
        <v>0</v>
      </c>
      <c r="O210">
        <f>Tabla1[[#This Row],[cuba_fab_litros]]*Tabla1[[#This Row],[cuba_fab_grasa_g_l]]</f>
        <v>195617</v>
      </c>
      <c r="P210">
        <f>Tabla1[[#This Row],[cuba_fab_litros]]*Tabla1[[#This Row],[cuba_fab_prot_g_l]]/100</f>
        <v>1672.0975000000001</v>
      </c>
      <c r="Q210">
        <f>Tabla1[[#This Row],[queso_kg]]*Tabla1[[#This Row],[queso_est_pct]]/100</f>
        <v>327.50432999999998</v>
      </c>
      <c r="R210">
        <f>Tabla1[[#This Row],[queso_kg]]*Tabla1[[#This Row],[queso_mg_pct]]/100</f>
        <v>171.66844900000001</v>
      </c>
      <c r="S210">
        <f>_xlfn.ISOWEEKNUM(Tabla1[[#This Row],[fecha]])</f>
        <v>30</v>
      </c>
      <c r="T210">
        <v>30</v>
      </c>
    </row>
    <row r="211" spans="1:20" x14ac:dyDescent="0.25">
      <c r="A211" s="1">
        <v>45500</v>
      </c>
      <c r="M211">
        <f>Tabla1[[#This Row],[entrada_litros]]*Tabla1[[#This Row],[entrada_grasa_g_l]]/100</f>
        <v>0</v>
      </c>
      <c r="N211">
        <f>Tabla1[[#This Row],[entrada_prot_g_l]]*Tabla1[[#This Row],[entrada_litros]]/100</f>
        <v>0</v>
      </c>
      <c r="O211">
        <f>Tabla1[[#This Row],[cuba_fab_litros]]*Tabla1[[#This Row],[cuba_fab_grasa_g_l]]</f>
        <v>0</v>
      </c>
      <c r="P211">
        <f>Tabla1[[#This Row],[cuba_fab_litros]]*Tabla1[[#This Row],[cuba_fab_prot_g_l]]/100</f>
        <v>0</v>
      </c>
      <c r="Q211">
        <f>Tabla1[[#This Row],[queso_kg]]*Tabla1[[#This Row],[queso_est_pct]]/100</f>
        <v>0</v>
      </c>
      <c r="R211">
        <f>Tabla1[[#This Row],[queso_kg]]*Tabla1[[#This Row],[queso_mg_pct]]/100</f>
        <v>0</v>
      </c>
      <c r="S211">
        <f>_xlfn.ISOWEEKNUM(Tabla1[[#This Row],[fecha]])</f>
        <v>30</v>
      </c>
      <c r="T211">
        <v>30</v>
      </c>
    </row>
    <row r="212" spans="1:20" x14ac:dyDescent="0.25">
      <c r="A212" s="1">
        <v>45501</v>
      </c>
      <c r="B212">
        <v>5177</v>
      </c>
      <c r="C212">
        <v>5026</v>
      </c>
      <c r="D212">
        <v>43.53</v>
      </c>
      <c r="E212">
        <v>34.85</v>
      </c>
      <c r="I212">
        <v>5026</v>
      </c>
      <c r="M212">
        <f>Tabla1[[#This Row],[entrada_litros]]*Tabla1[[#This Row],[entrada_grasa_g_l]]/100</f>
        <v>2187.8177999999998</v>
      </c>
      <c r="N212">
        <f>Tabla1[[#This Row],[entrada_prot_g_l]]*Tabla1[[#This Row],[entrada_litros]]/100</f>
        <v>1751.5610000000001</v>
      </c>
      <c r="O212">
        <f>Tabla1[[#This Row],[cuba_fab_litros]]*Tabla1[[#This Row],[cuba_fab_grasa_g_l]]</f>
        <v>0</v>
      </c>
      <c r="P212">
        <f>Tabla1[[#This Row],[cuba_fab_litros]]*Tabla1[[#This Row],[cuba_fab_prot_g_l]]/100</f>
        <v>0</v>
      </c>
      <c r="Q212">
        <f>Tabla1[[#This Row],[queso_kg]]*Tabla1[[#This Row],[queso_est_pct]]/100</f>
        <v>0</v>
      </c>
      <c r="R212">
        <f>Tabla1[[#This Row],[queso_kg]]*Tabla1[[#This Row],[queso_mg_pct]]/100</f>
        <v>0</v>
      </c>
      <c r="S212">
        <f>_xlfn.ISOWEEKNUM(Tabla1[[#This Row],[fecha]])</f>
        <v>30</v>
      </c>
      <c r="T212">
        <v>31</v>
      </c>
    </row>
    <row r="213" spans="1:20" x14ac:dyDescent="0.25">
      <c r="A213" s="1">
        <v>45502</v>
      </c>
      <c r="B213">
        <v>4818</v>
      </c>
      <c r="C213">
        <v>4678</v>
      </c>
      <c r="D213">
        <v>42.93</v>
      </c>
      <c r="E213">
        <v>37.229999999999997</v>
      </c>
      <c r="F213">
        <v>5028</v>
      </c>
      <c r="G213">
        <v>41.3</v>
      </c>
      <c r="H213">
        <v>34.590000000000003</v>
      </c>
      <c r="I213">
        <v>4704</v>
      </c>
      <c r="J213">
        <v>633.24</v>
      </c>
      <c r="K213">
        <v>51.43</v>
      </c>
      <c r="L213">
        <v>27.21</v>
      </c>
      <c r="M213">
        <f>Tabla1[[#This Row],[entrada_litros]]*Tabla1[[#This Row],[entrada_grasa_g_l]]/100</f>
        <v>2008.2654</v>
      </c>
      <c r="N213">
        <f>Tabla1[[#This Row],[entrada_prot_g_l]]*Tabla1[[#This Row],[entrada_litros]]/100</f>
        <v>1741.6193999999998</v>
      </c>
      <c r="O213">
        <f>Tabla1[[#This Row],[cuba_fab_litros]]*Tabla1[[#This Row],[cuba_fab_grasa_g_l]]</f>
        <v>207656.4</v>
      </c>
      <c r="P213">
        <f>Tabla1[[#This Row],[cuba_fab_litros]]*Tabla1[[#This Row],[cuba_fab_prot_g_l]]/100</f>
        <v>1739.1852000000001</v>
      </c>
      <c r="Q213">
        <f>Tabla1[[#This Row],[queso_kg]]*Tabla1[[#This Row],[queso_est_pct]]/100</f>
        <v>325.67533200000003</v>
      </c>
      <c r="R213">
        <f>Tabla1[[#This Row],[queso_kg]]*Tabla1[[#This Row],[queso_mg_pct]]/100</f>
        <v>172.30460400000001</v>
      </c>
      <c r="S213">
        <f>_xlfn.ISOWEEKNUM(Tabla1[[#This Row],[fecha]])</f>
        <v>31</v>
      </c>
      <c r="T213">
        <v>31</v>
      </c>
    </row>
    <row r="214" spans="1:20" x14ac:dyDescent="0.25">
      <c r="A214" s="1">
        <v>45503</v>
      </c>
      <c r="B214">
        <v>5604</v>
      </c>
      <c r="C214">
        <v>5441</v>
      </c>
      <c r="D214">
        <v>41.38</v>
      </c>
      <c r="E214">
        <v>34.619999999999997</v>
      </c>
      <c r="F214">
        <v>5030</v>
      </c>
      <c r="G214">
        <v>40.39</v>
      </c>
      <c r="H214">
        <v>33.74</v>
      </c>
      <c r="I214">
        <v>5145</v>
      </c>
      <c r="J214">
        <v>599.30999999999995</v>
      </c>
      <c r="K214">
        <v>54.07</v>
      </c>
      <c r="L214">
        <v>27.87</v>
      </c>
      <c r="M214">
        <f>Tabla1[[#This Row],[entrada_litros]]*Tabla1[[#This Row],[entrada_grasa_g_l]]/100</f>
        <v>2251.4858000000004</v>
      </c>
      <c r="N214">
        <f>Tabla1[[#This Row],[entrada_prot_g_l]]*Tabla1[[#This Row],[entrada_litros]]/100</f>
        <v>1883.6741999999999</v>
      </c>
      <c r="O214">
        <f>Tabla1[[#This Row],[cuba_fab_litros]]*Tabla1[[#This Row],[cuba_fab_grasa_g_l]]</f>
        <v>203161.7</v>
      </c>
      <c r="P214">
        <f>Tabla1[[#This Row],[cuba_fab_litros]]*Tabla1[[#This Row],[cuba_fab_prot_g_l]]/100</f>
        <v>1697.1220000000001</v>
      </c>
      <c r="Q214">
        <f>Tabla1[[#This Row],[queso_kg]]*Tabla1[[#This Row],[queso_est_pct]]/100</f>
        <v>324.04691699999995</v>
      </c>
      <c r="R214">
        <f>Tabla1[[#This Row],[queso_kg]]*Tabla1[[#This Row],[queso_mg_pct]]/100</f>
        <v>167.02769700000002</v>
      </c>
      <c r="S214">
        <f>_xlfn.ISOWEEKNUM(Tabla1[[#This Row],[fecha]])</f>
        <v>31</v>
      </c>
      <c r="T214">
        <v>31</v>
      </c>
    </row>
    <row r="215" spans="1:20" x14ac:dyDescent="0.25">
      <c r="A215" s="1">
        <v>45504</v>
      </c>
      <c r="B215">
        <v>5097</v>
      </c>
      <c r="C215">
        <v>4949</v>
      </c>
      <c r="D215">
        <v>42.8</v>
      </c>
      <c r="E215">
        <v>35.6</v>
      </c>
      <c r="F215">
        <v>5021</v>
      </c>
      <c r="G215">
        <v>40.479999999999997</v>
      </c>
      <c r="H215">
        <v>33.83</v>
      </c>
      <c r="I215">
        <v>5094</v>
      </c>
      <c r="J215">
        <v>622.54999999999995</v>
      </c>
      <c r="K215">
        <v>52.55</v>
      </c>
      <c r="L215">
        <v>26.65</v>
      </c>
      <c r="M215">
        <f>Tabla1[[#This Row],[entrada_litros]]*Tabla1[[#This Row],[entrada_grasa_g_l]]/100</f>
        <v>2118.172</v>
      </c>
      <c r="N215">
        <f>Tabla1[[#This Row],[entrada_prot_g_l]]*Tabla1[[#This Row],[entrada_litros]]/100</f>
        <v>1761.8440000000001</v>
      </c>
      <c r="O215">
        <f>Tabla1[[#This Row],[cuba_fab_litros]]*Tabla1[[#This Row],[cuba_fab_grasa_g_l]]</f>
        <v>203250.08</v>
      </c>
      <c r="P215">
        <f>Tabla1[[#This Row],[cuba_fab_litros]]*Tabla1[[#This Row],[cuba_fab_prot_g_l]]/100</f>
        <v>1698.6043</v>
      </c>
      <c r="Q215">
        <f>Tabla1[[#This Row],[queso_kg]]*Tabla1[[#This Row],[queso_est_pct]]/100</f>
        <v>327.15002499999997</v>
      </c>
      <c r="R215">
        <f>Tabla1[[#This Row],[queso_kg]]*Tabla1[[#This Row],[queso_mg_pct]]/100</f>
        <v>165.90957499999996</v>
      </c>
      <c r="S215">
        <f>_xlfn.ISOWEEKNUM(Tabla1[[#This Row],[fecha]])</f>
        <v>31</v>
      </c>
      <c r="T215">
        <v>31</v>
      </c>
    </row>
    <row r="216" spans="1:20" x14ac:dyDescent="0.25">
      <c r="A216" s="1">
        <v>45505</v>
      </c>
      <c r="B216">
        <v>5247</v>
      </c>
      <c r="C216">
        <v>5094</v>
      </c>
      <c r="D216">
        <v>42.49</v>
      </c>
      <c r="E216">
        <v>35.9</v>
      </c>
      <c r="F216">
        <v>5023</v>
      </c>
      <c r="G216">
        <v>41</v>
      </c>
      <c r="H216">
        <v>33.869999999999997</v>
      </c>
      <c r="I216">
        <v>5188</v>
      </c>
      <c r="J216">
        <v>623.52</v>
      </c>
      <c r="K216">
        <v>51.81</v>
      </c>
      <c r="L216">
        <v>27.62</v>
      </c>
      <c r="M216">
        <f>Tabla1[[#This Row],[entrada_litros]]*Tabla1[[#This Row],[entrada_grasa_g_l]]/100</f>
        <v>2164.4405999999999</v>
      </c>
      <c r="N216">
        <f>Tabla1[[#This Row],[entrada_prot_g_l]]*Tabla1[[#This Row],[entrada_litros]]/100</f>
        <v>1828.7460000000001</v>
      </c>
      <c r="O216">
        <f>Tabla1[[#This Row],[cuba_fab_litros]]*Tabla1[[#This Row],[cuba_fab_grasa_g_l]]</f>
        <v>205943</v>
      </c>
      <c r="P216">
        <f>Tabla1[[#This Row],[cuba_fab_litros]]*Tabla1[[#This Row],[cuba_fab_prot_g_l]]/100</f>
        <v>1701.2900999999997</v>
      </c>
      <c r="Q216">
        <f>Tabla1[[#This Row],[queso_kg]]*Tabla1[[#This Row],[queso_est_pct]]/100</f>
        <v>323.04571200000004</v>
      </c>
      <c r="R216">
        <f>Tabla1[[#This Row],[queso_kg]]*Tabla1[[#This Row],[queso_mg_pct]]/100</f>
        <v>172.21622400000001</v>
      </c>
      <c r="S216">
        <f>_xlfn.ISOWEEKNUM(Tabla1[[#This Row],[fecha]])</f>
        <v>31</v>
      </c>
      <c r="T216">
        <v>31</v>
      </c>
    </row>
    <row r="217" spans="1:20" x14ac:dyDescent="0.25">
      <c r="A217" s="1">
        <v>45506</v>
      </c>
      <c r="F217">
        <v>5211</v>
      </c>
      <c r="G217">
        <v>40.770000000000003</v>
      </c>
      <c r="H217">
        <v>34.06</v>
      </c>
      <c r="J217">
        <v>654.39</v>
      </c>
      <c r="K217">
        <v>52.54</v>
      </c>
      <c r="L217">
        <v>27.26</v>
      </c>
      <c r="M217">
        <f>Tabla1[[#This Row],[entrada_litros]]*Tabla1[[#This Row],[entrada_grasa_g_l]]/100</f>
        <v>0</v>
      </c>
      <c r="N217">
        <f>Tabla1[[#This Row],[entrada_prot_g_l]]*Tabla1[[#This Row],[entrada_litros]]/100</f>
        <v>0</v>
      </c>
      <c r="O217">
        <f>Tabla1[[#This Row],[cuba_fab_litros]]*Tabla1[[#This Row],[cuba_fab_grasa_g_l]]</f>
        <v>212452.47000000003</v>
      </c>
      <c r="P217">
        <f>Tabla1[[#This Row],[cuba_fab_litros]]*Tabla1[[#This Row],[cuba_fab_prot_g_l]]/100</f>
        <v>1774.8666000000001</v>
      </c>
      <c r="Q217">
        <f>Tabla1[[#This Row],[queso_kg]]*Tabla1[[#This Row],[queso_est_pct]]/100</f>
        <v>343.816506</v>
      </c>
      <c r="R217">
        <f>Tabla1[[#This Row],[queso_kg]]*Tabla1[[#This Row],[queso_mg_pct]]/100</f>
        <v>178.38671399999998</v>
      </c>
      <c r="S217">
        <f>_xlfn.ISOWEEKNUM(Tabla1[[#This Row],[fecha]])</f>
        <v>31</v>
      </c>
      <c r="T217">
        <v>31</v>
      </c>
    </row>
    <row r="218" spans="1:20" x14ac:dyDescent="0.25">
      <c r="A218" s="1">
        <v>45507</v>
      </c>
      <c r="M218">
        <f>Tabla1[[#This Row],[entrada_litros]]*Tabla1[[#This Row],[entrada_grasa_g_l]]/100</f>
        <v>0</v>
      </c>
      <c r="N218">
        <f>Tabla1[[#This Row],[entrada_prot_g_l]]*Tabla1[[#This Row],[entrada_litros]]/100</f>
        <v>0</v>
      </c>
      <c r="O218">
        <f>Tabla1[[#This Row],[cuba_fab_litros]]*Tabla1[[#This Row],[cuba_fab_grasa_g_l]]</f>
        <v>0</v>
      </c>
      <c r="P218">
        <f>Tabla1[[#This Row],[cuba_fab_litros]]*Tabla1[[#This Row],[cuba_fab_prot_g_l]]/100</f>
        <v>0</v>
      </c>
      <c r="Q218">
        <f>Tabla1[[#This Row],[queso_kg]]*Tabla1[[#This Row],[queso_est_pct]]/100</f>
        <v>0</v>
      </c>
      <c r="R218">
        <f>Tabla1[[#This Row],[queso_kg]]*Tabla1[[#This Row],[queso_mg_pct]]/100</f>
        <v>0</v>
      </c>
      <c r="S218">
        <f>_xlfn.ISOWEEKNUM(Tabla1[[#This Row],[fecha]])</f>
        <v>31</v>
      </c>
      <c r="T218">
        <v>31</v>
      </c>
    </row>
    <row r="219" spans="1:20" x14ac:dyDescent="0.25">
      <c r="A219" s="1">
        <v>45508</v>
      </c>
      <c r="B219">
        <v>5131</v>
      </c>
      <c r="C219">
        <v>4982</v>
      </c>
      <c r="D219">
        <v>42.78</v>
      </c>
      <c r="E219">
        <v>35.229999999999997</v>
      </c>
      <c r="I219">
        <v>4982</v>
      </c>
      <c r="M219">
        <f>Tabla1[[#This Row],[entrada_litros]]*Tabla1[[#This Row],[entrada_grasa_g_l]]/100</f>
        <v>2131.2995999999998</v>
      </c>
      <c r="N219">
        <f>Tabla1[[#This Row],[entrada_prot_g_l]]*Tabla1[[#This Row],[entrada_litros]]/100</f>
        <v>1755.1585999999998</v>
      </c>
      <c r="O219">
        <f>Tabla1[[#This Row],[cuba_fab_litros]]*Tabla1[[#This Row],[cuba_fab_grasa_g_l]]</f>
        <v>0</v>
      </c>
      <c r="P219">
        <f>Tabla1[[#This Row],[cuba_fab_litros]]*Tabla1[[#This Row],[cuba_fab_prot_g_l]]/100</f>
        <v>0</v>
      </c>
      <c r="Q219">
        <f>Tabla1[[#This Row],[queso_kg]]*Tabla1[[#This Row],[queso_est_pct]]/100</f>
        <v>0</v>
      </c>
      <c r="R219">
        <f>Tabla1[[#This Row],[queso_kg]]*Tabla1[[#This Row],[queso_mg_pct]]/100</f>
        <v>0</v>
      </c>
      <c r="S219">
        <f>_xlfn.ISOWEEKNUM(Tabla1[[#This Row],[fecha]])</f>
        <v>31</v>
      </c>
      <c r="T219">
        <v>32</v>
      </c>
    </row>
    <row r="220" spans="1:20" x14ac:dyDescent="0.25">
      <c r="A220" s="1">
        <v>45509</v>
      </c>
      <c r="B220">
        <v>5207</v>
      </c>
      <c r="C220">
        <v>5055</v>
      </c>
      <c r="D220">
        <v>43.3</v>
      </c>
      <c r="E220">
        <v>34.24</v>
      </c>
      <c r="F220">
        <v>5026</v>
      </c>
      <c r="G220">
        <v>41.08</v>
      </c>
      <c r="H220">
        <v>33.11</v>
      </c>
      <c r="I220">
        <v>5037</v>
      </c>
      <c r="J220">
        <v>604.87</v>
      </c>
      <c r="K220">
        <v>54.62</v>
      </c>
      <c r="L220">
        <v>27.67</v>
      </c>
      <c r="M220">
        <f>Tabla1[[#This Row],[entrada_litros]]*Tabla1[[#This Row],[entrada_grasa_g_l]]/100</f>
        <v>2188.8150000000001</v>
      </c>
      <c r="N220">
        <f>Tabla1[[#This Row],[entrada_prot_g_l]]*Tabla1[[#This Row],[entrada_litros]]/100</f>
        <v>1730.8320000000001</v>
      </c>
      <c r="O220">
        <f>Tabla1[[#This Row],[cuba_fab_litros]]*Tabla1[[#This Row],[cuba_fab_grasa_g_l]]</f>
        <v>206468.08</v>
      </c>
      <c r="P220">
        <f>Tabla1[[#This Row],[cuba_fab_litros]]*Tabla1[[#This Row],[cuba_fab_prot_g_l]]/100</f>
        <v>1664.1085999999998</v>
      </c>
      <c r="Q220">
        <f>Tabla1[[#This Row],[queso_kg]]*Tabla1[[#This Row],[queso_est_pct]]/100</f>
        <v>330.37999400000001</v>
      </c>
      <c r="R220">
        <f>Tabla1[[#This Row],[queso_kg]]*Tabla1[[#This Row],[queso_mg_pct]]/100</f>
        <v>167.36752899999999</v>
      </c>
      <c r="S220">
        <f>_xlfn.ISOWEEKNUM(Tabla1[[#This Row],[fecha]])</f>
        <v>32</v>
      </c>
      <c r="T220">
        <v>32</v>
      </c>
    </row>
    <row r="221" spans="1:20" x14ac:dyDescent="0.25">
      <c r="A221" s="1">
        <v>45510</v>
      </c>
      <c r="B221">
        <v>5212</v>
      </c>
      <c r="C221">
        <v>5060</v>
      </c>
      <c r="D221">
        <v>40.020000000000003</v>
      </c>
      <c r="E221">
        <v>38.299999999999997</v>
      </c>
      <c r="F221">
        <v>5024</v>
      </c>
      <c r="G221">
        <v>39.340000000000003</v>
      </c>
      <c r="H221">
        <v>34.81</v>
      </c>
      <c r="I221">
        <v>5097</v>
      </c>
      <c r="J221">
        <v>636.6</v>
      </c>
      <c r="K221">
        <v>51.11</v>
      </c>
      <c r="L221">
        <v>27.87</v>
      </c>
      <c r="M221">
        <f>Tabla1[[#This Row],[entrada_litros]]*Tabla1[[#This Row],[entrada_grasa_g_l]]/100</f>
        <v>2025.0120000000002</v>
      </c>
      <c r="N221">
        <f>Tabla1[[#This Row],[entrada_prot_g_l]]*Tabla1[[#This Row],[entrada_litros]]/100</f>
        <v>1937.98</v>
      </c>
      <c r="O221">
        <f>Tabla1[[#This Row],[cuba_fab_litros]]*Tabla1[[#This Row],[cuba_fab_grasa_g_l]]</f>
        <v>197644.16</v>
      </c>
      <c r="P221">
        <f>Tabla1[[#This Row],[cuba_fab_litros]]*Tabla1[[#This Row],[cuba_fab_prot_g_l]]/100</f>
        <v>1748.8543999999999</v>
      </c>
      <c r="Q221">
        <f>Tabla1[[#This Row],[queso_kg]]*Tabla1[[#This Row],[queso_est_pct]]/100</f>
        <v>325.36626000000001</v>
      </c>
      <c r="R221">
        <f>Tabla1[[#This Row],[queso_kg]]*Tabla1[[#This Row],[queso_mg_pct]]/100</f>
        <v>177.42042000000001</v>
      </c>
      <c r="S221">
        <f>_xlfn.ISOWEEKNUM(Tabla1[[#This Row],[fecha]])</f>
        <v>32</v>
      </c>
      <c r="T221">
        <v>32</v>
      </c>
    </row>
    <row r="222" spans="1:20" x14ac:dyDescent="0.25">
      <c r="A222" s="1">
        <v>45511</v>
      </c>
      <c r="B222">
        <v>5096</v>
      </c>
      <c r="C222">
        <v>4948</v>
      </c>
      <c r="D222">
        <v>40.49</v>
      </c>
      <c r="E222">
        <v>35.53</v>
      </c>
      <c r="F222">
        <v>5033</v>
      </c>
      <c r="G222">
        <v>39.119999999999997</v>
      </c>
      <c r="H222">
        <v>34.28</v>
      </c>
      <c r="I222">
        <v>5045</v>
      </c>
      <c r="J222">
        <v>660.25</v>
      </c>
      <c r="K222">
        <v>49.61</v>
      </c>
      <c r="L222">
        <v>26.08</v>
      </c>
      <c r="M222">
        <f>Tabla1[[#This Row],[entrada_litros]]*Tabla1[[#This Row],[entrada_grasa_g_l]]/100</f>
        <v>2003.4452000000001</v>
      </c>
      <c r="N222">
        <f>Tabla1[[#This Row],[entrada_prot_g_l]]*Tabla1[[#This Row],[entrada_litros]]/100</f>
        <v>1758.0244</v>
      </c>
      <c r="O222">
        <f>Tabla1[[#This Row],[cuba_fab_litros]]*Tabla1[[#This Row],[cuba_fab_grasa_g_l]]</f>
        <v>196890.96</v>
      </c>
      <c r="P222">
        <f>Tabla1[[#This Row],[cuba_fab_litros]]*Tabla1[[#This Row],[cuba_fab_prot_g_l]]/100</f>
        <v>1725.3124000000003</v>
      </c>
      <c r="Q222">
        <f>Tabla1[[#This Row],[queso_kg]]*Tabla1[[#This Row],[queso_est_pct]]/100</f>
        <v>327.55002500000001</v>
      </c>
      <c r="R222">
        <f>Tabla1[[#This Row],[queso_kg]]*Tabla1[[#This Row],[queso_mg_pct]]/100</f>
        <v>172.19319999999999</v>
      </c>
      <c r="S222">
        <f>_xlfn.ISOWEEKNUM(Tabla1[[#This Row],[fecha]])</f>
        <v>32</v>
      </c>
      <c r="T222">
        <v>32</v>
      </c>
    </row>
    <row r="223" spans="1:20" x14ac:dyDescent="0.25">
      <c r="A223" s="1">
        <v>45512</v>
      </c>
      <c r="B223">
        <v>4771</v>
      </c>
      <c r="C223">
        <v>4632</v>
      </c>
      <c r="D223">
        <v>44.86</v>
      </c>
      <c r="E223">
        <v>36.299999999999997</v>
      </c>
      <c r="F223">
        <v>5025</v>
      </c>
      <c r="G223">
        <v>41.07</v>
      </c>
      <c r="H223">
        <v>34.44</v>
      </c>
      <c r="I223">
        <v>4677</v>
      </c>
      <c r="J223">
        <v>611.54</v>
      </c>
      <c r="K223">
        <v>53.32</v>
      </c>
      <c r="L223">
        <v>28.07</v>
      </c>
      <c r="M223">
        <f>Tabla1[[#This Row],[entrada_litros]]*Tabla1[[#This Row],[entrada_grasa_g_l]]/100</f>
        <v>2077.9151999999999</v>
      </c>
      <c r="N223">
        <f>Tabla1[[#This Row],[entrada_prot_g_l]]*Tabla1[[#This Row],[entrada_litros]]/100</f>
        <v>1681.4159999999997</v>
      </c>
      <c r="O223">
        <f>Tabla1[[#This Row],[cuba_fab_litros]]*Tabla1[[#This Row],[cuba_fab_grasa_g_l]]</f>
        <v>206376.75</v>
      </c>
      <c r="P223">
        <f>Tabla1[[#This Row],[cuba_fab_litros]]*Tabla1[[#This Row],[cuba_fab_prot_g_l]]/100</f>
        <v>1730.61</v>
      </c>
      <c r="Q223">
        <f>Tabla1[[#This Row],[queso_kg]]*Tabla1[[#This Row],[queso_est_pct]]/100</f>
        <v>326.073128</v>
      </c>
      <c r="R223">
        <f>Tabla1[[#This Row],[queso_kg]]*Tabla1[[#This Row],[queso_mg_pct]]/100</f>
        <v>171.65927799999997</v>
      </c>
      <c r="S223">
        <f>_xlfn.ISOWEEKNUM(Tabla1[[#This Row],[fecha]])</f>
        <v>32</v>
      </c>
      <c r="T223">
        <v>32</v>
      </c>
    </row>
    <row r="224" spans="1:20" x14ac:dyDescent="0.25">
      <c r="A224" s="1">
        <v>45513</v>
      </c>
      <c r="F224">
        <v>4693</v>
      </c>
      <c r="G224">
        <v>41.01</v>
      </c>
      <c r="H224">
        <v>34.71</v>
      </c>
      <c r="J224">
        <v>547.62</v>
      </c>
      <c r="K224">
        <v>55.61</v>
      </c>
      <c r="L224">
        <v>27.92</v>
      </c>
      <c r="M224">
        <f>Tabla1[[#This Row],[entrada_litros]]*Tabla1[[#This Row],[entrada_grasa_g_l]]/100</f>
        <v>0</v>
      </c>
      <c r="N224">
        <f>Tabla1[[#This Row],[entrada_prot_g_l]]*Tabla1[[#This Row],[entrada_litros]]/100</f>
        <v>0</v>
      </c>
      <c r="O224">
        <f>Tabla1[[#This Row],[cuba_fab_litros]]*Tabla1[[#This Row],[cuba_fab_grasa_g_l]]</f>
        <v>192459.93</v>
      </c>
      <c r="P224">
        <f>Tabla1[[#This Row],[cuba_fab_litros]]*Tabla1[[#This Row],[cuba_fab_prot_g_l]]/100</f>
        <v>1628.9403</v>
      </c>
      <c r="Q224">
        <f>Tabla1[[#This Row],[queso_kg]]*Tabla1[[#This Row],[queso_est_pct]]/100</f>
        <v>304.53148199999998</v>
      </c>
      <c r="R224">
        <f>Tabla1[[#This Row],[queso_kg]]*Tabla1[[#This Row],[queso_mg_pct]]/100</f>
        <v>152.89550400000002</v>
      </c>
      <c r="S224">
        <f>_xlfn.ISOWEEKNUM(Tabla1[[#This Row],[fecha]])</f>
        <v>32</v>
      </c>
      <c r="T224">
        <v>32</v>
      </c>
    </row>
    <row r="225" spans="1:20" x14ac:dyDescent="0.25">
      <c r="A225" s="1">
        <v>45514</v>
      </c>
      <c r="M225">
        <f>Tabla1[[#This Row],[entrada_litros]]*Tabla1[[#This Row],[entrada_grasa_g_l]]/100</f>
        <v>0</v>
      </c>
      <c r="N225">
        <f>Tabla1[[#This Row],[entrada_prot_g_l]]*Tabla1[[#This Row],[entrada_litros]]/100</f>
        <v>0</v>
      </c>
      <c r="O225">
        <f>Tabla1[[#This Row],[cuba_fab_litros]]*Tabla1[[#This Row],[cuba_fab_grasa_g_l]]</f>
        <v>0</v>
      </c>
      <c r="P225">
        <f>Tabla1[[#This Row],[cuba_fab_litros]]*Tabla1[[#This Row],[cuba_fab_prot_g_l]]/100</f>
        <v>0</v>
      </c>
      <c r="Q225">
        <f>Tabla1[[#This Row],[queso_kg]]*Tabla1[[#This Row],[queso_est_pct]]/100</f>
        <v>0</v>
      </c>
      <c r="R225">
        <f>Tabla1[[#This Row],[queso_kg]]*Tabla1[[#This Row],[queso_mg_pct]]/100</f>
        <v>0</v>
      </c>
      <c r="S225">
        <f>_xlfn.ISOWEEKNUM(Tabla1[[#This Row],[fecha]])</f>
        <v>32</v>
      </c>
      <c r="T225">
        <v>32</v>
      </c>
    </row>
    <row r="226" spans="1:20" x14ac:dyDescent="0.25">
      <c r="A226" s="1">
        <v>45515</v>
      </c>
      <c r="B226">
        <v>5048</v>
      </c>
      <c r="C226">
        <v>4901</v>
      </c>
      <c r="D226">
        <v>42.85</v>
      </c>
      <c r="E226">
        <v>36.1</v>
      </c>
      <c r="I226">
        <v>4901</v>
      </c>
      <c r="M226">
        <f>Tabla1[[#This Row],[entrada_litros]]*Tabla1[[#This Row],[entrada_grasa_g_l]]/100</f>
        <v>2100.0785000000001</v>
      </c>
      <c r="N226">
        <f>Tabla1[[#This Row],[entrada_prot_g_l]]*Tabla1[[#This Row],[entrada_litros]]/100</f>
        <v>1769.261</v>
      </c>
      <c r="O226">
        <f>Tabla1[[#This Row],[cuba_fab_litros]]*Tabla1[[#This Row],[cuba_fab_grasa_g_l]]</f>
        <v>0</v>
      </c>
      <c r="P226">
        <f>Tabla1[[#This Row],[cuba_fab_litros]]*Tabla1[[#This Row],[cuba_fab_prot_g_l]]/100</f>
        <v>0</v>
      </c>
      <c r="Q226">
        <f>Tabla1[[#This Row],[queso_kg]]*Tabla1[[#This Row],[queso_est_pct]]/100</f>
        <v>0</v>
      </c>
      <c r="R226">
        <f>Tabla1[[#This Row],[queso_kg]]*Tabla1[[#This Row],[queso_mg_pct]]/100</f>
        <v>0</v>
      </c>
      <c r="S226">
        <f>_xlfn.ISOWEEKNUM(Tabla1[[#This Row],[fecha]])</f>
        <v>32</v>
      </c>
      <c r="T226">
        <v>33</v>
      </c>
    </row>
    <row r="227" spans="1:20" x14ac:dyDescent="0.25">
      <c r="A227" s="1">
        <v>45516</v>
      </c>
      <c r="B227">
        <v>5028</v>
      </c>
      <c r="C227">
        <v>4882</v>
      </c>
      <c r="D227">
        <v>41.78</v>
      </c>
      <c r="E227">
        <v>35.14</v>
      </c>
      <c r="F227">
        <v>5024</v>
      </c>
      <c r="G227">
        <v>40.39</v>
      </c>
      <c r="H227">
        <v>33.9</v>
      </c>
      <c r="I227">
        <v>4783</v>
      </c>
      <c r="J227">
        <v>617.22</v>
      </c>
      <c r="K227">
        <v>53.52</v>
      </c>
      <c r="L227">
        <v>28</v>
      </c>
      <c r="M227">
        <f>Tabla1[[#This Row],[entrada_litros]]*Tabla1[[#This Row],[entrada_grasa_g_l]]/100</f>
        <v>2039.6995999999999</v>
      </c>
      <c r="N227">
        <f>Tabla1[[#This Row],[entrada_prot_g_l]]*Tabla1[[#This Row],[entrada_litros]]/100</f>
        <v>1715.5348000000001</v>
      </c>
      <c r="O227">
        <f>Tabla1[[#This Row],[cuba_fab_litros]]*Tabla1[[#This Row],[cuba_fab_grasa_g_l]]</f>
        <v>202919.36000000002</v>
      </c>
      <c r="P227">
        <f>Tabla1[[#This Row],[cuba_fab_litros]]*Tabla1[[#This Row],[cuba_fab_prot_g_l]]/100</f>
        <v>1703.136</v>
      </c>
      <c r="Q227">
        <f>Tabla1[[#This Row],[queso_kg]]*Tabla1[[#This Row],[queso_est_pct]]/100</f>
        <v>330.33614400000005</v>
      </c>
      <c r="R227">
        <f>Tabla1[[#This Row],[queso_kg]]*Tabla1[[#This Row],[queso_mg_pct]]/100</f>
        <v>172.82159999999999</v>
      </c>
      <c r="S227">
        <f>_xlfn.ISOWEEKNUM(Tabla1[[#This Row],[fecha]])</f>
        <v>33</v>
      </c>
      <c r="T227">
        <v>33</v>
      </c>
    </row>
    <row r="228" spans="1:20" x14ac:dyDescent="0.25">
      <c r="A228" s="1">
        <v>45517</v>
      </c>
      <c r="B228">
        <v>5377</v>
      </c>
      <c r="C228">
        <v>5220</v>
      </c>
      <c r="D228">
        <v>42.09</v>
      </c>
      <c r="E228">
        <v>37.11</v>
      </c>
      <c r="F228">
        <v>5028</v>
      </c>
      <c r="G228">
        <v>40.19</v>
      </c>
      <c r="H228">
        <v>34.729999999999997</v>
      </c>
      <c r="I228">
        <v>5003</v>
      </c>
      <c r="J228">
        <v>634.52</v>
      </c>
      <c r="K228">
        <v>51.64</v>
      </c>
      <c r="L228">
        <v>27.35</v>
      </c>
      <c r="M228">
        <f>Tabla1[[#This Row],[entrada_litros]]*Tabla1[[#This Row],[entrada_grasa_g_l]]/100</f>
        <v>2197.098</v>
      </c>
      <c r="N228">
        <f>Tabla1[[#This Row],[entrada_prot_g_l]]*Tabla1[[#This Row],[entrada_litros]]/100</f>
        <v>1937.1419999999998</v>
      </c>
      <c r="O228">
        <f>Tabla1[[#This Row],[cuba_fab_litros]]*Tabla1[[#This Row],[cuba_fab_grasa_g_l]]</f>
        <v>202075.31999999998</v>
      </c>
      <c r="P228">
        <f>Tabla1[[#This Row],[cuba_fab_litros]]*Tabla1[[#This Row],[cuba_fab_prot_g_l]]/100</f>
        <v>1746.2243999999998</v>
      </c>
      <c r="Q228">
        <f>Tabla1[[#This Row],[queso_kg]]*Tabla1[[#This Row],[queso_est_pct]]/100</f>
        <v>327.66612800000001</v>
      </c>
      <c r="R228">
        <f>Tabla1[[#This Row],[queso_kg]]*Tabla1[[#This Row],[queso_mg_pct]]/100</f>
        <v>173.54121999999998</v>
      </c>
      <c r="S228">
        <f>_xlfn.ISOWEEKNUM(Tabla1[[#This Row],[fecha]])</f>
        <v>33</v>
      </c>
      <c r="T228">
        <v>33</v>
      </c>
    </row>
    <row r="229" spans="1:20" x14ac:dyDescent="0.25">
      <c r="A229" s="1">
        <v>45518</v>
      </c>
      <c r="B229">
        <v>4977</v>
      </c>
      <c r="C229">
        <v>4832</v>
      </c>
      <c r="D229">
        <v>44.07</v>
      </c>
      <c r="E229">
        <v>34.29</v>
      </c>
      <c r="F229">
        <v>5023</v>
      </c>
      <c r="G229">
        <v>41.1</v>
      </c>
      <c r="H229">
        <v>33.53</v>
      </c>
      <c r="I229">
        <v>4835</v>
      </c>
      <c r="J229">
        <v>621.79</v>
      </c>
      <c r="K229">
        <v>51.94</v>
      </c>
      <c r="L229">
        <v>27.39</v>
      </c>
      <c r="M229">
        <f>Tabla1[[#This Row],[entrada_litros]]*Tabla1[[#This Row],[entrada_grasa_g_l]]/100</f>
        <v>2129.4623999999999</v>
      </c>
      <c r="N229">
        <f>Tabla1[[#This Row],[entrada_prot_g_l]]*Tabla1[[#This Row],[entrada_litros]]/100</f>
        <v>1656.8928000000001</v>
      </c>
      <c r="O229">
        <f>Tabla1[[#This Row],[cuba_fab_litros]]*Tabla1[[#This Row],[cuba_fab_grasa_g_l]]</f>
        <v>206445.30000000002</v>
      </c>
      <c r="P229">
        <f>Tabla1[[#This Row],[cuba_fab_litros]]*Tabla1[[#This Row],[cuba_fab_prot_g_l]]/100</f>
        <v>1684.2119</v>
      </c>
      <c r="Q229">
        <f>Tabla1[[#This Row],[queso_kg]]*Tabla1[[#This Row],[queso_est_pct]]/100</f>
        <v>322.95772599999998</v>
      </c>
      <c r="R229">
        <f>Tabla1[[#This Row],[queso_kg]]*Tabla1[[#This Row],[queso_mg_pct]]/100</f>
        <v>170.30828099999999</v>
      </c>
      <c r="S229">
        <f>_xlfn.ISOWEEKNUM(Tabla1[[#This Row],[fecha]])</f>
        <v>33</v>
      </c>
      <c r="T229">
        <v>33</v>
      </c>
    </row>
    <row r="230" spans="1:20" x14ac:dyDescent="0.25">
      <c r="A230" s="1">
        <v>45519</v>
      </c>
      <c r="B230">
        <v>5204</v>
      </c>
      <c r="C230">
        <v>5052</v>
      </c>
      <c r="D230">
        <v>42.15</v>
      </c>
      <c r="E230">
        <v>36.6</v>
      </c>
      <c r="F230">
        <v>5025</v>
      </c>
      <c r="G230">
        <v>40.58</v>
      </c>
      <c r="H230">
        <v>34.33</v>
      </c>
      <c r="I230">
        <v>4887</v>
      </c>
      <c r="J230">
        <v>628.05999999999995</v>
      </c>
      <c r="K230">
        <v>52.75</v>
      </c>
      <c r="L230">
        <v>28</v>
      </c>
      <c r="M230">
        <f>Tabla1[[#This Row],[entrada_litros]]*Tabla1[[#This Row],[entrada_grasa_g_l]]/100</f>
        <v>2129.4179999999997</v>
      </c>
      <c r="N230">
        <f>Tabla1[[#This Row],[entrada_prot_g_l]]*Tabla1[[#This Row],[entrada_litros]]/100</f>
        <v>1849.0320000000002</v>
      </c>
      <c r="O230">
        <f>Tabla1[[#This Row],[cuba_fab_litros]]*Tabla1[[#This Row],[cuba_fab_grasa_g_l]]</f>
        <v>203914.5</v>
      </c>
      <c r="P230">
        <f>Tabla1[[#This Row],[cuba_fab_litros]]*Tabla1[[#This Row],[cuba_fab_prot_g_l]]/100</f>
        <v>1725.0825</v>
      </c>
      <c r="Q230">
        <f>Tabla1[[#This Row],[queso_kg]]*Tabla1[[#This Row],[queso_est_pct]]/100</f>
        <v>331.30164999999994</v>
      </c>
      <c r="R230">
        <f>Tabla1[[#This Row],[queso_kg]]*Tabla1[[#This Row],[queso_mg_pct]]/100</f>
        <v>175.85679999999999</v>
      </c>
      <c r="S230">
        <f>_xlfn.ISOWEEKNUM(Tabla1[[#This Row],[fecha]])</f>
        <v>33</v>
      </c>
      <c r="T230">
        <v>33</v>
      </c>
    </row>
    <row r="231" spans="1:20" x14ac:dyDescent="0.25">
      <c r="A231" s="1">
        <v>45520</v>
      </c>
      <c r="F231">
        <v>4917</v>
      </c>
      <c r="G231">
        <v>40.659999999999997</v>
      </c>
      <c r="H231">
        <v>34.299999999999997</v>
      </c>
      <c r="J231">
        <v>603.04</v>
      </c>
      <c r="K231">
        <v>52.98</v>
      </c>
      <c r="L231">
        <v>27.2</v>
      </c>
      <c r="M231">
        <f>Tabla1[[#This Row],[entrada_litros]]*Tabla1[[#This Row],[entrada_grasa_g_l]]/100</f>
        <v>0</v>
      </c>
      <c r="N231">
        <f>Tabla1[[#This Row],[entrada_prot_g_l]]*Tabla1[[#This Row],[entrada_litros]]/100</f>
        <v>0</v>
      </c>
      <c r="O231">
        <f>Tabla1[[#This Row],[cuba_fab_litros]]*Tabla1[[#This Row],[cuba_fab_grasa_g_l]]</f>
        <v>199925.21999999997</v>
      </c>
      <c r="P231">
        <f>Tabla1[[#This Row],[cuba_fab_litros]]*Tabla1[[#This Row],[cuba_fab_prot_g_l]]/100</f>
        <v>1686.5309999999997</v>
      </c>
      <c r="Q231">
        <f>Tabla1[[#This Row],[queso_kg]]*Tabla1[[#This Row],[queso_est_pct]]/100</f>
        <v>319.49059199999994</v>
      </c>
      <c r="R231">
        <f>Tabla1[[#This Row],[queso_kg]]*Tabla1[[#This Row],[queso_mg_pct]]/100</f>
        <v>164.02687999999998</v>
      </c>
      <c r="S231">
        <f>_xlfn.ISOWEEKNUM(Tabla1[[#This Row],[fecha]])</f>
        <v>33</v>
      </c>
      <c r="T231">
        <v>33</v>
      </c>
    </row>
    <row r="232" spans="1:20" x14ac:dyDescent="0.25">
      <c r="A232" s="1">
        <v>45521</v>
      </c>
      <c r="M232">
        <f>Tabla1[[#This Row],[entrada_litros]]*Tabla1[[#This Row],[entrada_grasa_g_l]]/100</f>
        <v>0</v>
      </c>
      <c r="N232">
        <f>Tabla1[[#This Row],[entrada_prot_g_l]]*Tabla1[[#This Row],[entrada_litros]]/100</f>
        <v>0</v>
      </c>
      <c r="O232">
        <f>Tabla1[[#This Row],[cuba_fab_litros]]*Tabla1[[#This Row],[cuba_fab_grasa_g_l]]</f>
        <v>0</v>
      </c>
      <c r="P232">
        <f>Tabla1[[#This Row],[cuba_fab_litros]]*Tabla1[[#This Row],[cuba_fab_prot_g_l]]/100</f>
        <v>0</v>
      </c>
      <c r="Q232">
        <f>Tabla1[[#This Row],[queso_kg]]*Tabla1[[#This Row],[queso_est_pct]]/100</f>
        <v>0</v>
      </c>
      <c r="R232">
        <f>Tabla1[[#This Row],[queso_kg]]*Tabla1[[#This Row],[queso_mg_pct]]/100</f>
        <v>0</v>
      </c>
      <c r="S232">
        <f>_xlfn.ISOWEEKNUM(Tabla1[[#This Row],[fecha]])</f>
        <v>33</v>
      </c>
      <c r="T232">
        <v>33</v>
      </c>
    </row>
    <row r="233" spans="1:20" x14ac:dyDescent="0.25">
      <c r="A233" s="1">
        <v>45522</v>
      </c>
      <c r="B233">
        <v>5253</v>
      </c>
      <c r="C233">
        <v>5100</v>
      </c>
      <c r="D233">
        <v>42.73</v>
      </c>
      <c r="E233">
        <v>36.18</v>
      </c>
      <c r="I233">
        <v>5100</v>
      </c>
      <c r="M233">
        <f>Tabla1[[#This Row],[entrada_litros]]*Tabla1[[#This Row],[entrada_grasa_g_l]]/100</f>
        <v>2179.2299999999996</v>
      </c>
      <c r="N233">
        <f>Tabla1[[#This Row],[entrada_prot_g_l]]*Tabla1[[#This Row],[entrada_litros]]/100</f>
        <v>1845.18</v>
      </c>
      <c r="O233">
        <f>Tabla1[[#This Row],[cuba_fab_litros]]*Tabla1[[#This Row],[cuba_fab_grasa_g_l]]</f>
        <v>0</v>
      </c>
      <c r="P233">
        <f>Tabla1[[#This Row],[cuba_fab_litros]]*Tabla1[[#This Row],[cuba_fab_prot_g_l]]/100</f>
        <v>0</v>
      </c>
      <c r="Q233">
        <f>Tabla1[[#This Row],[queso_kg]]*Tabla1[[#This Row],[queso_est_pct]]/100</f>
        <v>0</v>
      </c>
      <c r="R233">
        <f>Tabla1[[#This Row],[queso_kg]]*Tabla1[[#This Row],[queso_mg_pct]]/100</f>
        <v>0</v>
      </c>
      <c r="S233">
        <f>_xlfn.ISOWEEKNUM(Tabla1[[#This Row],[fecha]])</f>
        <v>33</v>
      </c>
      <c r="T233">
        <v>34</v>
      </c>
    </row>
    <row r="234" spans="1:20" x14ac:dyDescent="0.25">
      <c r="A234" s="1">
        <v>45523</v>
      </c>
      <c r="B234">
        <v>4540</v>
      </c>
      <c r="C234">
        <v>4408</v>
      </c>
      <c r="D234">
        <v>43.82</v>
      </c>
      <c r="E234">
        <v>36.81</v>
      </c>
      <c r="F234">
        <v>5026</v>
      </c>
      <c r="G234">
        <v>41.48</v>
      </c>
      <c r="H234">
        <v>34.78</v>
      </c>
      <c r="I234">
        <v>4508</v>
      </c>
      <c r="J234">
        <v>624.62</v>
      </c>
      <c r="K234">
        <v>52.52</v>
      </c>
      <c r="L234">
        <v>27.08</v>
      </c>
      <c r="M234">
        <f>Tabla1[[#This Row],[entrada_litros]]*Tabla1[[#This Row],[entrada_grasa_g_l]]/100</f>
        <v>1931.5855999999999</v>
      </c>
      <c r="N234">
        <f>Tabla1[[#This Row],[entrada_prot_g_l]]*Tabla1[[#This Row],[entrada_litros]]/100</f>
        <v>1622.5848000000001</v>
      </c>
      <c r="O234">
        <f>Tabla1[[#This Row],[cuba_fab_litros]]*Tabla1[[#This Row],[cuba_fab_grasa_g_l]]</f>
        <v>208478.47999999998</v>
      </c>
      <c r="P234">
        <f>Tabla1[[#This Row],[cuba_fab_litros]]*Tabla1[[#This Row],[cuba_fab_prot_g_l]]/100</f>
        <v>1748.0427999999999</v>
      </c>
      <c r="Q234">
        <f>Tabla1[[#This Row],[queso_kg]]*Tabla1[[#This Row],[queso_est_pct]]/100</f>
        <v>328.05042400000008</v>
      </c>
      <c r="R234">
        <f>Tabla1[[#This Row],[queso_kg]]*Tabla1[[#This Row],[queso_mg_pct]]/100</f>
        <v>169.14709599999998</v>
      </c>
      <c r="S234">
        <f>_xlfn.ISOWEEKNUM(Tabla1[[#This Row],[fecha]])</f>
        <v>34</v>
      </c>
      <c r="T234">
        <v>34</v>
      </c>
    </row>
    <row r="235" spans="1:20" x14ac:dyDescent="0.25">
      <c r="A235" s="1">
        <v>45524</v>
      </c>
      <c r="B235">
        <v>5611</v>
      </c>
      <c r="C235">
        <v>5448</v>
      </c>
      <c r="D235">
        <v>42</v>
      </c>
      <c r="E235">
        <v>35.72</v>
      </c>
      <c r="F235">
        <v>5020</v>
      </c>
      <c r="G235">
        <v>40.44</v>
      </c>
      <c r="H235">
        <v>34.33</v>
      </c>
      <c r="I235">
        <v>4956</v>
      </c>
      <c r="J235">
        <v>634.82000000000005</v>
      </c>
      <c r="K235">
        <v>51.61</v>
      </c>
      <c r="L235">
        <v>26.36</v>
      </c>
      <c r="M235">
        <f>Tabla1[[#This Row],[entrada_litros]]*Tabla1[[#This Row],[entrada_grasa_g_l]]/100</f>
        <v>2288.16</v>
      </c>
      <c r="N235">
        <f>Tabla1[[#This Row],[entrada_prot_g_l]]*Tabla1[[#This Row],[entrada_litros]]/100</f>
        <v>1946.0255999999999</v>
      </c>
      <c r="O235">
        <f>Tabla1[[#This Row],[cuba_fab_litros]]*Tabla1[[#This Row],[cuba_fab_grasa_g_l]]</f>
        <v>203008.8</v>
      </c>
      <c r="P235">
        <f>Tabla1[[#This Row],[cuba_fab_litros]]*Tabla1[[#This Row],[cuba_fab_prot_g_l]]/100</f>
        <v>1723.366</v>
      </c>
      <c r="Q235">
        <f>Tabla1[[#This Row],[queso_kg]]*Tabla1[[#This Row],[queso_est_pct]]/100</f>
        <v>327.63060200000001</v>
      </c>
      <c r="R235">
        <f>Tabla1[[#This Row],[queso_kg]]*Tabla1[[#This Row],[queso_mg_pct]]/100</f>
        <v>167.33855200000002</v>
      </c>
      <c r="S235">
        <f>_xlfn.ISOWEEKNUM(Tabla1[[#This Row],[fecha]])</f>
        <v>34</v>
      </c>
      <c r="T235">
        <v>34</v>
      </c>
    </row>
    <row r="236" spans="1:20" x14ac:dyDescent="0.25">
      <c r="A236" s="1">
        <v>45525</v>
      </c>
      <c r="B236">
        <v>4796</v>
      </c>
      <c r="C236">
        <v>4656</v>
      </c>
      <c r="D236">
        <v>43.16</v>
      </c>
      <c r="E236">
        <v>36.43</v>
      </c>
      <c r="F236">
        <v>5027</v>
      </c>
      <c r="G236">
        <v>40.82</v>
      </c>
      <c r="H236">
        <v>34.44</v>
      </c>
      <c r="I236">
        <v>4612</v>
      </c>
      <c r="J236">
        <v>632.48</v>
      </c>
      <c r="K236">
        <v>51.53</v>
      </c>
      <c r="L236">
        <v>27.6</v>
      </c>
      <c r="M236">
        <f>Tabla1[[#This Row],[entrada_litros]]*Tabla1[[#This Row],[entrada_grasa_g_l]]/100</f>
        <v>2009.5295999999998</v>
      </c>
      <c r="N236">
        <f>Tabla1[[#This Row],[entrada_prot_g_l]]*Tabla1[[#This Row],[entrada_litros]]/100</f>
        <v>1696.1807999999999</v>
      </c>
      <c r="O236">
        <f>Tabla1[[#This Row],[cuba_fab_litros]]*Tabla1[[#This Row],[cuba_fab_grasa_g_l]]</f>
        <v>205202.14</v>
      </c>
      <c r="P236">
        <f>Tabla1[[#This Row],[cuba_fab_litros]]*Tabla1[[#This Row],[cuba_fab_prot_g_l]]/100</f>
        <v>1731.2987999999998</v>
      </c>
      <c r="Q236">
        <f>Tabla1[[#This Row],[queso_kg]]*Tabla1[[#This Row],[queso_est_pct]]/100</f>
        <v>325.916944</v>
      </c>
      <c r="R236">
        <f>Tabla1[[#This Row],[queso_kg]]*Tabla1[[#This Row],[queso_mg_pct]]/100</f>
        <v>174.56448</v>
      </c>
      <c r="S236">
        <f>_xlfn.ISOWEEKNUM(Tabla1[[#This Row],[fecha]])</f>
        <v>34</v>
      </c>
      <c r="T236">
        <v>34</v>
      </c>
    </row>
    <row r="237" spans="1:20" x14ac:dyDescent="0.25">
      <c r="A237" s="1">
        <v>45526</v>
      </c>
      <c r="B237">
        <v>5482</v>
      </c>
      <c r="C237">
        <v>5322</v>
      </c>
      <c r="D237">
        <v>42.69</v>
      </c>
      <c r="E237">
        <v>34.94</v>
      </c>
      <c r="F237">
        <v>5030</v>
      </c>
      <c r="G237">
        <v>40.4</v>
      </c>
      <c r="H237">
        <v>34.520000000000003</v>
      </c>
      <c r="I237">
        <v>4934</v>
      </c>
      <c r="J237">
        <v>609.51</v>
      </c>
      <c r="K237">
        <v>53.99</v>
      </c>
      <c r="L237">
        <v>27.3</v>
      </c>
      <c r="M237">
        <f>Tabla1[[#This Row],[entrada_litros]]*Tabla1[[#This Row],[entrada_grasa_g_l]]/100</f>
        <v>2271.9618</v>
      </c>
      <c r="N237">
        <f>Tabla1[[#This Row],[entrada_prot_g_l]]*Tabla1[[#This Row],[entrada_litros]]/100</f>
        <v>1859.5067999999999</v>
      </c>
      <c r="O237">
        <f>Tabla1[[#This Row],[cuba_fab_litros]]*Tabla1[[#This Row],[cuba_fab_grasa_g_l]]</f>
        <v>203212</v>
      </c>
      <c r="P237">
        <f>Tabla1[[#This Row],[cuba_fab_litros]]*Tabla1[[#This Row],[cuba_fab_prot_g_l]]/100</f>
        <v>1736.356</v>
      </c>
      <c r="Q237">
        <f>Tabla1[[#This Row],[queso_kg]]*Tabla1[[#This Row],[queso_est_pct]]/100</f>
        <v>329.07444900000002</v>
      </c>
      <c r="R237">
        <f>Tabla1[[#This Row],[queso_kg]]*Tabla1[[#This Row],[queso_mg_pct]]/100</f>
        <v>166.39623</v>
      </c>
      <c r="S237">
        <f>_xlfn.ISOWEEKNUM(Tabla1[[#This Row],[fecha]])</f>
        <v>34</v>
      </c>
      <c r="T237">
        <v>34</v>
      </c>
    </row>
    <row r="238" spans="1:20" x14ac:dyDescent="0.25">
      <c r="A238" s="1">
        <v>45527</v>
      </c>
      <c r="F238">
        <v>4962</v>
      </c>
      <c r="G238">
        <v>40.729999999999997</v>
      </c>
      <c r="H238">
        <v>33.68</v>
      </c>
      <c r="J238">
        <v>628.05999999999995</v>
      </c>
      <c r="K238">
        <v>51.31</v>
      </c>
      <c r="L238">
        <v>25.66</v>
      </c>
      <c r="M238">
        <f>Tabla1[[#This Row],[entrada_litros]]*Tabla1[[#This Row],[entrada_grasa_g_l]]/100</f>
        <v>0</v>
      </c>
      <c r="N238">
        <f>Tabla1[[#This Row],[entrada_prot_g_l]]*Tabla1[[#This Row],[entrada_litros]]/100</f>
        <v>0</v>
      </c>
      <c r="O238">
        <f>Tabla1[[#This Row],[cuba_fab_litros]]*Tabla1[[#This Row],[cuba_fab_grasa_g_l]]</f>
        <v>202102.25999999998</v>
      </c>
      <c r="P238">
        <f>Tabla1[[#This Row],[cuba_fab_litros]]*Tabla1[[#This Row],[cuba_fab_prot_g_l]]/100</f>
        <v>1671.2016000000001</v>
      </c>
      <c r="Q238">
        <f>Tabla1[[#This Row],[queso_kg]]*Tabla1[[#This Row],[queso_est_pct]]/100</f>
        <v>322.25758599999995</v>
      </c>
      <c r="R238">
        <f>Tabla1[[#This Row],[queso_kg]]*Tabla1[[#This Row],[queso_mg_pct]]/100</f>
        <v>161.16019599999998</v>
      </c>
      <c r="S238">
        <f>_xlfn.ISOWEEKNUM(Tabla1[[#This Row],[fecha]])</f>
        <v>34</v>
      </c>
      <c r="T238">
        <v>34</v>
      </c>
    </row>
    <row r="239" spans="1:20" x14ac:dyDescent="0.25">
      <c r="A239" s="1">
        <v>45528</v>
      </c>
      <c r="M239">
        <f>Tabla1[[#This Row],[entrada_litros]]*Tabla1[[#This Row],[entrada_grasa_g_l]]/100</f>
        <v>0</v>
      </c>
      <c r="N239">
        <f>Tabla1[[#This Row],[entrada_prot_g_l]]*Tabla1[[#This Row],[entrada_litros]]/100</f>
        <v>0</v>
      </c>
      <c r="O239">
        <f>Tabla1[[#This Row],[cuba_fab_litros]]*Tabla1[[#This Row],[cuba_fab_grasa_g_l]]</f>
        <v>0</v>
      </c>
      <c r="P239">
        <f>Tabla1[[#This Row],[cuba_fab_litros]]*Tabla1[[#This Row],[cuba_fab_prot_g_l]]/100</f>
        <v>0</v>
      </c>
      <c r="Q239">
        <f>Tabla1[[#This Row],[queso_kg]]*Tabla1[[#This Row],[queso_est_pct]]/100</f>
        <v>0</v>
      </c>
      <c r="R239">
        <f>Tabla1[[#This Row],[queso_kg]]*Tabla1[[#This Row],[queso_mg_pct]]/100</f>
        <v>0</v>
      </c>
      <c r="S239">
        <f>_xlfn.ISOWEEKNUM(Tabla1[[#This Row],[fecha]])</f>
        <v>34</v>
      </c>
      <c r="T239">
        <v>34</v>
      </c>
    </row>
    <row r="240" spans="1:20" x14ac:dyDescent="0.25">
      <c r="A240" s="1">
        <v>45529</v>
      </c>
      <c r="B240">
        <v>4914</v>
      </c>
      <c r="C240">
        <v>4771</v>
      </c>
      <c r="D240">
        <v>41.92</v>
      </c>
      <c r="E240">
        <v>37.61</v>
      </c>
      <c r="I240">
        <v>4771</v>
      </c>
      <c r="M240">
        <f>Tabla1[[#This Row],[entrada_litros]]*Tabla1[[#This Row],[entrada_grasa_g_l]]/100</f>
        <v>2000.0032000000001</v>
      </c>
      <c r="N240">
        <f>Tabla1[[#This Row],[entrada_prot_g_l]]*Tabla1[[#This Row],[entrada_litros]]/100</f>
        <v>1794.3731</v>
      </c>
      <c r="O240">
        <f>Tabla1[[#This Row],[cuba_fab_litros]]*Tabla1[[#This Row],[cuba_fab_grasa_g_l]]</f>
        <v>0</v>
      </c>
      <c r="P240">
        <f>Tabla1[[#This Row],[cuba_fab_litros]]*Tabla1[[#This Row],[cuba_fab_prot_g_l]]/100</f>
        <v>0</v>
      </c>
      <c r="Q240">
        <f>Tabla1[[#This Row],[queso_kg]]*Tabla1[[#This Row],[queso_est_pct]]/100</f>
        <v>0</v>
      </c>
      <c r="R240">
        <f>Tabla1[[#This Row],[queso_kg]]*Tabla1[[#This Row],[queso_mg_pct]]/100</f>
        <v>0</v>
      </c>
      <c r="S240">
        <f>_xlfn.ISOWEEKNUM(Tabla1[[#This Row],[fecha]])</f>
        <v>34</v>
      </c>
      <c r="T240">
        <v>35</v>
      </c>
    </row>
    <row r="241" spans="1:20" x14ac:dyDescent="0.25">
      <c r="A241" s="1">
        <v>45530</v>
      </c>
      <c r="B241">
        <v>4925</v>
      </c>
      <c r="C241">
        <v>4782</v>
      </c>
      <c r="D241">
        <v>39.659999999999997</v>
      </c>
      <c r="E241">
        <v>35.53</v>
      </c>
      <c r="F241">
        <v>5023</v>
      </c>
      <c r="G241">
        <v>39.1</v>
      </c>
      <c r="H241">
        <v>34.85</v>
      </c>
      <c r="I241">
        <v>4553</v>
      </c>
      <c r="J241">
        <v>638.21</v>
      </c>
      <c r="K241">
        <v>50.74</v>
      </c>
      <c r="L241">
        <v>25.72</v>
      </c>
      <c r="M241">
        <f>Tabla1[[#This Row],[entrada_litros]]*Tabla1[[#This Row],[entrada_grasa_g_l]]/100</f>
        <v>1896.5411999999999</v>
      </c>
      <c r="N241">
        <f>Tabla1[[#This Row],[entrada_prot_g_l]]*Tabla1[[#This Row],[entrada_litros]]/100</f>
        <v>1699.0445999999999</v>
      </c>
      <c r="O241">
        <f>Tabla1[[#This Row],[cuba_fab_litros]]*Tabla1[[#This Row],[cuba_fab_grasa_g_l]]</f>
        <v>196399.30000000002</v>
      </c>
      <c r="P241">
        <f>Tabla1[[#This Row],[cuba_fab_litros]]*Tabla1[[#This Row],[cuba_fab_prot_g_l]]/100</f>
        <v>1750.5155000000002</v>
      </c>
      <c r="Q241">
        <f>Tabla1[[#This Row],[queso_kg]]*Tabla1[[#This Row],[queso_est_pct]]/100</f>
        <v>323.82775400000003</v>
      </c>
      <c r="R241">
        <f>Tabla1[[#This Row],[queso_kg]]*Tabla1[[#This Row],[queso_mg_pct]]/100</f>
        <v>164.14761200000001</v>
      </c>
      <c r="S241">
        <f>_xlfn.ISOWEEKNUM(Tabla1[[#This Row],[fecha]])</f>
        <v>35</v>
      </c>
      <c r="T241">
        <v>35</v>
      </c>
    </row>
    <row r="242" spans="1:20" x14ac:dyDescent="0.25">
      <c r="A242" s="1">
        <v>45531</v>
      </c>
      <c r="B242">
        <v>5292</v>
      </c>
      <c r="C242">
        <v>5138</v>
      </c>
      <c r="D242">
        <v>42.54</v>
      </c>
      <c r="E242">
        <v>35.5</v>
      </c>
      <c r="F242">
        <v>5032</v>
      </c>
      <c r="G242">
        <v>39.58</v>
      </c>
      <c r="H242">
        <v>34.47</v>
      </c>
      <c r="I242">
        <v>4691</v>
      </c>
      <c r="J242">
        <v>636.26</v>
      </c>
      <c r="K242">
        <v>51.66</v>
      </c>
      <c r="L242">
        <v>27.35</v>
      </c>
      <c r="M242">
        <f>Tabla1[[#This Row],[entrada_litros]]*Tabla1[[#This Row],[entrada_grasa_g_l]]/100</f>
        <v>2185.7051999999999</v>
      </c>
      <c r="N242">
        <f>Tabla1[[#This Row],[entrada_prot_g_l]]*Tabla1[[#This Row],[entrada_litros]]/100</f>
        <v>1823.99</v>
      </c>
      <c r="O242">
        <f>Tabla1[[#This Row],[cuba_fab_litros]]*Tabla1[[#This Row],[cuba_fab_grasa_g_l]]</f>
        <v>199166.56</v>
      </c>
      <c r="P242">
        <f>Tabla1[[#This Row],[cuba_fab_litros]]*Tabla1[[#This Row],[cuba_fab_prot_g_l]]/100</f>
        <v>1734.5304000000001</v>
      </c>
      <c r="Q242">
        <f>Tabla1[[#This Row],[queso_kg]]*Tabla1[[#This Row],[queso_est_pct]]/100</f>
        <v>328.69191599999999</v>
      </c>
      <c r="R242">
        <f>Tabla1[[#This Row],[queso_kg]]*Tabla1[[#This Row],[queso_mg_pct]]/100</f>
        <v>174.01711</v>
      </c>
      <c r="S242">
        <f>_xlfn.ISOWEEKNUM(Tabla1[[#This Row],[fecha]])</f>
        <v>35</v>
      </c>
      <c r="T242">
        <v>35</v>
      </c>
    </row>
    <row r="243" spans="1:20" x14ac:dyDescent="0.25">
      <c r="A243" s="1">
        <v>45532</v>
      </c>
      <c r="B243">
        <v>4661</v>
      </c>
      <c r="C243">
        <v>4525</v>
      </c>
      <c r="D243">
        <v>44.8</v>
      </c>
      <c r="E243">
        <v>37.340000000000003</v>
      </c>
      <c r="F243">
        <v>5035</v>
      </c>
      <c r="G243">
        <v>41.28</v>
      </c>
      <c r="H243">
        <v>34.700000000000003</v>
      </c>
      <c r="I243">
        <v>4216</v>
      </c>
      <c r="J243">
        <v>631.61</v>
      </c>
      <c r="K243">
        <v>52.37</v>
      </c>
      <c r="L243">
        <v>27.93</v>
      </c>
      <c r="M243">
        <f>Tabla1[[#This Row],[entrada_litros]]*Tabla1[[#This Row],[entrada_grasa_g_l]]/100</f>
        <v>2027.2</v>
      </c>
      <c r="N243">
        <f>Tabla1[[#This Row],[entrada_prot_g_l]]*Tabla1[[#This Row],[entrada_litros]]/100</f>
        <v>1689.6350000000002</v>
      </c>
      <c r="O243">
        <f>Tabla1[[#This Row],[cuba_fab_litros]]*Tabla1[[#This Row],[cuba_fab_grasa_g_l]]</f>
        <v>207844.80000000002</v>
      </c>
      <c r="P243">
        <f>Tabla1[[#This Row],[cuba_fab_litros]]*Tabla1[[#This Row],[cuba_fab_prot_g_l]]/100</f>
        <v>1747.145</v>
      </c>
      <c r="Q243">
        <f>Tabla1[[#This Row],[queso_kg]]*Tabla1[[#This Row],[queso_est_pct]]/100</f>
        <v>330.774157</v>
      </c>
      <c r="R243">
        <f>Tabla1[[#This Row],[queso_kg]]*Tabla1[[#This Row],[queso_mg_pct]]/100</f>
        <v>176.40867300000002</v>
      </c>
      <c r="S243">
        <f>_xlfn.ISOWEEKNUM(Tabla1[[#This Row],[fecha]])</f>
        <v>35</v>
      </c>
      <c r="T243">
        <v>35</v>
      </c>
    </row>
    <row r="244" spans="1:20" x14ac:dyDescent="0.25">
      <c r="A244" s="1">
        <v>45533</v>
      </c>
      <c r="B244">
        <v>4789</v>
      </c>
      <c r="C244">
        <v>4650</v>
      </c>
      <c r="D244">
        <v>40.19</v>
      </c>
      <c r="E244">
        <v>36.729999999999997</v>
      </c>
      <c r="F244">
        <v>5027</v>
      </c>
      <c r="G244">
        <v>39.76</v>
      </c>
      <c r="H244">
        <v>35.03</v>
      </c>
      <c r="I244">
        <v>3866</v>
      </c>
      <c r="J244">
        <v>614.83000000000004</v>
      </c>
      <c r="K244">
        <v>52.9</v>
      </c>
      <c r="L244">
        <v>27</v>
      </c>
      <c r="M244">
        <f>Tabla1[[#This Row],[entrada_litros]]*Tabla1[[#This Row],[entrada_grasa_g_l]]/100</f>
        <v>1868.835</v>
      </c>
      <c r="N244">
        <f>Tabla1[[#This Row],[entrada_prot_g_l]]*Tabla1[[#This Row],[entrada_litros]]/100</f>
        <v>1707.9449999999999</v>
      </c>
      <c r="O244">
        <f>Tabla1[[#This Row],[cuba_fab_litros]]*Tabla1[[#This Row],[cuba_fab_grasa_g_l]]</f>
        <v>199873.52</v>
      </c>
      <c r="P244">
        <f>Tabla1[[#This Row],[cuba_fab_litros]]*Tabla1[[#This Row],[cuba_fab_prot_g_l]]/100</f>
        <v>1760.9581000000001</v>
      </c>
      <c r="Q244">
        <f>Tabla1[[#This Row],[queso_kg]]*Tabla1[[#This Row],[queso_est_pct]]/100</f>
        <v>325.24507</v>
      </c>
      <c r="R244">
        <f>Tabla1[[#This Row],[queso_kg]]*Tabla1[[#This Row],[queso_mg_pct]]/100</f>
        <v>166.00409999999999</v>
      </c>
      <c r="S244">
        <f>_xlfn.ISOWEEKNUM(Tabla1[[#This Row],[fecha]])</f>
        <v>35</v>
      </c>
      <c r="T244">
        <v>35</v>
      </c>
    </row>
    <row r="245" spans="1:20" x14ac:dyDescent="0.25">
      <c r="A245" s="1">
        <v>45534</v>
      </c>
      <c r="F245">
        <v>3881</v>
      </c>
      <c r="G245">
        <v>40.19</v>
      </c>
      <c r="H245">
        <v>35.25</v>
      </c>
      <c r="J245">
        <v>459.09</v>
      </c>
      <c r="K245">
        <v>54.91</v>
      </c>
      <c r="L245">
        <v>27.6</v>
      </c>
      <c r="M245">
        <f>Tabla1[[#This Row],[entrada_litros]]*Tabla1[[#This Row],[entrada_grasa_g_l]]/100</f>
        <v>0</v>
      </c>
      <c r="N245">
        <f>Tabla1[[#This Row],[entrada_prot_g_l]]*Tabla1[[#This Row],[entrada_litros]]/100</f>
        <v>0</v>
      </c>
      <c r="O245">
        <f>Tabla1[[#This Row],[cuba_fab_litros]]*Tabla1[[#This Row],[cuba_fab_grasa_g_l]]</f>
        <v>155977.38999999998</v>
      </c>
      <c r="P245">
        <f>Tabla1[[#This Row],[cuba_fab_litros]]*Tabla1[[#This Row],[cuba_fab_prot_g_l]]/100</f>
        <v>1368.0525</v>
      </c>
      <c r="Q245">
        <f>Tabla1[[#This Row],[queso_kg]]*Tabla1[[#This Row],[queso_est_pct]]/100</f>
        <v>252.08631899999997</v>
      </c>
      <c r="R245">
        <f>Tabla1[[#This Row],[queso_kg]]*Tabla1[[#This Row],[queso_mg_pct]]/100</f>
        <v>126.70884</v>
      </c>
      <c r="S245">
        <f>_xlfn.ISOWEEKNUM(Tabla1[[#This Row],[fecha]])</f>
        <v>35</v>
      </c>
      <c r="T245">
        <v>35</v>
      </c>
    </row>
    <row r="246" spans="1:20" x14ac:dyDescent="0.25">
      <c r="A246" s="1">
        <v>45535</v>
      </c>
      <c r="M246">
        <f>Tabla1[[#This Row],[entrada_litros]]*Tabla1[[#This Row],[entrada_grasa_g_l]]/100</f>
        <v>0</v>
      </c>
      <c r="N246">
        <f>Tabla1[[#This Row],[entrada_prot_g_l]]*Tabla1[[#This Row],[entrada_litros]]/100</f>
        <v>0</v>
      </c>
      <c r="O246">
        <f>Tabla1[[#This Row],[cuba_fab_litros]]*Tabla1[[#This Row],[cuba_fab_grasa_g_l]]</f>
        <v>0</v>
      </c>
      <c r="P246">
        <f>Tabla1[[#This Row],[cuba_fab_litros]]*Tabla1[[#This Row],[cuba_fab_prot_g_l]]/100</f>
        <v>0</v>
      </c>
      <c r="Q246">
        <f>Tabla1[[#This Row],[queso_kg]]*Tabla1[[#This Row],[queso_est_pct]]/100</f>
        <v>0</v>
      </c>
      <c r="R246">
        <f>Tabla1[[#This Row],[queso_kg]]*Tabla1[[#This Row],[queso_mg_pct]]/100</f>
        <v>0</v>
      </c>
      <c r="S246">
        <f>_xlfn.ISOWEEKNUM(Tabla1[[#This Row],[fecha]])</f>
        <v>35</v>
      </c>
      <c r="T246">
        <v>35</v>
      </c>
    </row>
    <row r="247" spans="1:20" x14ac:dyDescent="0.25">
      <c r="A247" s="1">
        <v>45536</v>
      </c>
      <c r="B247">
        <v>4833</v>
      </c>
      <c r="C247">
        <v>4692</v>
      </c>
      <c r="D247">
        <v>41.22</v>
      </c>
      <c r="E247">
        <v>36.57</v>
      </c>
      <c r="I247">
        <v>4692</v>
      </c>
      <c r="M247">
        <f>Tabla1[[#This Row],[entrada_litros]]*Tabla1[[#This Row],[entrada_grasa_g_l]]/100</f>
        <v>1934.0423999999998</v>
      </c>
      <c r="N247">
        <f>Tabla1[[#This Row],[entrada_prot_g_l]]*Tabla1[[#This Row],[entrada_litros]]/100</f>
        <v>1715.8643999999999</v>
      </c>
      <c r="O247">
        <f>Tabla1[[#This Row],[cuba_fab_litros]]*Tabla1[[#This Row],[cuba_fab_grasa_g_l]]</f>
        <v>0</v>
      </c>
      <c r="P247">
        <f>Tabla1[[#This Row],[cuba_fab_litros]]*Tabla1[[#This Row],[cuba_fab_prot_g_l]]/100</f>
        <v>0</v>
      </c>
      <c r="Q247">
        <f>Tabla1[[#This Row],[queso_kg]]*Tabla1[[#This Row],[queso_est_pct]]/100</f>
        <v>0</v>
      </c>
      <c r="R247">
        <f>Tabla1[[#This Row],[queso_kg]]*Tabla1[[#This Row],[queso_mg_pct]]/100</f>
        <v>0</v>
      </c>
      <c r="S247">
        <f>_xlfn.ISOWEEKNUM(Tabla1[[#This Row],[fecha]])</f>
        <v>35</v>
      </c>
      <c r="T247">
        <v>36</v>
      </c>
    </row>
    <row r="248" spans="1:20" x14ac:dyDescent="0.25">
      <c r="A248" s="1">
        <v>45537</v>
      </c>
      <c r="B248">
        <v>5381</v>
      </c>
      <c r="C248">
        <v>5224</v>
      </c>
      <c r="D248">
        <v>43.22</v>
      </c>
      <c r="E248">
        <v>36.36</v>
      </c>
      <c r="F248">
        <v>5022</v>
      </c>
      <c r="G248">
        <v>40.74</v>
      </c>
      <c r="H248">
        <v>34.79</v>
      </c>
      <c r="I248">
        <v>4916</v>
      </c>
      <c r="J248">
        <v>625.92999999999995</v>
      </c>
      <c r="K248">
        <v>51.82</v>
      </c>
      <c r="L248">
        <v>27.27</v>
      </c>
      <c r="M248">
        <f>Tabla1[[#This Row],[entrada_litros]]*Tabla1[[#This Row],[entrada_grasa_g_l]]/100</f>
        <v>2257.8128000000002</v>
      </c>
      <c r="N248">
        <f>Tabla1[[#This Row],[entrada_prot_g_l]]*Tabla1[[#This Row],[entrada_litros]]/100</f>
        <v>1899.4463999999998</v>
      </c>
      <c r="O248">
        <f>Tabla1[[#This Row],[cuba_fab_litros]]*Tabla1[[#This Row],[cuba_fab_grasa_g_l]]</f>
        <v>204596.28</v>
      </c>
      <c r="P248">
        <f>Tabla1[[#This Row],[cuba_fab_litros]]*Tabla1[[#This Row],[cuba_fab_prot_g_l]]/100</f>
        <v>1747.1538</v>
      </c>
      <c r="Q248">
        <f>Tabla1[[#This Row],[queso_kg]]*Tabla1[[#This Row],[queso_est_pct]]/100</f>
        <v>324.35692599999999</v>
      </c>
      <c r="R248">
        <f>Tabla1[[#This Row],[queso_kg]]*Tabla1[[#This Row],[queso_mg_pct]]/100</f>
        <v>170.69111099999998</v>
      </c>
      <c r="S248">
        <f>_xlfn.ISOWEEKNUM(Tabla1[[#This Row],[fecha]])</f>
        <v>36</v>
      </c>
      <c r="T248">
        <v>36</v>
      </c>
    </row>
    <row r="249" spans="1:20" x14ac:dyDescent="0.25">
      <c r="A249" s="1">
        <v>45538</v>
      </c>
      <c r="B249">
        <v>5134</v>
      </c>
      <c r="C249">
        <v>4984</v>
      </c>
      <c r="D249">
        <v>45.82</v>
      </c>
      <c r="E249">
        <v>34.520000000000003</v>
      </c>
      <c r="F249">
        <v>5022</v>
      </c>
      <c r="G249">
        <v>42.29</v>
      </c>
      <c r="H249">
        <v>33.75</v>
      </c>
      <c r="I249">
        <v>4900</v>
      </c>
      <c r="J249">
        <v>637.71</v>
      </c>
      <c r="K249">
        <v>51.77</v>
      </c>
      <c r="L249">
        <v>27.38</v>
      </c>
      <c r="M249">
        <f>Tabla1[[#This Row],[entrada_litros]]*Tabla1[[#This Row],[entrada_grasa_g_l]]/100</f>
        <v>2283.6687999999999</v>
      </c>
      <c r="N249">
        <f>Tabla1[[#This Row],[entrada_prot_g_l]]*Tabla1[[#This Row],[entrada_litros]]/100</f>
        <v>1720.4768000000001</v>
      </c>
      <c r="O249">
        <f>Tabla1[[#This Row],[cuba_fab_litros]]*Tabla1[[#This Row],[cuba_fab_grasa_g_l]]</f>
        <v>212380.38</v>
      </c>
      <c r="P249">
        <f>Tabla1[[#This Row],[cuba_fab_litros]]*Tabla1[[#This Row],[cuba_fab_prot_g_l]]/100</f>
        <v>1694.925</v>
      </c>
      <c r="Q249">
        <f>Tabla1[[#This Row],[queso_kg]]*Tabla1[[#This Row],[queso_est_pct]]/100</f>
        <v>330.14246700000001</v>
      </c>
      <c r="R249">
        <f>Tabla1[[#This Row],[queso_kg]]*Tabla1[[#This Row],[queso_mg_pct]]/100</f>
        <v>174.60499800000002</v>
      </c>
      <c r="S249">
        <f>_xlfn.ISOWEEKNUM(Tabla1[[#This Row],[fecha]])</f>
        <v>36</v>
      </c>
      <c r="T249">
        <v>36</v>
      </c>
    </row>
    <row r="250" spans="1:20" x14ac:dyDescent="0.25">
      <c r="A250" s="1">
        <v>45539</v>
      </c>
      <c r="B250">
        <v>5389</v>
      </c>
      <c r="C250">
        <v>5232</v>
      </c>
      <c r="D250">
        <v>41.46</v>
      </c>
      <c r="E250">
        <v>36.520000000000003</v>
      </c>
      <c r="F250">
        <v>5023</v>
      </c>
      <c r="G250">
        <v>40.68</v>
      </c>
      <c r="H250">
        <v>34.18</v>
      </c>
      <c r="I250">
        <v>5132</v>
      </c>
      <c r="J250">
        <v>641.13</v>
      </c>
      <c r="K250">
        <v>50.6</v>
      </c>
      <c r="L250">
        <v>25.51</v>
      </c>
      <c r="M250">
        <f>Tabla1[[#This Row],[entrada_litros]]*Tabla1[[#This Row],[entrada_grasa_g_l]]/100</f>
        <v>2169.1871999999998</v>
      </c>
      <c r="N250">
        <f>Tabla1[[#This Row],[entrada_prot_g_l]]*Tabla1[[#This Row],[entrada_litros]]/100</f>
        <v>1910.7264000000002</v>
      </c>
      <c r="O250">
        <f>Tabla1[[#This Row],[cuba_fab_litros]]*Tabla1[[#This Row],[cuba_fab_grasa_g_l]]</f>
        <v>204335.63999999998</v>
      </c>
      <c r="P250">
        <f>Tabla1[[#This Row],[cuba_fab_litros]]*Tabla1[[#This Row],[cuba_fab_prot_g_l]]/100</f>
        <v>1716.8613999999998</v>
      </c>
      <c r="Q250">
        <f>Tabla1[[#This Row],[queso_kg]]*Tabla1[[#This Row],[queso_est_pct]]/100</f>
        <v>324.41178000000002</v>
      </c>
      <c r="R250">
        <f>Tabla1[[#This Row],[queso_kg]]*Tabla1[[#This Row],[queso_mg_pct]]/100</f>
        <v>163.55226300000001</v>
      </c>
      <c r="S250">
        <f>_xlfn.ISOWEEKNUM(Tabla1[[#This Row],[fecha]])</f>
        <v>36</v>
      </c>
      <c r="T250">
        <v>36</v>
      </c>
    </row>
    <row r="251" spans="1:20" x14ac:dyDescent="0.25">
      <c r="A251" s="1">
        <v>45540</v>
      </c>
      <c r="B251">
        <v>5155</v>
      </c>
      <c r="C251">
        <v>5005</v>
      </c>
      <c r="D251">
        <v>43.7</v>
      </c>
      <c r="E251">
        <v>36.01</v>
      </c>
      <c r="F251">
        <v>5038</v>
      </c>
      <c r="G251">
        <v>40.950000000000003</v>
      </c>
      <c r="H251">
        <v>34.229999999999997</v>
      </c>
      <c r="I251">
        <v>5137</v>
      </c>
      <c r="J251">
        <v>650.29</v>
      </c>
      <c r="K251">
        <v>50.08</v>
      </c>
      <c r="L251">
        <v>26.72</v>
      </c>
      <c r="M251">
        <f>Tabla1[[#This Row],[entrada_litros]]*Tabla1[[#This Row],[entrada_grasa_g_l]]/100</f>
        <v>2187.1849999999999</v>
      </c>
      <c r="N251">
        <f>Tabla1[[#This Row],[entrada_prot_g_l]]*Tabla1[[#This Row],[entrada_litros]]/100</f>
        <v>1802.3004999999998</v>
      </c>
      <c r="O251">
        <f>Tabla1[[#This Row],[cuba_fab_litros]]*Tabla1[[#This Row],[cuba_fab_grasa_g_l]]</f>
        <v>206306.1</v>
      </c>
      <c r="P251">
        <f>Tabla1[[#This Row],[cuba_fab_litros]]*Tabla1[[#This Row],[cuba_fab_prot_g_l]]/100</f>
        <v>1724.5074</v>
      </c>
      <c r="Q251">
        <f>Tabla1[[#This Row],[queso_kg]]*Tabla1[[#This Row],[queso_est_pct]]/100</f>
        <v>325.66523199999995</v>
      </c>
      <c r="R251">
        <f>Tabla1[[#This Row],[queso_kg]]*Tabla1[[#This Row],[queso_mg_pct]]/100</f>
        <v>173.75748799999997</v>
      </c>
      <c r="S251">
        <f>_xlfn.ISOWEEKNUM(Tabla1[[#This Row],[fecha]])</f>
        <v>36</v>
      </c>
      <c r="T251">
        <v>36</v>
      </c>
    </row>
    <row r="252" spans="1:20" x14ac:dyDescent="0.25">
      <c r="A252" s="1">
        <v>45541</v>
      </c>
      <c r="F252">
        <v>5168</v>
      </c>
      <c r="G252">
        <v>41.14</v>
      </c>
      <c r="H252">
        <v>34.75</v>
      </c>
      <c r="J252">
        <v>654.24</v>
      </c>
      <c r="K252">
        <v>50.9</v>
      </c>
      <c r="L252">
        <v>27.14</v>
      </c>
      <c r="M252">
        <f>Tabla1[[#This Row],[entrada_litros]]*Tabla1[[#This Row],[entrada_grasa_g_l]]/100</f>
        <v>0</v>
      </c>
      <c r="N252">
        <f>Tabla1[[#This Row],[entrada_prot_g_l]]*Tabla1[[#This Row],[entrada_litros]]/100</f>
        <v>0</v>
      </c>
      <c r="O252">
        <f>Tabla1[[#This Row],[cuba_fab_litros]]*Tabla1[[#This Row],[cuba_fab_grasa_g_l]]</f>
        <v>212611.52</v>
      </c>
      <c r="P252">
        <f>Tabla1[[#This Row],[cuba_fab_litros]]*Tabla1[[#This Row],[cuba_fab_prot_g_l]]/100</f>
        <v>1795.88</v>
      </c>
      <c r="Q252">
        <f>Tabla1[[#This Row],[queso_kg]]*Tabla1[[#This Row],[queso_est_pct]]/100</f>
        <v>333.00815999999998</v>
      </c>
      <c r="R252">
        <f>Tabla1[[#This Row],[queso_kg]]*Tabla1[[#This Row],[queso_mg_pct]]/100</f>
        <v>177.56073599999999</v>
      </c>
      <c r="S252">
        <f>_xlfn.ISOWEEKNUM(Tabla1[[#This Row],[fecha]])</f>
        <v>36</v>
      </c>
      <c r="T252">
        <v>36</v>
      </c>
    </row>
    <row r="253" spans="1:20" x14ac:dyDescent="0.25">
      <c r="A253" s="1">
        <v>45542</v>
      </c>
      <c r="M253">
        <f>Tabla1[[#This Row],[entrada_litros]]*Tabla1[[#This Row],[entrada_grasa_g_l]]/100</f>
        <v>0</v>
      </c>
      <c r="N253">
        <f>Tabla1[[#This Row],[entrada_prot_g_l]]*Tabla1[[#This Row],[entrada_litros]]/100</f>
        <v>0</v>
      </c>
      <c r="O253">
        <f>Tabla1[[#This Row],[cuba_fab_litros]]*Tabla1[[#This Row],[cuba_fab_grasa_g_l]]</f>
        <v>0</v>
      </c>
      <c r="P253">
        <f>Tabla1[[#This Row],[cuba_fab_litros]]*Tabla1[[#This Row],[cuba_fab_prot_g_l]]/100</f>
        <v>0</v>
      </c>
      <c r="Q253">
        <f>Tabla1[[#This Row],[queso_kg]]*Tabla1[[#This Row],[queso_est_pct]]/100</f>
        <v>0</v>
      </c>
      <c r="R253">
        <f>Tabla1[[#This Row],[queso_kg]]*Tabla1[[#This Row],[queso_mg_pct]]/100</f>
        <v>0</v>
      </c>
      <c r="S253">
        <f>_xlfn.ISOWEEKNUM(Tabla1[[#This Row],[fecha]])</f>
        <v>36</v>
      </c>
      <c r="T253">
        <v>36</v>
      </c>
    </row>
    <row r="254" spans="1:20" x14ac:dyDescent="0.25">
      <c r="A254" s="1">
        <v>45543</v>
      </c>
      <c r="B254">
        <v>5189</v>
      </c>
      <c r="C254">
        <v>5038</v>
      </c>
      <c r="D254">
        <v>44.34</v>
      </c>
      <c r="E254">
        <v>34.14</v>
      </c>
      <c r="I254">
        <v>5038</v>
      </c>
      <c r="M254">
        <f>Tabla1[[#This Row],[entrada_litros]]*Tabla1[[#This Row],[entrada_grasa_g_l]]/100</f>
        <v>2233.8492000000001</v>
      </c>
      <c r="N254">
        <f>Tabla1[[#This Row],[entrada_prot_g_l]]*Tabla1[[#This Row],[entrada_litros]]/100</f>
        <v>1719.9732000000001</v>
      </c>
      <c r="O254">
        <f>Tabla1[[#This Row],[cuba_fab_litros]]*Tabla1[[#This Row],[cuba_fab_grasa_g_l]]</f>
        <v>0</v>
      </c>
      <c r="P254">
        <f>Tabla1[[#This Row],[cuba_fab_litros]]*Tabla1[[#This Row],[cuba_fab_prot_g_l]]/100</f>
        <v>0</v>
      </c>
      <c r="Q254">
        <f>Tabla1[[#This Row],[queso_kg]]*Tabla1[[#This Row],[queso_est_pct]]/100</f>
        <v>0</v>
      </c>
      <c r="R254">
        <f>Tabla1[[#This Row],[queso_kg]]*Tabla1[[#This Row],[queso_mg_pct]]/100</f>
        <v>0</v>
      </c>
      <c r="S254">
        <f>_xlfn.ISOWEEKNUM(Tabla1[[#This Row],[fecha]])</f>
        <v>36</v>
      </c>
      <c r="T254">
        <v>37</v>
      </c>
    </row>
    <row r="255" spans="1:20" x14ac:dyDescent="0.25">
      <c r="A255" s="1">
        <v>45544</v>
      </c>
      <c r="B255">
        <v>5238</v>
      </c>
      <c r="C255">
        <v>5085</v>
      </c>
      <c r="D255">
        <v>41.98</v>
      </c>
      <c r="E255">
        <v>37.700000000000003</v>
      </c>
      <c r="F255">
        <v>5036</v>
      </c>
      <c r="G255">
        <v>41.17</v>
      </c>
      <c r="H255">
        <v>34.46</v>
      </c>
      <c r="I255">
        <v>5123</v>
      </c>
      <c r="J255">
        <v>637.59</v>
      </c>
      <c r="K255">
        <v>50.88</v>
      </c>
      <c r="L255">
        <v>26.05</v>
      </c>
      <c r="M255">
        <f>Tabla1[[#This Row],[entrada_litros]]*Tabla1[[#This Row],[entrada_grasa_g_l]]/100</f>
        <v>2134.683</v>
      </c>
      <c r="N255">
        <f>Tabla1[[#This Row],[entrada_prot_g_l]]*Tabla1[[#This Row],[entrada_litros]]/100</f>
        <v>1917.0450000000001</v>
      </c>
      <c r="O255">
        <f>Tabla1[[#This Row],[cuba_fab_litros]]*Tabla1[[#This Row],[cuba_fab_grasa_g_l]]</f>
        <v>207332.12</v>
      </c>
      <c r="P255">
        <f>Tabla1[[#This Row],[cuba_fab_litros]]*Tabla1[[#This Row],[cuba_fab_prot_g_l]]/100</f>
        <v>1735.4056</v>
      </c>
      <c r="Q255">
        <f>Tabla1[[#This Row],[queso_kg]]*Tabla1[[#This Row],[queso_est_pct]]/100</f>
        <v>324.40579200000002</v>
      </c>
      <c r="R255">
        <f>Tabla1[[#This Row],[queso_kg]]*Tabla1[[#This Row],[queso_mg_pct]]/100</f>
        <v>166.09219500000003</v>
      </c>
      <c r="S255">
        <f>_xlfn.ISOWEEKNUM(Tabla1[[#This Row],[fecha]])</f>
        <v>37</v>
      </c>
      <c r="T255">
        <v>37</v>
      </c>
    </row>
    <row r="256" spans="1:20" x14ac:dyDescent="0.25">
      <c r="A256" s="1">
        <v>45545</v>
      </c>
      <c r="B256">
        <v>4825</v>
      </c>
      <c r="C256">
        <v>4684</v>
      </c>
      <c r="D256">
        <v>39.659999999999997</v>
      </c>
      <c r="E256">
        <v>34.43</v>
      </c>
      <c r="F256">
        <v>5026</v>
      </c>
      <c r="G256">
        <v>39.39</v>
      </c>
      <c r="H256">
        <v>33.840000000000003</v>
      </c>
      <c r="I256">
        <v>4807</v>
      </c>
      <c r="J256">
        <v>646.74</v>
      </c>
      <c r="K256">
        <v>51.36</v>
      </c>
      <c r="L256">
        <v>26.52</v>
      </c>
      <c r="M256">
        <f>Tabla1[[#This Row],[entrada_litros]]*Tabla1[[#This Row],[entrada_grasa_g_l]]/100</f>
        <v>1857.6743999999997</v>
      </c>
      <c r="N256">
        <f>Tabla1[[#This Row],[entrada_prot_g_l]]*Tabla1[[#This Row],[entrada_litros]]/100</f>
        <v>1612.7012</v>
      </c>
      <c r="O256">
        <f>Tabla1[[#This Row],[cuba_fab_litros]]*Tabla1[[#This Row],[cuba_fab_grasa_g_l]]</f>
        <v>197974.14</v>
      </c>
      <c r="P256">
        <f>Tabla1[[#This Row],[cuba_fab_litros]]*Tabla1[[#This Row],[cuba_fab_prot_g_l]]/100</f>
        <v>1700.7984000000004</v>
      </c>
      <c r="Q256">
        <f>Tabla1[[#This Row],[queso_kg]]*Tabla1[[#This Row],[queso_est_pct]]/100</f>
        <v>332.16566400000005</v>
      </c>
      <c r="R256">
        <f>Tabla1[[#This Row],[queso_kg]]*Tabla1[[#This Row],[queso_mg_pct]]/100</f>
        <v>171.51544799999999</v>
      </c>
      <c r="S256">
        <f>_xlfn.ISOWEEKNUM(Tabla1[[#This Row],[fecha]])</f>
        <v>37</v>
      </c>
      <c r="T256">
        <v>37</v>
      </c>
    </row>
    <row r="257" spans="1:20" x14ac:dyDescent="0.25">
      <c r="A257" s="1">
        <v>45546</v>
      </c>
      <c r="B257">
        <v>5026</v>
      </c>
      <c r="C257">
        <v>4880</v>
      </c>
      <c r="D257">
        <v>42.59</v>
      </c>
      <c r="E257">
        <v>34.619999999999997</v>
      </c>
      <c r="F257">
        <v>5023</v>
      </c>
      <c r="G257">
        <v>40.56</v>
      </c>
      <c r="H257">
        <v>33.200000000000003</v>
      </c>
      <c r="I257">
        <v>4687</v>
      </c>
      <c r="J257">
        <v>632.46</v>
      </c>
      <c r="K257">
        <v>51.87</v>
      </c>
      <c r="L257">
        <v>28.37</v>
      </c>
      <c r="M257">
        <f>Tabla1[[#This Row],[entrada_litros]]*Tabla1[[#This Row],[entrada_grasa_g_l]]/100</f>
        <v>2078.3920000000003</v>
      </c>
      <c r="N257">
        <f>Tabla1[[#This Row],[entrada_prot_g_l]]*Tabla1[[#This Row],[entrada_litros]]/100</f>
        <v>1689.4559999999997</v>
      </c>
      <c r="O257">
        <f>Tabla1[[#This Row],[cuba_fab_litros]]*Tabla1[[#This Row],[cuba_fab_grasa_g_l]]</f>
        <v>203732.88</v>
      </c>
      <c r="P257">
        <f>Tabla1[[#This Row],[cuba_fab_litros]]*Tabla1[[#This Row],[cuba_fab_prot_g_l]]/100</f>
        <v>1667.636</v>
      </c>
      <c r="Q257">
        <f>Tabla1[[#This Row],[queso_kg]]*Tabla1[[#This Row],[queso_est_pct]]/100</f>
        <v>328.05700200000001</v>
      </c>
      <c r="R257">
        <f>Tabla1[[#This Row],[queso_kg]]*Tabla1[[#This Row],[queso_mg_pct]]/100</f>
        <v>179.42890200000002</v>
      </c>
      <c r="S257">
        <f>_xlfn.ISOWEEKNUM(Tabla1[[#This Row],[fecha]])</f>
        <v>37</v>
      </c>
      <c r="T257">
        <v>37</v>
      </c>
    </row>
    <row r="258" spans="1:20" x14ac:dyDescent="0.25">
      <c r="A258" s="1">
        <v>45547</v>
      </c>
      <c r="B258">
        <v>5321</v>
      </c>
      <c r="C258">
        <v>5166</v>
      </c>
      <c r="D258">
        <v>40.229999999999997</v>
      </c>
      <c r="E258">
        <v>34.78</v>
      </c>
      <c r="F258">
        <v>5022</v>
      </c>
      <c r="G258">
        <v>39.33</v>
      </c>
      <c r="H258">
        <v>33.54</v>
      </c>
      <c r="I258">
        <v>4853</v>
      </c>
      <c r="J258">
        <v>661.92</v>
      </c>
      <c r="K258">
        <v>49.41</v>
      </c>
      <c r="L258">
        <v>26.36</v>
      </c>
      <c r="M258">
        <f>Tabla1[[#This Row],[entrada_litros]]*Tabla1[[#This Row],[entrada_grasa_g_l]]/100</f>
        <v>2078.2817999999997</v>
      </c>
      <c r="N258">
        <f>Tabla1[[#This Row],[entrada_prot_g_l]]*Tabla1[[#This Row],[entrada_litros]]/100</f>
        <v>1796.7348000000002</v>
      </c>
      <c r="O258">
        <f>Tabla1[[#This Row],[cuba_fab_litros]]*Tabla1[[#This Row],[cuba_fab_grasa_g_l]]</f>
        <v>197515.25999999998</v>
      </c>
      <c r="P258">
        <f>Tabla1[[#This Row],[cuba_fab_litros]]*Tabla1[[#This Row],[cuba_fab_prot_g_l]]/100</f>
        <v>1684.3788</v>
      </c>
      <c r="Q258">
        <f>Tabla1[[#This Row],[queso_kg]]*Tabla1[[#This Row],[queso_est_pct]]/100</f>
        <v>327.05467199999998</v>
      </c>
      <c r="R258">
        <f>Tabla1[[#This Row],[queso_kg]]*Tabla1[[#This Row],[queso_mg_pct]]/100</f>
        <v>174.48211199999997</v>
      </c>
      <c r="S258">
        <f>_xlfn.ISOWEEKNUM(Tabla1[[#This Row],[fecha]])</f>
        <v>37</v>
      </c>
      <c r="T258">
        <v>37</v>
      </c>
    </row>
    <row r="259" spans="1:20" x14ac:dyDescent="0.25">
      <c r="A259" s="1">
        <v>45548</v>
      </c>
      <c r="F259">
        <v>4873</v>
      </c>
      <c r="G259">
        <v>39.54</v>
      </c>
      <c r="H259">
        <v>33.46</v>
      </c>
      <c r="J259">
        <v>627.13</v>
      </c>
      <c r="K259">
        <v>51.1</v>
      </c>
      <c r="L259">
        <v>27.44</v>
      </c>
      <c r="M259">
        <f>Tabla1[[#This Row],[entrada_litros]]*Tabla1[[#This Row],[entrada_grasa_g_l]]/100</f>
        <v>0</v>
      </c>
      <c r="N259">
        <f>Tabla1[[#This Row],[entrada_prot_g_l]]*Tabla1[[#This Row],[entrada_litros]]/100</f>
        <v>0</v>
      </c>
      <c r="O259">
        <f>Tabla1[[#This Row],[cuba_fab_litros]]*Tabla1[[#This Row],[cuba_fab_grasa_g_l]]</f>
        <v>192678.41999999998</v>
      </c>
      <c r="P259">
        <f>Tabla1[[#This Row],[cuba_fab_litros]]*Tabla1[[#This Row],[cuba_fab_prot_g_l]]/100</f>
        <v>1630.5058000000001</v>
      </c>
      <c r="Q259">
        <f>Tabla1[[#This Row],[queso_kg]]*Tabla1[[#This Row],[queso_est_pct]]/100</f>
        <v>320.46343000000002</v>
      </c>
      <c r="R259">
        <f>Tabla1[[#This Row],[queso_kg]]*Tabla1[[#This Row],[queso_mg_pct]]/100</f>
        <v>172.08447200000003</v>
      </c>
      <c r="S259">
        <f>_xlfn.ISOWEEKNUM(Tabla1[[#This Row],[fecha]])</f>
        <v>37</v>
      </c>
      <c r="T259">
        <v>37</v>
      </c>
    </row>
    <row r="260" spans="1:20" x14ac:dyDescent="0.25">
      <c r="A260" s="1">
        <v>45549</v>
      </c>
      <c r="M260">
        <f>Tabla1[[#This Row],[entrada_litros]]*Tabla1[[#This Row],[entrada_grasa_g_l]]/100</f>
        <v>0</v>
      </c>
      <c r="N260">
        <f>Tabla1[[#This Row],[entrada_prot_g_l]]*Tabla1[[#This Row],[entrada_litros]]/100</f>
        <v>0</v>
      </c>
      <c r="O260">
        <f>Tabla1[[#This Row],[cuba_fab_litros]]*Tabla1[[#This Row],[cuba_fab_grasa_g_l]]</f>
        <v>0</v>
      </c>
      <c r="P260">
        <f>Tabla1[[#This Row],[cuba_fab_litros]]*Tabla1[[#This Row],[cuba_fab_prot_g_l]]/100</f>
        <v>0</v>
      </c>
      <c r="Q260">
        <f>Tabla1[[#This Row],[queso_kg]]*Tabla1[[#This Row],[queso_est_pct]]/100</f>
        <v>0</v>
      </c>
      <c r="R260">
        <f>Tabla1[[#This Row],[queso_kg]]*Tabla1[[#This Row],[queso_mg_pct]]/100</f>
        <v>0</v>
      </c>
      <c r="S260">
        <f>_xlfn.ISOWEEKNUM(Tabla1[[#This Row],[fecha]])</f>
        <v>37</v>
      </c>
      <c r="T260">
        <v>37</v>
      </c>
    </row>
    <row r="261" spans="1:20" x14ac:dyDescent="0.25">
      <c r="A261" s="1">
        <v>45550</v>
      </c>
      <c r="B261">
        <v>5075</v>
      </c>
      <c r="C261">
        <v>4927</v>
      </c>
      <c r="D261">
        <v>43.3</v>
      </c>
      <c r="E261">
        <v>35.53</v>
      </c>
      <c r="I261">
        <v>4927</v>
      </c>
      <c r="M261">
        <f>Tabla1[[#This Row],[entrada_litros]]*Tabla1[[#This Row],[entrada_grasa_g_l]]/100</f>
        <v>2133.3909999999996</v>
      </c>
      <c r="N261">
        <f>Tabla1[[#This Row],[entrada_prot_g_l]]*Tabla1[[#This Row],[entrada_litros]]/100</f>
        <v>1750.5631000000001</v>
      </c>
      <c r="O261">
        <f>Tabla1[[#This Row],[cuba_fab_litros]]*Tabla1[[#This Row],[cuba_fab_grasa_g_l]]</f>
        <v>0</v>
      </c>
      <c r="P261">
        <f>Tabla1[[#This Row],[cuba_fab_litros]]*Tabla1[[#This Row],[cuba_fab_prot_g_l]]/100</f>
        <v>0</v>
      </c>
      <c r="Q261">
        <f>Tabla1[[#This Row],[queso_kg]]*Tabla1[[#This Row],[queso_est_pct]]/100</f>
        <v>0</v>
      </c>
      <c r="R261">
        <f>Tabla1[[#This Row],[queso_kg]]*Tabla1[[#This Row],[queso_mg_pct]]/100</f>
        <v>0</v>
      </c>
      <c r="S261">
        <f>_xlfn.ISOWEEKNUM(Tabla1[[#This Row],[fecha]])</f>
        <v>37</v>
      </c>
      <c r="T261">
        <v>38</v>
      </c>
    </row>
    <row r="262" spans="1:20" x14ac:dyDescent="0.25">
      <c r="A262" s="1">
        <v>45551</v>
      </c>
      <c r="B262">
        <v>5318</v>
      </c>
      <c r="C262">
        <v>5163</v>
      </c>
      <c r="D262">
        <v>42.61</v>
      </c>
      <c r="E262">
        <v>35.03</v>
      </c>
      <c r="F262">
        <v>5025</v>
      </c>
      <c r="G262">
        <v>41.13</v>
      </c>
      <c r="H262">
        <v>33.6</v>
      </c>
      <c r="I262">
        <v>5090</v>
      </c>
      <c r="J262">
        <v>653.04</v>
      </c>
      <c r="K262">
        <v>50.06</v>
      </c>
      <c r="L262">
        <v>26.58</v>
      </c>
      <c r="M262">
        <f>Tabla1[[#This Row],[entrada_litros]]*Tabla1[[#This Row],[entrada_grasa_g_l]]/100</f>
        <v>2199.9542999999999</v>
      </c>
      <c r="N262">
        <f>Tabla1[[#This Row],[entrada_prot_g_l]]*Tabla1[[#This Row],[entrada_litros]]/100</f>
        <v>1808.5989000000002</v>
      </c>
      <c r="O262">
        <f>Tabla1[[#This Row],[cuba_fab_litros]]*Tabla1[[#This Row],[cuba_fab_grasa_g_l]]</f>
        <v>206678.25</v>
      </c>
      <c r="P262">
        <f>Tabla1[[#This Row],[cuba_fab_litros]]*Tabla1[[#This Row],[cuba_fab_prot_g_l]]/100</f>
        <v>1688.4</v>
      </c>
      <c r="Q262">
        <f>Tabla1[[#This Row],[queso_kg]]*Tabla1[[#This Row],[queso_est_pct]]/100</f>
        <v>326.91182399999997</v>
      </c>
      <c r="R262">
        <f>Tabla1[[#This Row],[queso_kg]]*Tabla1[[#This Row],[queso_mg_pct]]/100</f>
        <v>173.57803199999998</v>
      </c>
      <c r="S262">
        <f>_xlfn.ISOWEEKNUM(Tabla1[[#This Row],[fecha]])</f>
        <v>38</v>
      </c>
      <c r="T262">
        <v>38</v>
      </c>
    </row>
    <row r="263" spans="1:20" x14ac:dyDescent="0.25">
      <c r="A263" s="1">
        <v>45552</v>
      </c>
      <c r="B263">
        <v>5074</v>
      </c>
      <c r="C263">
        <v>4926</v>
      </c>
      <c r="D263">
        <v>40.92</v>
      </c>
      <c r="E263">
        <v>36</v>
      </c>
      <c r="F263">
        <v>5012</v>
      </c>
      <c r="G263">
        <v>40.43</v>
      </c>
      <c r="H263">
        <v>34.380000000000003</v>
      </c>
      <c r="I263">
        <v>5016</v>
      </c>
      <c r="J263">
        <v>644.14</v>
      </c>
      <c r="K263">
        <v>50.6</v>
      </c>
      <c r="L263">
        <v>27.17</v>
      </c>
      <c r="M263">
        <f>Tabla1[[#This Row],[entrada_litros]]*Tabla1[[#This Row],[entrada_grasa_g_l]]/100</f>
        <v>2015.7192000000002</v>
      </c>
      <c r="N263">
        <f>Tabla1[[#This Row],[entrada_prot_g_l]]*Tabla1[[#This Row],[entrada_litros]]/100</f>
        <v>1773.36</v>
      </c>
      <c r="O263">
        <f>Tabla1[[#This Row],[cuba_fab_litros]]*Tabla1[[#This Row],[cuba_fab_grasa_g_l]]</f>
        <v>202635.16</v>
      </c>
      <c r="P263">
        <f>Tabla1[[#This Row],[cuba_fab_litros]]*Tabla1[[#This Row],[cuba_fab_prot_g_l]]/100</f>
        <v>1723.1256000000003</v>
      </c>
      <c r="Q263">
        <f>Tabla1[[#This Row],[queso_kg]]*Tabla1[[#This Row],[queso_est_pct]]/100</f>
        <v>325.93484000000001</v>
      </c>
      <c r="R263">
        <f>Tabla1[[#This Row],[queso_kg]]*Tabla1[[#This Row],[queso_mg_pct]]/100</f>
        <v>175.01283800000002</v>
      </c>
      <c r="S263">
        <f>_xlfn.ISOWEEKNUM(Tabla1[[#This Row],[fecha]])</f>
        <v>38</v>
      </c>
      <c r="T263">
        <v>38</v>
      </c>
    </row>
    <row r="264" spans="1:20" x14ac:dyDescent="0.25">
      <c r="A264" s="1">
        <v>45553</v>
      </c>
      <c r="B264">
        <v>5354</v>
      </c>
      <c r="C264">
        <v>5198</v>
      </c>
      <c r="D264">
        <v>41</v>
      </c>
      <c r="E264">
        <v>36.08</v>
      </c>
      <c r="F264">
        <v>5027</v>
      </c>
      <c r="G264">
        <v>39.479999999999997</v>
      </c>
      <c r="H264">
        <v>34.14</v>
      </c>
      <c r="I264">
        <v>5214</v>
      </c>
      <c r="J264">
        <v>623.97</v>
      </c>
      <c r="K264">
        <v>52.3</v>
      </c>
      <c r="L264">
        <v>26.45</v>
      </c>
      <c r="M264">
        <f>Tabla1[[#This Row],[entrada_litros]]*Tabla1[[#This Row],[entrada_grasa_g_l]]/100</f>
        <v>2131.1799999999998</v>
      </c>
      <c r="N264">
        <f>Tabla1[[#This Row],[entrada_prot_g_l]]*Tabla1[[#This Row],[entrada_litros]]/100</f>
        <v>1875.4384</v>
      </c>
      <c r="O264">
        <f>Tabla1[[#This Row],[cuba_fab_litros]]*Tabla1[[#This Row],[cuba_fab_grasa_g_l]]</f>
        <v>198465.96</v>
      </c>
      <c r="P264">
        <f>Tabla1[[#This Row],[cuba_fab_litros]]*Tabla1[[#This Row],[cuba_fab_prot_g_l]]/100</f>
        <v>1716.2177999999999</v>
      </c>
      <c r="Q264">
        <f>Tabla1[[#This Row],[queso_kg]]*Tabla1[[#This Row],[queso_est_pct]]/100</f>
        <v>326.33631000000003</v>
      </c>
      <c r="R264">
        <f>Tabla1[[#This Row],[queso_kg]]*Tabla1[[#This Row],[queso_mg_pct]]/100</f>
        <v>165.040065</v>
      </c>
      <c r="S264">
        <f>_xlfn.ISOWEEKNUM(Tabla1[[#This Row],[fecha]])</f>
        <v>38</v>
      </c>
      <c r="T264">
        <v>38</v>
      </c>
    </row>
    <row r="265" spans="1:20" x14ac:dyDescent="0.25">
      <c r="A265" s="1">
        <v>45554</v>
      </c>
      <c r="B265">
        <v>5438</v>
      </c>
      <c r="C265">
        <v>5280</v>
      </c>
      <c r="D265">
        <v>40.17</v>
      </c>
      <c r="E265">
        <v>34.29</v>
      </c>
      <c r="F265">
        <v>5028</v>
      </c>
      <c r="G265">
        <v>38.9</v>
      </c>
      <c r="H265">
        <v>33.409999999999997</v>
      </c>
      <c r="I265">
        <v>5494</v>
      </c>
      <c r="J265">
        <v>622.69000000000005</v>
      </c>
      <c r="K265">
        <v>52.4</v>
      </c>
      <c r="L265">
        <v>26.99</v>
      </c>
      <c r="M265">
        <f>Tabla1[[#This Row],[entrada_litros]]*Tabla1[[#This Row],[entrada_grasa_g_l]]/100</f>
        <v>2120.9760000000001</v>
      </c>
      <c r="N265">
        <f>Tabla1[[#This Row],[entrada_prot_g_l]]*Tabla1[[#This Row],[entrada_litros]]/100</f>
        <v>1810.5119999999997</v>
      </c>
      <c r="O265">
        <f>Tabla1[[#This Row],[cuba_fab_litros]]*Tabla1[[#This Row],[cuba_fab_grasa_g_l]]</f>
        <v>195589.19999999998</v>
      </c>
      <c r="P265">
        <f>Tabla1[[#This Row],[cuba_fab_litros]]*Tabla1[[#This Row],[cuba_fab_prot_g_l]]/100</f>
        <v>1679.8547999999998</v>
      </c>
      <c r="Q265">
        <f>Tabla1[[#This Row],[queso_kg]]*Tabla1[[#This Row],[queso_est_pct]]/100</f>
        <v>326.28955999999999</v>
      </c>
      <c r="R265">
        <f>Tabla1[[#This Row],[queso_kg]]*Tabla1[[#This Row],[queso_mg_pct]]/100</f>
        <v>168.064031</v>
      </c>
      <c r="S265">
        <f>_xlfn.ISOWEEKNUM(Tabla1[[#This Row],[fecha]])</f>
        <v>38</v>
      </c>
      <c r="T265">
        <v>38</v>
      </c>
    </row>
    <row r="266" spans="1:20" x14ac:dyDescent="0.25">
      <c r="A266" s="1">
        <v>45555</v>
      </c>
      <c r="F266">
        <v>5519</v>
      </c>
      <c r="G266">
        <v>38.9</v>
      </c>
      <c r="H266">
        <v>33.47</v>
      </c>
      <c r="J266">
        <v>711.84</v>
      </c>
      <c r="K266">
        <v>50.01</v>
      </c>
      <c r="L266">
        <v>26.29</v>
      </c>
      <c r="M266">
        <f>Tabla1[[#This Row],[entrada_litros]]*Tabla1[[#This Row],[entrada_grasa_g_l]]/100</f>
        <v>0</v>
      </c>
      <c r="N266">
        <f>Tabla1[[#This Row],[entrada_prot_g_l]]*Tabla1[[#This Row],[entrada_litros]]/100</f>
        <v>0</v>
      </c>
      <c r="O266">
        <f>Tabla1[[#This Row],[cuba_fab_litros]]*Tabla1[[#This Row],[cuba_fab_grasa_g_l]]</f>
        <v>214689.1</v>
      </c>
      <c r="P266">
        <f>Tabla1[[#This Row],[cuba_fab_litros]]*Tabla1[[#This Row],[cuba_fab_prot_g_l]]/100</f>
        <v>1847.2093</v>
      </c>
      <c r="Q266">
        <f>Tabla1[[#This Row],[queso_kg]]*Tabla1[[#This Row],[queso_est_pct]]/100</f>
        <v>355.99118399999998</v>
      </c>
      <c r="R266">
        <f>Tabla1[[#This Row],[queso_kg]]*Tabla1[[#This Row],[queso_mg_pct]]/100</f>
        <v>187.14273600000001</v>
      </c>
      <c r="S266">
        <f>_xlfn.ISOWEEKNUM(Tabla1[[#This Row],[fecha]])</f>
        <v>38</v>
      </c>
      <c r="T266">
        <v>38</v>
      </c>
    </row>
    <row r="267" spans="1:20" x14ac:dyDescent="0.25">
      <c r="A267" s="1">
        <v>45556</v>
      </c>
      <c r="M267">
        <f>Tabla1[[#This Row],[entrada_litros]]*Tabla1[[#This Row],[entrada_grasa_g_l]]/100</f>
        <v>0</v>
      </c>
      <c r="N267">
        <f>Tabla1[[#This Row],[entrada_prot_g_l]]*Tabla1[[#This Row],[entrada_litros]]/100</f>
        <v>0</v>
      </c>
      <c r="O267">
        <f>Tabla1[[#This Row],[cuba_fab_litros]]*Tabla1[[#This Row],[cuba_fab_grasa_g_l]]</f>
        <v>0</v>
      </c>
      <c r="P267">
        <f>Tabla1[[#This Row],[cuba_fab_litros]]*Tabla1[[#This Row],[cuba_fab_prot_g_l]]/100</f>
        <v>0</v>
      </c>
      <c r="Q267">
        <f>Tabla1[[#This Row],[queso_kg]]*Tabla1[[#This Row],[queso_est_pct]]/100</f>
        <v>0</v>
      </c>
      <c r="R267">
        <f>Tabla1[[#This Row],[queso_kg]]*Tabla1[[#This Row],[queso_mg_pct]]/100</f>
        <v>0</v>
      </c>
      <c r="S267">
        <f>_xlfn.ISOWEEKNUM(Tabla1[[#This Row],[fecha]])</f>
        <v>38</v>
      </c>
      <c r="T267">
        <v>38</v>
      </c>
    </row>
    <row r="268" spans="1:20" x14ac:dyDescent="0.25">
      <c r="A268" s="1">
        <v>45557</v>
      </c>
      <c r="B268">
        <v>5292</v>
      </c>
      <c r="C268">
        <v>5138</v>
      </c>
      <c r="D268">
        <v>40.840000000000003</v>
      </c>
      <c r="E268">
        <v>35.200000000000003</v>
      </c>
      <c r="I268">
        <v>5138</v>
      </c>
      <c r="M268">
        <f>Tabla1[[#This Row],[entrada_litros]]*Tabla1[[#This Row],[entrada_grasa_g_l]]/100</f>
        <v>2098.3592000000003</v>
      </c>
      <c r="N268">
        <f>Tabla1[[#This Row],[entrada_prot_g_l]]*Tabla1[[#This Row],[entrada_litros]]/100</f>
        <v>1808.576</v>
      </c>
      <c r="O268">
        <f>Tabla1[[#This Row],[cuba_fab_litros]]*Tabla1[[#This Row],[cuba_fab_grasa_g_l]]</f>
        <v>0</v>
      </c>
      <c r="P268">
        <f>Tabla1[[#This Row],[cuba_fab_litros]]*Tabla1[[#This Row],[cuba_fab_prot_g_l]]/100</f>
        <v>0</v>
      </c>
      <c r="Q268">
        <f>Tabla1[[#This Row],[queso_kg]]*Tabla1[[#This Row],[queso_est_pct]]/100</f>
        <v>0</v>
      </c>
      <c r="R268">
        <f>Tabla1[[#This Row],[queso_kg]]*Tabla1[[#This Row],[queso_mg_pct]]/100</f>
        <v>0</v>
      </c>
      <c r="S268">
        <f>_xlfn.ISOWEEKNUM(Tabla1[[#This Row],[fecha]])</f>
        <v>38</v>
      </c>
      <c r="T268">
        <v>39</v>
      </c>
    </row>
    <row r="269" spans="1:20" x14ac:dyDescent="0.25">
      <c r="A269" s="1">
        <v>45558</v>
      </c>
      <c r="B269">
        <v>5662</v>
      </c>
      <c r="C269">
        <v>5497</v>
      </c>
      <c r="D269">
        <v>44.44</v>
      </c>
      <c r="E269">
        <v>34.549999999999997</v>
      </c>
      <c r="F269">
        <v>5020</v>
      </c>
      <c r="G269">
        <v>40.590000000000003</v>
      </c>
      <c r="H269">
        <v>33.28</v>
      </c>
      <c r="I269">
        <v>5635</v>
      </c>
      <c r="J269">
        <v>640.41</v>
      </c>
      <c r="K269">
        <v>51.25</v>
      </c>
      <c r="L269">
        <v>25.61</v>
      </c>
      <c r="M269">
        <f>Tabla1[[#This Row],[entrada_litros]]*Tabla1[[#This Row],[entrada_grasa_g_l]]/100</f>
        <v>2442.8667999999998</v>
      </c>
      <c r="N269">
        <f>Tabla1[[#This Row],[entrada_prot_g_l]]*Tabla1[[#This Row],[entrada_litros]]/100</f>
        <v>1899.2134999999998</v>
      </c>
      <c r="O269">
        <f>Tabla1[[#This Row],[cuba_fab_litros]]*Tabla1[[#This Row],[cuba_fab_grasa_g_l]]</f>
        <v>203761.80000000002</v>
      </c>
      <c r="P269">
        <f>Tabla1[[#This Row],[cuba_fab_litros]]*Tabla1[[#This Row],[cuba_fab_prot_g_l]]/100</f>
        <v>1670.6559999999999</v>
      </c>
      <c r="Q269">
        <f>Tabla1[[#This Row],[queso_kg]]*Tabla1[[#This Row],[queso_est_pct]]/100</f>
        <v>328.21012499999995</v>
      </c>
      <c r="R269">
        <f>Tabla1[[#This Row],[queso_kg]]*Tabla1[[#This Row],[queso_mg_pct]]/100</f>
        <v>164.00900099999998</v>
      </c>
      <c r="S269">
        <f>_xlfn.ISOWEEKNUM(Tabla1[[#This Row],[fecha]])</f>
        <v>39</v>
      </c>
      <c r="T269">
        <v>39</v>
      </c>
    </row>
    <row r="270" spans="1:20" x14ac:dyDescent="0.25">
      <c r="A270" s="1">
        <v>45559</v>
      </c>
      <c r="B270">
        <v>4970</v>
      </c>
      <c r="C270">
        <v>4825</v>
      </c>
      <c r="D270">
        <v>42.03</v>
      </c>
      <c r="E270">
        <v>35.299999999999997</v>
      </c>
      <c r="F270">
        <v>5025</v>
      </c>
      <c r="G270">
        <v>40.39</v>
      </c>
      <c r="H270">
        <v>33.47</v>
      </c>
      <c r="I270">
        <v>5460</v>
      </c>
      <c r="J270">
        <v>626.65</v>
      </c>
      <c r="K270">
        <v>52.12</v>
      </c>
      <c r="L270">
        <v>28.05</v>
      </c>
      <c r="M270">
        <f>Tabla1[[#This Row],[entrada_litros]]*Tabla1[[#This Row],[entrada_grasa_g_l]]/100</f>
        <v>2027.9475</v>
      </c>
      <c r="N270">
        <f>Tabla1[[#This Row],[entrada_prot_g_l]]*Tabla1[[#This Row],[entrada_litros]]/100</f>
        <v>1703.2249999999999</v>
      </c>
      <c r="O270">
        <f>Tabla1[[#This Row],[cuba_fab_litros]]*Tabla1[[#This Row],[cuba_fab_grasa_g_l]]</f>
        <v>202959.75</v>
      </c>
      <c r="P270">
        <f>Tabla1[[#This Row],[cuba_fab_litros]]*Tabla1[[#This Row],[cuba_fab_prot_g_l]]/100</f>
        <v>1681.8675000000001</v>
      </c>
      <c r="Q270">
        <f>Tabla1[[#This Row],[queso_kg]]*Tabla1[[#This Row],[queso_est_pct]]/100</f>
        <v>326.60997999999995</v>
      </c>
      <c r="R270">
        <f>Tabla1[[#This Row],[queso_kg]]*Tabla1[[#This Row],[queso_mg_pct]]/100</f>
        <v>175.77532500000001</v>
      </c>
      <c r="S270">
        <f>_xlfn.ISOWEEKNUM(Tabla1[[#This Row],[fecha]])</f>
        <v>39</v>
      </c>
      <c r="T270">
        <v>39</v>
      </c>
    </row>
    <row r="271" spans="1:20" x14ac:dyDescent="0.25">
      <c r="A271" s="1">
        <v>45560</v>
      </c>
      <c r="B271">
        <v>5312</v>
      </c>
      <c r="C271">
        <v>5157</v>
      </c>
      <c r="D271">
        <v>46.08</v>
      </c>
      <c r="E271">
        <v>36.61</v>
      </c>
      <c r="F271">
        <v>5021</v>
      </c>
      <c r="G271">
        <v>42.01</v>
      </c>
      <c r="H271">
        <v>34.369999999999997</v>
      </c>
      <c r="I271">
        <v>5617</v>
      </c>
      <c r="J271">
        <v>617.83000000000004</v>
      </c>
      <c r="K271">
        <v>52.8</v>
      </c>
      <c r="L271">
        <v>27.07</v>
      </c>
      <c r="M271">
        <f>Tabla1[[#This Row],[entrada_litros]]*Tabla1[[#This Row],[entrada_grasa_g_l]]/100</f>
        <v>2376.3456000000001</v>
      </c>
      <c r="N271">
        <f>Tabla1[[#This Row],[entrada_prot_g_l]]*Tabla1[[#This Row],[entrada_litros]]/100</f>
        <v>1887.9776999999999</v>
      </c>
      <c r="O271">
        <f>Tabla1[[#This Row],[cuba_fab_litros]]*Tabla1[[#This Row],[cuba_fab_grasa_g_l]]</f>
        <v>210932.21</v>
      </c>
      <c r="P271">
        <f>Tabla1[[#This Row],[cuba_fab_litros]]*Tabla1[[#This Row],[cuba_fab_prot_g_l]]/100</f>
        <v>1725.7176999999999</v>
      </c>
      <c r="Q271">
        <f>Tabla1[[#This Row],[queso_kg]]*Tabla1[[#This Row],[queso_est_pct]]/100</f>
        <v>326.21424000000002</v>
      </c>
      <c r="R271">
        <f>Tabla1[[#This Row],[queso_kg]]*Tabla1[[#This Row],[queso_mg_pct]]/100</f>
        <v>167.24658099999999</v>
      </c>
      <c r="S271">
        <f>_xlfn.ISOWEEKNUM(Tabla1[[#This Row],[fecha]])</f>
        <v>39</v>
      </c>
      <c r="T271">
        <v>39</v>
      </c>
    </row>
    <row r="272" spans="1:20" x14ac:dyDescent="0.25">
      <c r="A272" s="1">
        <v>45561</v>
      </c>
      <c r="B272">
        <v>5263</v>
      </c>
      <c r="C272">
        <v>5110</v>
      </c>
      <c r="D272">
        <v>41.08</v>
      </c>
      <c r="E272">
        <v>35.32</v>
      </c>
      <c r="F272">
        <v>5029</v>
      </c>
      <c r="G272">
        <v>40.98</v>
      </c>
      <c r="H272">
        <v>34.200000000000003</v>
      </c>
      <c r="I272">
        <v>5727</v>
      </c>
      <c r="J272">
        <v>620.45000000000005</v>
      </c>
      <c r="K272">
        <v>53.1</v>
      </c>
      <c r="L272">
        <v>27.01</v>
      </c>
      <c r="M272">
        <f>Tabla1[[#This Row],[entrada_litros]]*Tabla1[[#This Row],[entrada_grasa_g_l]]/100</f>
        <v>2099.1880000000001</v>
      </c>
      <c r="N272">
        <f>Tabla1[[#This Row],[entrada_prot_g_l]]*Tabla1[[#This Row],[entrada_litros]]/100</f>
        <v>1804.8520000000001</v>
      </c>
      <c r="O272">
        <f>Tabla1[[#This Row],[cuba_fab_litros]]*Tabla1[[#This Row],[cuba_fab_grasa_g_l]]</f>
        <v>206088.41999999998</v>
      </c>
      <c r="P272">
        <f>Tabla1[[#This Row],[cuba_fab_litros]]*Tabla1[[#This Row],[cuba_fab_prot_g_l]]/100</f>
        <v>1719.9180000000001</v>
      </c>
      <c r="Q272">
        <f>Tabla1[[#This Row],[queso_kg]]*Tabla1[[#This Row],[queso_est_pct]]/100</f>
        <v>329.45895000000002</v>
      </c>
      <c r="R272">
        <f>Tabla1[[#This Row],[queso_kg]]*Tabla1[[#This Row],[queso_mg_pct]]/100</f>
        <v>167.58354500000002</v>
      </c>
      <c r="S272">
        <f>_xlfn.ISOWEEKNUM(Tabla1[[#This Row],[fecha]])</f>
        <v>39</v>
      </c>
      <c r="T272">
        <v>39</v>
      </c>
    </row>
    <row r="273" spans="1:20" x14ac:dyDescent="0.25">
      <c r="A273" s="1">
        <v>45562</v>
      </c>
      <c r="F273">
        <v>5753</v>
      </c>
      <c r="G273">
        <v>40.950000000000003</v>
      </c>
      <c r="H273">
        <v>33.950000000000003</v>
      </c>
      <c r="J273">
        <v>732.54</v>
      </c>
      <c r="K273">
        <v>51.63</v>
      </c>
      <c r="L273">
        <v>26.28</v>
      </c>
      <c r="M273">
        <f>Tabla1[[#This Row],[entrada_litros]]*Tabla1[[#This Row],[entrada_grasa_g_l]]/100</f>
        <v>0</v>
      </c>
      <c r="N273">
        <f>Tabla1[[#This Row],[entrada_prot_g_l]]*Tabla1[[#This Row],[entrada_litros]]/100</f>
        <v>0</v>
      </c>
      <c r="O273">
        <f>Tabla1[[#This Row],[cuba_fab_litros]]*Tabla1[[#This Row],[cuba_fab_grasa_g_l]]</f>
        <v>235585.35</v>
      </c>
      <c r="P273">
        <f>Tabla1[[#This Row],[cuba_fab_litros]]*Tabla1[[#This Row],[cuba_fab_prot_g_l]]/100</f>
        <v>1953.1435000000001</v>
      </c>
      <c r="Q273">
        <f>Tabla1[[#This Row],[queso_kg]]*Tabla1[[#This Row],[queso_est_pct]]/100</f>
        <v>378.21040200000004</v>
      </c>
      <c r="R273">
        <f>Tabla1[[#This Row],[queso_kg]]*Tabla1[[#This Row],[queso_mg_pct]]/100</f>
        <v>192.51151200000001</v>
      </c>
      <c r="S273">
        <f>_xlfn.ISOWEEKNUM(Tabla1[[#This Row],[fecha]])</f>
        <v>39</v>
      </c>
      <c r="T273">
        <v>39</v>
      </c>
    </row>
    <row r="274" spans="1:20" x14ac:dyDescent="0.25">
      <c r="A274" s="1">
        <v>45563</v>
      </c>
      <c r="M274">
        <f>Tabla1[[#This Row],[entrada_litros]]*Tabla1[[#This Row],[entrada_grasa_g_l]]/100</f>
        <v>0</v>
      </c>
      <c r="N274">
        <f>Tabla1[[#This Row],[entrada_prot_g_l]]*Tabla1[[#This Row],[entrada_litros]]/100</f>
        <v>0</v>
      </c>
      <c r="O274">
        <f>Tabla1[[#This Row],[cuba_fab_litros]]*Tabla1[[#This Row],[cuba_fab_grasa_g_l]]</f>
        <v>0</v>
      </c>
      <c r="P274">
        <f>Tabla1[[#This Row],[cuba_fab_litros]]*Tabla1[[#This Row],[cuba_fab_prot_g_l]]/100</f>
        <v>0</v>
      </c>
      <c r="Q274">
        <f>Tabla1[[#This Row],[queso_kg]]*Tabla1[[#This Row],[queso_est_pct]]/100</f>
        <v>0</v>
      </c>
      <c r="R274">
        <f>Tabla1[[#This Row],[queso_kg]]*Tabla1[[#This Row],[queso_mg_pct]]/100</f>
        <v>0</v>
      </c>
      <c r="S274">
        <f>_xlfn.ISOWEEKNUM(Tabla1[[#This Row],[fecha]])</f>
        <v>39</v>
      </c>
      <c r="T274">
        <v>39</v>
      </c>
    </row>
    <row r="275" spans="1:20" x14ac:dyDescent="0.25">
      <c r="A275" s="1">
        <v>45564</v>
      </c>
      <c r="B275">
        <v>4469</v>
      </c>
      <c r="C275">
        <v>4339</v>
      </c>
      <c r="D275">
        <v>42.66</v>
      </c>
      <c r="E275">
        <v>37.409999999999997</v>
      </c>
      <c r="I275">
        <v>4339</v>
      </c>
      <c r="M275">
        <f>Tabla1[[#This Row],[entrada_litros]]*Tabla1[[#This Row],[entrada_grasa_g_l]]/100</f>
        <v>1851.0174</v>
      </c>
      <c r="N275">
        <f>Tabla1[[#This Row],[entrada_prot_g_l]]*Tabla1[[#This Row],[entrada_litros]]/100</f>
        <v>1623.2198999999998</v>
      </c>
      <c r="O275">
        <f>Tabla1[[#This Row],[cuba_fab_litros]]*Tabla1[[#This Row],[cuba_fab_grasa_g_l]]</f>
        <v>0</v>
      </c>
      <c r="P275">
        <f>Tabla1[[#This Row],[cuba_fab_litros]]*Tabla1[[#This Row],[cuba_fab_prot_g_l]]/100</f>
        <v>0</v>
      </c>
      <c r="Q275">
        <f>Tabla1[[#This Row],[queso_kg]]*Tabla1[[#This Row],[queso_est_pct]]/100</f>
        <v>0</v>
      </c>
      <c r="R275">
        <f>Tabla1[[#This Row],[queso_kg]]*Tabla1[[#This Row],[queso_mg_pct]]/100</f>
        <v>0</v>
      </c>
      <c r="S275">
        <f>_xlfn.ISOWEEKNUM(Tabla1[[#This Row],[fecha]])</f>
        <v>39</v>
      </c>
      <c r="T275">
        <v>40</v>
      </c>
    </row>
    <row r="276" spans="1:20" x14ac:dyDescent="0.25">
      <c r="A276" s="1">
        <v>45565</v>
      </c>
      <c r="B276">
        <v>5334</v>
      </c>
      <c r="C276">
        <v>5179</v>
      </c>
      <c r="D276">
        <v>42.37</v>
      </c>
      <c r="E276">
        <v>36.42</v>
      </c>
      <c r="F276">
        <v>5021</v>
      </c>
      <c r="G276">
        <v>40.43</v>
      </c>
      <c r="H276">
        <v>35.200000000000003</v>
      </c>
      <c r="I276">
        <v>4518</v>
      </c>
      <c r="J276">
        <v>625.36</v>
      </c>
      <c r="K276">
        <v>52.55</v>
      </c>
      <c r="L276">
        <v>25.91</v>
      </c>
      <c r="M276">
        <f>Tabla1[[#This Row],[entrada_litros]]*Tabla1[[#This Row],[entrada_grasa_g_l]]/100</f>
        <v>2194.3422999999998</v>
      </c>
      <c r="N276">
        <f>Tabla1[[#This Row],[entrada_prot_g_l]]*Tabla1[[#This Row],[entrada_litros]]/100</f>
        <v>1886.1918000000003</v>
      </c>
      <c r="O276">
        <f>Tabla1[[#This Row],[cuba_fab_litros]]*Tabla1[[#This Row],[cuba_fab_grasa_g_l]]</f>
        <v>202999.03</v>
      </c>
      <c r="P276">
        <f>Tabla1[[#This Row],[cuba_fab_litros]]*Tabla1[[#This Row],[cuba_fab_prot_g_l]]/100</f>
        <v>1767.3920000000001</v>
      </c>
      <c r="Q276">
        <f>Tabla1[[#This Row],[queso_kg]]*Tabla1[[#This Row],[queso_est_pct]]/100</f>
        <v>328.62667999999996</v>
      </c>
      <c r="R276">
        <f>Tabla1[[#This Row],[queso_kg]]*Tabla1[[#This Row],[queso_mg_pct]]/100</f>
        <v>162.030776</v>
      </c>
      <c r="S276">
        <f>_xlfn.ISOWEEKNUM(Tabla1[[#This Row],[fecha]])</f>
        <v>40</v>
      </c>
      <c r="T276">
        <v>40</v>
      </c>
    </row>
    <row r="277" spans="1:20" x14ac:dyDescent="0.25">
      <c r="A277" s="1">
        <v>45566</v>
      </c>
      <c r="B277">
        <v>5231</v>
      </c>
      <c r="C277">
        <v>5079</v>
      </c>
      <c r="D277">
        <v>43.8</v>
      </c>
      <c r="E277">
        <v>37.68</v>
      </c>
      <c r="F277">
        <v>5030</v>
      </c>
      <c r="G277">
        <v>41.32</v>
      </c>
      <c r="H277">
        <v>35.979999999999997</v>
      </c>
      <c r="I277">
        <v>4597</v>
      </c>
      <c r="J277">
        <v>602.30999999999995</v>
      </c>
      <c r="K277">
        <v>54.17</v>
      </c>
      <c r="L277">
        <v>27.61</v>
      </c>
      <c r="M277">
        <f>Tabla1[[#This Row],[entrada_litros]]*Tabla1[[#This Row],[entrada_grasa_g_l]]/100</f>
        <v>2224.6019999999999</v>
      </c>
      <c r="N277">
        <f>Tabla1[[#This Row],[entrada_prot_g_l]]*Tabla1[[#This Row],[entrada_litros]]/100</f>
        <v>1913.7672</v>
      </c>
      <c r="O277">
        <f>Tabla1[[#This Row],[cuba_fab_litros]]*Tabla1[[#This Row],[cuba_fab_grasa_g_l]]</f>
        <v>207839.6</v>
      </c>
      <c r="P277">
        <f>Tabla1[[#This Row],[cuba_fab_litros]]*Tabla1[[#This Row],[cuba_fab_prot_g_l]]/100</f>
        <v>1809.7939999999999</v>
      </c>
      <c r="Q277">
        <f>Tabla1[[#This Row],[queso_kg]]*Tabla1[[#This Row],[queso_est_pct]]/100</f>
        <v>326.27132699999999</v>
      </c>
      <c r="R277">
        <f>Tabla1[[#This Row],[queso_kg]]*Tabla1[[#This Row],[queso_mg_pct]]/100</f>
        <v>166.29779099999999</v>
      </c>
      <c r="S277">
        <f>_xlfn.ISOWEEKNUM(Tabla1[[#This Row],[fecha]])</f>
        <v>40</v>
      </c>
      <c r="T277">
        <v>40</v>
      </c>
    </row>
    <row r="278" spans="1:20" x14ac:dyDescent="0.25">
      <c r="A278" s="1">
        <v>45567</v>
      </c>
      <c r="B278">
        <v>5492</v>
      </c>
      <c r="C278">
        <v>5332</v>
      </c>
      <c r="D278">
        <v>43.2</v>
      </c>
      <c r="E278">
        <v>34.200000000000003</v>
      </c>
      <c r="F278">
        <v>5024</v>
      </c>
      <c r="G278">
        <v>41.26</v>
      </c>
      <c r="H278">
        <v>33.97</v>
      </c>
      <c r="I278">
        <v>4929</v>
      </c>
      <c r="J278">
        <v>628.73</v>
      </c>
      <c r="K278">
        <v>52.34</v>
      </c>
      <c r="L278">
        <v>26.24</v>
      </c>
      <c r="M278">
        <f>Tabla1[[#This Row],[entrada_litros]]*Tabla1[[#This Row],[entrada_grasa_g_l]]/100</f>
        <v>2303.4240000000004</v>
      </c>
      <c r="N278">
        <f>Tabla1[[#This Row],[entrada_prot_g_l]]*Tabla1[[#This Row],[entrada_litros]]/100</f>
        <v>1823.5440000000003</v>
      </c>
      <c r="O278">
        <f>Tabla1[[#This Row],[cuba_fab_litros]]*Tabla1[[#This Row],[cuba_fab_grasa_g_l]]</f>
        <v>207290.23999999999</v>
      </c>
      <c r="P278">
        <f>Tabla1[[#This Row],[cuba_fab_litros]]*Tabla1[[#This Row],[cuba_fab_prot_g_l]]/100</f>
        <v>1706.6528000000001</v>
      </c>
      <c r="Q278">
        <f>Tabla1[[#This Row],[queso_kg]]*Tabla1[[#This Row],[queso_est_pct]]/100</f>
        <v>329.07728200000003</v>
      </c>
      <c r="R278">
        <f>Tabla1[[#This Row],[queso_kg]]*Tabla1[[#This Row],[queso_mg_pct]]/100</f>
        <v>164.97875199999999</v>
      </c>
      <c r="S278">
        <f>_xlfn.ISOWEEKNUM(Tabla1[[#This Row],[fecha]])</f>
        <v>40</v>
      </c>
      <c r="T278">
        <v>40</v>
      </c>
    </row>
    <row r="279" spans="1:20" x14ac:dyDescent="0.25">
      <c r="A279" s="1">
        <v>45568</v>
      </c>
      <c r="B279">
        <v>5210</v>
      </c>
      <c r="C279">
        <v>5058</v>
      </c>
      <c r="D279">
        <v>42.83</v>
      </c>
      <c r="E279">
        <v>34.69</v>
      </c>
      <c r="F279">
        <v>5018</v>
      </c>
      <c r="G279">
        <v>41.01</v>
      </c>
      <c r="H279">
        <v>33.08</v>
      </c>
      <c r="I279">
        <v>4987</v>
      </c>
      <c r="J279">
        <v>636.87</v>
      </c>
      <c r="K279">
        <v>50.53</v>
      </c>
      <c r="L279">
        <v>26.47</v>
      </c>
      <c r="M279">
        <f>Tabla1[[#This Row],[entrada_litros]]*Tabla1[[#This Row],[entrada_grasa_g_l]]/100</f>
        <v>2166.3413999999998</v>
      </c>
      <c r="N279">
        <f>Tabla1[[#This Row],[entrada_prot_g_l]]*Tabla1[[#This Row],[entrada_litros]]/100</f>
        <v>1754.6201999999998</v>
      </c>
      <c r="O279">
        <f>Tabla1[[#This Row],[cuba_fab_litros]]*Tabla1[[#This Row],[cuba_fab_grasa_g_l]]</f>
        <v>205788.18</v>
      </c>
      <c r="P279">
        <f>Tabla1[[#This Row],[cuba_fab_litros]]*Tabla1[[#This Row],[cuba_fab_prot_g_l]]/100</f>
        <v>1659.9544000000001</v>
      </c>
      <c r="Q279">
        <f>Tabla1[[#This Row],[queso_kg]]*Tabla1[[#This Row],[queso_est_pct]]/100</f>
        <v>321.81041100000004</v>
      </c>
      <c r="R279">
        <f>Tabla1[[#This Row],[queso_kg]]*Tabla1[[#This Row],[queso_mg_pct]]/100</f>
        <v>168.579489</v>
      </c>
      <c r="S279">
        <f>_xlfn.ISOWEEKNUM(Tabla1[[#This Row],[fecha]])</f>
        <v>40</v>
      </c>
      <c r="T279">
        <v>40</v>
      </c>
    </row>
    <row r="280" spans="1:20" x14ac:dyDescent="0.25">
      <c r="A280" s="1">
        <v>45569</v>
      </c>
      <c r="F280">
        <v>5013</v>
      </c>
      <c r="G280">
        <v>40.9</v>
      </c>
      <c r="H280">
        <v>33.71</v>
      </c>
      <c r="J280">
        <v>618.78</v>
      </c>
      <c r="K280">
        <v>52.86</v>
      </c>
      <c r="L280">
        <v>27.41</v>
      </c>
      <c r="M280">
        <f>Tabla1[[#This Row],[entrada_litros]]*Tabla1[[#This Row],[entrada_grasa_g_l]]/100</f>
        <v>0</v>
      </c>
      <c r="N280">
        <f>Tabla1[[#This Row],[entrada_prot_g_l]]*Tabla1[[#This Row],[entrada_litros]]/100</f>
        <v>0</v>
      </c>
      <c r="O280">
        <f>Tabla1[[#This Row],[cuba_fab_litros]]*Tabla1[[#This Row],[cuba_fab_grasa_g_l]]</f>
        <v>205031.69999999998</v>
      </c>
      <c r="P280">
        <f>Tabla1[[#This Row],[cuba_fab_litros]]*Tabla1[[#This Row],[cuba_fab_prot_g_l]]/100</f>
        <v>1689.8823000000002</v>
      </c>
      <c r="Q280">
        <f>Tabla1[[#This Row],[queso_kg]]*Tabla1[[#This Row],[queso_est_pct]]/100</f>
        <v>327.08710799999994</v>
      </c>
      <c r="R280">
        <f>Tabla1[[#This Row],[queso_kg]]*Tabla1[[#This Row],[queso_mg_pct]]/100</f>
        <v>169.607598</v>
      </c>
      <c r="S280">
        <f>_xlfn.ISOWEEKNUM(Tabla1[[#This Row],[fecha]])</f>
        <v>40</v>
      </c>
      <c r="T280">
        <v>40</v>
      </c>
    </row>
    <row r="281" spans="1:20" x14ac:dyDescent="0.25">
      <c r="A281" s="1">
        <v>45570</v>
      </c>
      <c r="M281">
        <f>Tabla1[[#This Row],[entrada_litros]]*Tabla1[[#This Row],[entrada_grasa_g_l]]/100</f>
        <v>0</v>
      </c>
      <c r="N281">
        <f>Tabla1[[#This Row],[entrada_prot_g_l]]*Tabla1[[#This Row],[entrada_litros]]/100</f>
        <v>0</v>
      </c>
      <c r="O281">
        <f>Tabla1[[#This Row],[cuba_fab_litros]]*Tabla1[[#This Row],[cuba_fab_grasa_g_l]]</f>
        <v>0</v>
      </c>
      <c r="P281">
        <f>Tabla1[[#This Row],[cuba_fab_litros]]*Tabla1[[#This Row],[cuba_fab_prot_g_l]]/100</f>
        <v>0</v>
      </c>
      <c r="Q281">
        <f>Tabla1[[#This Row],[queso_kg]]*Tabla1[[#This Row],[queso_est_pct]]/100</f>
        <v>0</v>
      </c>
      <c r="R281">
        <f>Tabla1[[#This Row],[queso_kg]]*Tabla1[[#This Row],[queso_mg_pct]]/100</f>
        <v>0</v>
      </c>
      <c r="S281">
        <f>_xlfn.ISOWEEKNUM(Tabla1[[#This Row],[fecha]])</f>
        <v>40</v>
      </c>
      <c r="T281">
        <v>40</v>
      </c>
    </row>
    <row r="282" spans="1:20" x14ac:dyDescent="0.25">
      <c r="A282" s="1">
        <v>45571</v>
      </c>
      <c r="B282">
        <v>5335</v>
      </c>
      <c r="C282">
        <v>5180</v>
      </c>
      <c r="D282">
        <v>39.83</v>
      </c>
      <c r="E282">
        <v>37.79</v>
      </c>
      <c r="I282">
        <v>5180</v>
      </c>
      <c r="M282">
        <f>Tabla1[[#This Row],[entrada_litros]]*Tabla1[[#This Row],[entrada_grasa_g_l]]/100</f>
        <v>2063.194</v>
      </c>
      <c r="N282">
        <f>Tabla1[[#This Row],[entrada_prot_g_l]]*Tabla1[[#This Row],[entrada_litros]]/100</f>
        <v>1957.5219999999999</v>
      </c>
      <c r="O282">
        <f>Tabla1[[#This Row],[cuba_fab_litros]]*Tabla1[[#This Row],[cuba_fab_grasa_g_l]]</f>
        <v>0</v>
      </c>
      <c r="P282">
        <f>Tabla1[[#This Row],[cuba_fab_litros]]*Tabla1[[#This Row],[cuba_fab_prot_g_l]]/100</f>
        <v>0</v>
      </c>
      <c r="Q282">
        <f>Tabla1[[#This Row],[queso_kg]]*Tabla1[[#This Row],[queso_est_pct]]/100</f>
        <v>0</v>
      </c>
      <c r="R282">
        <f>Tabla1[[#This Row],[queso_kg]]*Tabla1[[#This Row],[queso_mg_pct]]/100</f>
        <v>0</v>
      </c>
      <c r="S282">
        <f>_xlfn.ISOWEEKNUM(Tabla1[[#This Row],[fecha]])</f>
        <v>40</v>
      </c>
      <c r="T282">
        <v>41</v>
      </c>
    </row>
    <row r="283" spans="1:20" x14ac:dyDescent="0.25">
      <c r="A283" s="1">
        <v>45572</v>
      </c>
      <c r="B283">
        <v>5681</v>
      </c>
      <c r="C283">
        <v>5516</v>
      </c>
      <c r="D283">
        <v>39.32</v>
      </c>
      <c r="E283">
        <v>35.01</v>
      </c>
      <c r="F283">
        <v>5022</v>
      </c>
      <c r="G283">
        <v>37.67</v>
      </c>
      <c r="H283">
        <v>34.79</v>
      </c>
      <c r="I283">
        <v>5696</v>
      </c>
      <c r="J283">
        <v>628.78</v>
      </c>
      <c r="K283">
        <v>52.02</v>
      </c>
      <c r="L283">
        <v>27.55</v>
      </c>
      <c r="M283">
        <f>Tabla1[[#This Row],[entrada_litros]]*Tabla1[[#This Row],[entrada_grasa_g_l]]/100</f>
        <v>2168.8912</v>
      </c>
      <c r="N283">
        <f>Tabla1[[#This Row],[entrada_prot_g_l]]*Tabla1[[#This Row],[entrada_litros]]/100</f>
        <v>1931.1516000000001</v>
      </c>
      <c r="O283">
        <f>Tabla1[[#This Row],[cuba_fab_litros]]*Tabla1[[#This Row],[cuba_fab_grasa_g_l]]</f>
        <v>189178.74000000002</v>
      </c>
      <c r="P283">
        <f>Tabla1[[#This Row],[cuba_fab_litros]]*Tabla1[[#This Row],[cuba_fab_prot_g_l]]/100</f>
        <v>1747.1538</v>
      </c>
      <c r="Q283">
        <f>Tabla1[[#This Row],[queso_kg]]*Tabla1[[#This Row],[queso_est_pct]]/100</f>
        <v>327.09135600000002</v>
      </c>
      <c r="R283">
        <f>Tabla1[[#This Row],[queso_kg]]*Tabla1[[#This Row],[queso_mg_pct]]/100</f>
        <v>173.22888999999998</v>
      </c>
      <c r="S283">
        <f>_xlfn.ISOWEEKNUM(Tabla1[[#This Row],[fecha]])</f>
        <v>41</v>
      </c>
      <c r="T283">
        <v>41</v>
      </c>
    </row>
    <row r="284" spans="1:20" x14ac:dyDescent="0.25">
      <c r="A284" s="1">
        <v>45573</v>
      </c>
      <c r="B284">
        <v>5862</v>
      </c>
      <c r="C284">
        <v>5691</v>
      </c>
      <c r="D284">
        <v>44.92</v>
      </c>
      <c r="E284">
        <v>35.31</v>
      </c>
      <c r="F284">
        <v>5026</v>
      </c>
      <c r="G284">
        <v>40.340000000000003</v>
      </c>
      <c r="H284">
        <v>34.5</v>
      </c>
      <c r="I284">
        <v>6387</v>
      </c>
      <c r="J284">
        <v>616.87</v>
      </c>
      <c r="K284">
        <v>52.61</v>
      </c>
      <c r="L284">
        <v>27.34</v>
      </c>
      <c r="M284">
        <f>Tabla1[[#This Row],[entrada_litros]]*Tabla1[[#This Row],[entrada_grasa_g_l]]/100</f>
        <v>2556.3971999999999</v>
      </c>
      <c r="N284">
        <f>Tabla1[[#This Row],[entrada_prot_g_l]]*Tabla1[[#This Row],[entrada_litros]]/100</f>
        <v>2009.4921000000002</v>
      </c>
      <c r="O284">
        <f>Tabla1[[#This Row],[cuba_fab_litros]]*Tabla1[[#This Row],[cuba_fab_grasa_g_l]]</f>
        <v>202748.84000000003</v>
      </c>
      <c r="P284">
        <f>Tabla1[[#This Row],[cuba_fab_litros]]*Tabla1[[#This Row],[cuba_fab_prot_g_l]]/100</f>
        <v>1733.97</v>
      </c>
      <c r="Q284">
        <f>Tabla1[[#This Row],[queso_kg]]*Tabla1[[#This Row],[queso_est_pct]]/100</f>
        <v>324.53530699999999</v>
      </c>
      <c r="R284">
        <f>Tabla1[[#This Row],[queso_kg]]*Tabla1[[#This Row],[queso_mg_pct]]/100</f>
        <v>168.65225799999999</v>
      </c>
      <c r="S284">
        <f>_xlfn.ISOWEEKNUM(Tabla1[[#This Row],[fecha]])</f>
        <v>41</v>
      </c>
      <c r="T284">
        <v>41</v>
      </c>
    </row>
    <row r="285" spans="1:20" x14ac:dyDescent="0.25">
      <c r="A285" s="1">
        <v>45574</v>
      </c>
      <c r="B285">
        <v>5491</v>
      </c>
      <c r="C285">
        <v>5331</v>
      </c>
      <c r="D285">
        <v>42.25</v>
      </c>
      <c r="E285">
        <v>35.01</v>
      </c>
      <c r="F285">
        <v>5014</v>
      </c>
      <c r="G285">
        <v>40.33</v>
      </c>
      <c r="H285">
        <v>33.78</v>
      </c>
      <c r="I285">
        <v>6718</v>
      </c>
      <c r="J285">
        <v>619.27</v>
      </c>
      <c r="K285">
        <v>52.94</v>
      </c>
      <c r="L285">
        <v>27.21</v>
      </c>
      <c r="M285">
        <f>Tabla1[[#This Row],[entrada_litros]]*Tabla1[[#This Row],[entrada_grasa_g_l]]/100</f>
        <v>2252.3474999999999</v>
      </c>
      <c r="N285">
        <f>Tabla1[[#This Row],[entrada_prot_g_l]]*Tabla1[[#This Row],[entrada_litros]]/100</f>
        <v>1866.3831</v>
      </c>
      <c r="O285">
        <f>Tabla1[[#This Row],[cuba_fab_litros]]*Tabla1[[#This Row],[cuba_fab_grasa_g_l]]</f>
        <v>202214.62</v>
      </c>
      <c r="P285">
        <f>Tabla1[[#This Row],[cuba_fab_litros]]*Tabla1[[#This Row],[cuba_fab_prot_g_l]]/100</f>
        <v>1693.7292000000002</v>
      </c>
      <c r="Q285">
        <f>Tabla1[[#This Row],[queso_kg]]*Tabla1[[#This Row],[queso_est_pct]]/100</f>
        <v>327.84153800000001</v>
      </c>
      <c r="R285">
        <f>Tabla1[[#This Row],[queso_kg]]*Tabla1[[#This Row],[queso_mg_pct]]/100</f>
        <v>168.503367</v>
      </c>
      <c r="S285">
        <f>_xlfn.ISOWEEKNUM(Tabla1[[#This Row],[fecha]])</f>
        <v>41</v>
      </c>
      <c r="T285">
        <v>41</v>
      </c>
    </row>
    <row r="286" spans="1:20" x14ac:dyDescent="0.25">
      <c r="A286" s="1">
        <v>45575</v>
      </c>
      <c r="B286">
        <v>5587</v>
      </c>
      <c r="C286">
        <v>5424</v>
      </c>
      <c r="D286">
        <v>41.94</v>
      </c>
      <c r="E286">
        <v>35.6</v>
      </c>
      <c r="F286">
        <v>5020</v>
      </c>
      <c r="G286">
        <v>40.15</v>
      </c>
      <c r="H286">
        <v>34.119999999999997</v>
      </c>
      <c r="I286">
        <v>7142</v>
      </c>
      <c r="J286">
        <v>606.51</v>
      </c>
      <c r="K286">
        <v>54.28</v>
      </c>
      <c r="L286">
        <v>27.65</v>
      </c>
      <c r="M286">
        <f>Tabla1[[#This Row],[entrada_litros]]*Tabla1[[#This Row],[entrada_grasa_g_l]]/100</f>
        <v>2274.8256000000001</v>
      </c>
      <c r="N286">
        <f>Tabla1[[#This Row],[entrada_prot_g_l]]*Tabla1[[#This Row],[entrada_litros]]/100</f>
        <v>1930.944</v>
      </c>
      <c r="O286">
        <f>Tabla1[[#This Row],[cuba_fab_litros]]*Tabla1[[#This Row],[cuba_fab_grasa_g_l]]</f>
        <v>201553</v>
      </c>
      <c r="P286">
        <f>Tabla1[[#This Row],[cuba_fab_litros]]*Tabla1[[#This Row],[cuba_fab_prot_g_l]]/100</f>
        <v>1712.8239999999998</v>
      </c>
      <c r="Q286">
        <f>Tabla1[[#This Row],[queso_kg]]*Tabla1[[#This Row],[queso_est_pct]]/100</f>
        <v>329.21362800000003</v>
      </c>
      <c r="R286">
        <f>Tabla1[[#This Row],[queso_kg]]*Tabla1[[#This Row],[queso_mg_pct]]/100</f>
        <v>167.70001499999998</v>
      </c>
      <c r="S286">
        <f>_xlfn.ISOWEEKNUM(Tabla1[[#This Row],[fecha]])</f>
        <v>41</v>
      </c>
      <c r="T286">
        <v>41</v>
      </c>
    </row>
    <row r="287" spans="1:20" x14ac:dyDescent="0.25">
      <c r="A287" s="1">
        <v>45576</v>
      </c>
      <c r="F287">
        <v>7163</v>
      </c>
      <c r="G287">
        <v>40.46</v>
      </c>
      <c r="H287">
        <v>33.86</v>
      </c>
      <c r="J287">
        <v>940.29</v>
      </c>
      <c r="K287">
        <v>49.43</v>
      </c>
      <c r="L287">
        <v>25.45</v>
      </c>
      <c r="M287">
        <f>Tabla1[[#This Row],[entrada_litros]]*Tabla1[[#This Row],[entrada_grasa_g_l]]/100</f>
        <v>0</v>
      </c>
      <c r="N287">
        <f>Tabla1[[#This Row],[entrada_prot_g_l]]*Tabla1[[#This Row],[entrada_litros]]/100</f>
        <v>0</v>
      </c>
      <c r="O287">
        <f>Tabla1[[#This Row],[cuba_fab_litros]]*Tabla1[[#This Row],[cuba_fab_grasa_g_l]]</f>
        <v>289814.98</v>
      </c>
      <c r="P287">
        <f>Tabla1[[#This Row],[cuba_fab_litros]]*Tabla1[[#This Row],[cuba_fab_prot_g_l]]/100</f>
        <v>2425.3917999999999</v>
      </c>
      <c r="Q287">
        <f>Tabla1[[#This Row],[queso_kg]]*Tabla1[[#This Row],[queso_est_pct]]/100</f>
        <v>464.78534699999994</v>
      </c>
      <c r="R287">
        <f>Tabla1[[#This Row],[queso_kg]]*Tabla1[[#This Row],[queso_mg_pct]]/100</f>
        <v>239.30380499999998</v>
      </c>
      <c r="S287">
        <f>_xlfn.ISOWEEKNUM(Tabla1[[#This Row],[fecha]])</f>
        <v>41</v>
      </c>
      <c r="T287">
        <v>41</v>
      </c>
    </row>
    <row r="288" spans="1:20" x14ac:dyDescent="0.25">
      <c r="A288" s="1">
        <v>45577</v>
      </c>
      <c r="M288">
        <f>Tabla1[[#This Row],[entrada_litros]]*Tabla1[[#This Row],[entrada_grasa_g_l]]/100</f>
        <v>0</v>
      </c>
      <c r="N288">
        <f>Tabla1[[#This Row],[entrada_prot_g_l]]*Tabla1[[#This Row],[entrada_litros]]/100</f>
        <v>0</v>
      </c>
      <c r="O288">
        <f>Tabla1[[#This Row],[cuba_fab_litros]]*Tabla1[[#This Row],[cuba_fab_grasa_g_l]]</f>
        <v>0</v>
      </c>
      <c r="P288">
        <f>Tabla1[[#This Row],[cuba_fab_litros]]*Tabla1[[#This Row],[cuba_fab_prot_g_l]]/100</f>
        <v>0</v>
      </c>
      <c r="Q288">
        <f>Tabla1[[#This Row],[queso_kg]]*Tabla1[[#This Row],[queso_est_pct]]/100</f>
        <v>0</v>
      </c>
      <c r="R288">
        <f>Tabla1[[#This Row],[queso_kg]]*Tabla1[[#This Row],[queso_mg_pct]]/100</f>
        <v>0</v>
      </c>
      <c r="S288">
        <f>_xlfn.ISOWEEKNUM(Tabla1[[#This Row],[fecha]])</f>
        <v>41</v>
      </c>
      <c r="T288">
        <v>41</v>
      </c>
    </row>
    <row r="289" spans="1:20" x14ac:dyDescent="0.25">
      <c r="A289" s="1">
        <v>45578</v>
      </c>
      <c r="B289">
        <v>5033</v>
      </c>
      <c r="C289">
        <v>4886</v>
      </c>
      <c r="D289">
        <v>40.86</v>
      </c>
      <c r="E289">
        <v>35.78</v>
      </c>
      <c r="I289">
        <v>4886</v>
      </c>
      <c r="M289">
        <f>Tabla1[[#This Row],[entrada_litros]]*Tabla1[[#This Row],[entrada_grasa_g_l]]/100</f>
        <v>1996.4195999999999</v>
      </c>
      <c r="N289">
        <f>Tabla1[[#This Row],[entrada_prot_g_l]]*Tabla1[[#This Row],[entrada_litros]]/100</f>
        <v>1748.2108000000001</v>
      </c>
      <c r="O289">
        <f>Tabla1[[#This Row],[cuba_fab_litros]]*Tabla1[[#This Row],[cuba_fab_grasa_g_l]]</f>
        <v>0</v>
      </c>
      <c r="P289">
        <f>Tabla1[[#This Row],[cuba_fab_litros]]*Tabla1[[#This Row],[cuba_fab_prot_g_l]]/100</f>
        <v>0</v>
      </c>
      <c r="Q289">
        <f>Tabla1[[#This Row],[queso_kg]]*Tabla1[[#This Row],[queso_est_pct]]/100</f>
        <v>0</v>
      </c>
      <c r="R289">
        <f>Tabla1[[#This Row],[queso_kg]]*Tabla1[[#This Row],[queso_mg_pct]]/100</f>
        <v>0</v>
      </c>
      <c r="S289">
        <f>_xlfn.ISOWEEKNUM(Tabla1[[#This Row],[fecha]])</f>
        <v>41</v>
      </c>
      <c r="T289">
        <v>42</v>
      </c>
    </row>
    <row r="290" spans="1:20" x14ac:dyDescent="0.25">
      <c r="A290" s="1">
        <v>45579</v>
      </c>
      <c r="B290">
        <v>4760</v>
      </c>
      <c r="C290">
        <v>4621</v>
      </c>
      <c r="D290">
        <v>42.48</v>
      </c>
      <c r="E290">
        <v>36.83</v>
      </c>
      <c r="F290">
        <v>5026</v>
      </c>
      <c r="G290">
        <v>39.67</v>
      </c>
      <c r="H290">
        <v>34.78</v>
      </c>
      <c r="I290">
        <v>4507</v>
      </c>
      <c r="J290">
        <v>605.20000000000005</v>
      </c>
      <c r="K290">
        <v>54.38</v>
      </c>
      <c r="L290">
        <v>27.33</v>
      </c>
      <c r="M290">
        <f>Tabla1[[#This Row],[entrada_litros]]*Tabla1[[#This Row],[entrada_grasa_g_l]]/100</f>
        <v>1963.0007999999998</v>
      </c>
      <c r="N290">
        <f>Tabla1[[#This Row],[entrada_prot_g_l]]*Tabla1[[#This Row],[entrada_litros]]/100</f>
        <v>1701.9142999999999</v>
      </c>
      <c r="O290">
        <f>Tabla1[[#This Row],[cuba_fab_litros]]*Tabla1[[#This Row],[cuba_fab_grasa_g_l]]</f>
        <v>199381.42</v>
      </c>
      <c r="P290">
        <f>Tabla1[[#This Row],[cuba_fab_litros]]*Tabla1[[#This Row],[cuba_fab_prot_g_l]]/100</f>
        <v>1748.0427999999999</v>
      </c>
      <c r="Q290">
        <f>Tabla1[[#This Row],[queso_kg]]*Tabla1[[#This Row],[queso_est_pct]]/100</f>
        <v>329.10776000000004</v>
      </c>
      <c r="R290">
        <f>Tabla1[[#This Row],[queso_kg]]*Tabla1[[#This Row],[queso_mg_pct]]/100</f>
        <v>165.40116</v>
      </c>
      <c r="S290">
        <f>_xlfn.ISOWEEKNUM(Tabla1[[#This Row],[fecha]])</f>
        <v>42</v>
      </c>
      <c r="T290">
        <v>42</v>
      </c>
    </row>
    <row r="291" spans="1:20" x14ac:dyDescent="0.25">
      <c r="A291" s="1">
        <v>45580</v>
      </c>
      <c r="B291">
        <v>4826</v>
      </c>
      <c r="C291">
        <v>4685</v>
      </c>
      <c r="D291">
        <v>40.98</v>
      </c>
      <c r="E291">
        <v>35.32</v>
      </c>
      <c r="F291">
        <v>5022</v>
      </c>
      <c r="G291">
        <v>39.24</v>
      </c>
      <c r="H291">
        <v>34.21</v>
      </c>
      <c r="I291">
        <v>4192</v>
      </c>
      <c r="J291">
        <v>633.1</v>
      </c>
      <c r="K291">
        <v>51.42</v>
      </c>
      <c r="L291">
        <v>25.78</v>
      </c>
      <c r="M291">
        <f>Tabla1[[#This Row],[entrada_litros]]*Tabla1[[#This Row],[entrada_grasa_g_l]]/100</f>
        <v>1919.9129999999998</v>
      </c>
      <c r="N291">
        <f>Tabla1[[#This Row],[entrada_prot_g_l]]*Tabla1[[#This Row],[entrada_litros]]/100</f>
        <v>1654.7420000000002</v>
      </c>
      <c r="O291">
        <f>Tabla1[[#This Row],[cuba_fab_litros]]*Tabla1[[#This Row],[cuba_fab_grasa_g_l]]</f>
        <v>197063.28</v>
      </c>
      <c r="P291">
        <f>Tabla1[[#This Row],[cuba_fab_litros]]*Tabla1[[#This Row],[cuba_fab_prot_g_l]]/100</f>
        <v>1718.0262</v>
      </c>
      <c r="Q291">
        <f>Tabla1[[#This Row],[queso_kg]]*Tabla1[[#This Row],[queso_est_pct]]/100</f>
        <v>325.54002000000003</v>
      </c>
      <c r="R291">
        <f>Tabla1[[#This Row],[queso_kg]]*Tabla1[[#This Row],[queso_mg_pct]]/100</f>
        <v>163.21318000000002</v>
      </c>
      <c r="S291">
        <f>_xlfn.ISOWEEKNUM(Tabla1[[#This Row],[fecha]])</f>
        <v>42</v>
      </c>
      <c r="T291">
        <v>42</v>
      </c>
    </row>
    <row r="292" spans="1:20" x14ac:dyDescent="0.25">
      <c r="A292" s="1">
        <v>45581</v>
      </c>
      <c r="B292">
        <v>4873</v>
      </c>
      <c r="C292">
        <v>4731</v>
      </c>
      <c r="D292">
        <v>41.87</v>
      </c>
      <c r="E292">
        <v>36.6</v>
      </c>
      <c r="F292">
        <v>5019</v>
      </c>
      <c r="G292">
        <v>39.67</v>
      </c>
      <c r="H292">
        <v>34.909999999999997</v>
      </c>
      <c r="I292">
        <v>3923</v>
      </c>
      <c r="J292">
        <v>623.75</v>
      </c>
      <c r="K292">
        <v>52.71</v>
      </c>
      <c r="L292">
        <v>26.8</v>
      </c>
      <c r="M292">
        <f>Tabla1[[#This Row],[entrada_litros]]*Tabla1[[#This Row],[entrada_grasa_g_l]]/100</f>
        <v>1980.8697</v>
      </c>
      <c r="N292">
        <f>Tabla1[[#This Row],[entrada_prot_g_l]]*Tabla1[[#This Row],[entrada_litros]]/100</f>
        <v>1731.546</v>
      </c>
      <c r="O292">
        <f>Tabla1[[#This Row],[cuba_fab_litros]]*Tabla1[[#This Row],[cuba_fab_grasa_g_l]]</f>
        <v>199103.73</v>
      </c>
      <c r="P292">
        <f>Tabla1[[#This Row],[cuba_fab_litros]]*Tabla1[[#This Row],[cuba_fab_prot_g_l]]/100</f>
        <v>1752.1328999999998</v>
      </c>
      <c r="Q292">
        <f>Tabla1[[#This Row],[queso_kg]]*Tabla1[[#This Row],[queso_est_pct]]/100</f>
        <v>328.77862500000003</v>
      </c>
      <c r="R292">
        <f>Tabla1[[#This Row],[queso_kg]]*Tabla1[[#This Row],[queso_mg_pct]]/100</f>
        <v>167.16499999999999</v>
      </c>
      <c r="S292">
        <f>_xlfn.ISOWEEKNUM(Tabla1[[#This Row],[fecha]])</f>
        <v>42</v>
      </c>
      <c r="T292">
        <v>42</v>
      </c>
    </row>
    <row r="293" spans="1:20" x14ac:dyDescent="0.25">
      <c r="A293" s="1">
        <v>45582</v>
      </c>
      <c r="B293">
        <v>5228</v>
      </c>
      <c r="C293">
        <v>5076</v>
      </c>
      <c r="D293">
        <v>41.89</v>
      </c>
      <c r="E293">
        <v>36.18</v>
      </c>
      <c r="F293">
        <v>5029</v>
      </c>
      <c r="G293">
        <v>39.65</v>
      </c>
      <c r="H293">
        <v>34.79</v>
      </c>
      <c r="I293">
        <v>3999</v>
      </c>
      <c r="J293">
        <v>607.79</v>
      </c>
      <c r="K293">
        <v>53.57</v>
      </c>
      <c r="L293">
        <v>28.15</v>
      </c>
      <c r="M293">
        <f>Tabla1[[#This Row],[entrada_litros]]*Tabla1[[#This Row],[entrada_grasa_g_l]]/100</f>
        <v>2126.3364000000001</v>
      </c>
      <c r="N293">
        <f>Tabla1[[#This Row],[entrada_prot_g_l]]*Tabla1[[#This Row],[entrada_litros]]/100</f>
        <v>1836.4967999999999</v>
      </c>
      <c r="O293">
        <f>Tabla1[[#This Row],[cuba_fab_litros]]*Tabla1[[#This Row],[cuba_fab_grasa_g_l]]</f>
        <v>199399.85</v>
      </c>
      <c r="P293">
        <f>Tabla1[[#This Row],[cuba_fab_litros]]*Tabla1[[#This Row],[cuba_fab_prot_g_l]]/100</f>
        <v>1749.5891000000001</v>
      </c>
      <c r="Q293">
        <f>Tabla1[[#This Row],[queso_kg]]*Tabla1[[#This Row],[queso_est_pct]]/100</f>
        <v>325.59310299999999</v>
      </c>
      <c r="R293">
        <f>Tabla1[[#This Row],[queso_kg]]*Tabla1[[#This Row],[queso_mg_pct]]/100</f>
        <v>171.092885</v>
      </c>
      <c r="S293">
        <f>_xlfn.ISOWEEKNUM(Tabla1[[#This Row],[fecha]])</f>
        <v>42</v>
      </c>
      <c r="T293">
        <v>42</v>
      </c>
    </row>
    <row r="294" spans="1:20" x14ac:dyDescent="0.25">
      <c r="A294" s="1">
        <v>45583</v>
      </c>
      <c r="F294">
        <v>4017</v>
      </c>
      <c r="G294">
        <v>40.200000000000003</v>
      </c>
      <c r="H294">
        <v>34.61</v>
      </c>
      <c r="J294">
        <v>513.66</v>
      </c>
      <c r="K294">
        <v>50.84</v>
      </c>
      <c r="L294">
        <v>27.15</v>
      </c>
      <c r="M294">
        <f>Tabla1[[#This Row],[entrada_litros]]*Tabla1[[#This Row],[entrada_grasa_g_l]]/100</f>
        <v>0</v>
      </c>
      <c r="N294">
        <f>Tabla1[[#This Row],[entrada_prot_g_l]]*Tabla1[[#This Row],[entrada_litros]]/100</f>
        <v>0</v>
      </c>
      <c r="O294">
        <f>Tabla1[[#This Row],[cuba_fab_litros]]*Tabla1[[#This Row],[cuba_fab_grasa_g_l]]</f>
        <v>161483.40000000002</v>
      </c>
      <c r="P294">
        <f>Tabla1[[#This Row],[cuba_fab_litros]]*Tabla1[[#This Row],[cuba_fab_prot_g_l]]/100</f>
        <v>1390.2837</v>
      </c>
      <c r="Q294">
        <f>Tabla1[[#This Row],[queso_kg]]*Tabla1[[#This Row],[queso_est_pct]]/100</f>
        <v>261.144744</v>
      </c>
      <c r="R294">
        <f>Tabla1[[#This Row],[queso_kg]]*Tabla1[[#This Row],[queso_mg_pct]]/100</f>
        <v>139.45868999999999</v>
      </c>
      <c r="S294">
        <f>_xlfn.ISOWEEKNUM(Tabla1[[#This Row],[fecha]])</f>
        <v>42</v>
      </c>
      <c r="T294">
        <v>42</v>
      </c>
    </row>
    <row r="295" spans="1:20" x14ac:dyDescent="0.25">
      <c r="A295" s="1">
        <v>45584</v>
      </c>
      <c r="M295">
        <f>Tabla1[[#This Row],[entrada_litros]]*Tabla1[[#This Row],[entrada_grasa_g_l]]/100</f>
        <v>0</v>
      </c>
      <c r="N295">
        <f>Tabla1[[#This Row],[entrada_prot_g_l]]*Tabla1[[#This Row],[entrada_litros]]/100</f>
        <v>0</v>
      </c>
      <c r="O295">
        <f>Tabla1[[#This Row],[cuba_fab_litros]]*Tabla1[[#This Row],[cuba_fab_grasa_g_l]]</f>
        <v>0</v>
      </c>
      <c r="P295">
        <f>Tabla1[[#This Row],[cuba_fab_litros]]*Tabla1[[#This Row],[cuba_fab_prot_g_l]]/100</f>
        <v>0</v>
      </c>
      <c r="Q295">
        <f>Tabla1[[#This Row],[queso_kg]]*Tabla1[[#This Row],[queso_est_pct]]/100</f>
        <v>0</v>
      </c>
      <c r="R295">
        <f>Tabla1[[#This Row],[queso_kg]]*Tabla1[[#This Row],[queso_mg_pct]]/100</f>
        <v>0</v>
      </c>
      <c r="S295">
        <f>_xlfn.ISOWEEKNUM(Tabla1[[#This Row],[fecha]])</f>
        <v>42</v>
      </c>
      <c r="T295">
        <v>42</v>
      </c>
    </row>
    <row r="296" spans="1:20" x14ac:dyDescent="0.25">
      <c r="A296" s="1">
        <v>45585</v>
      </c>
      <c r="B296">
        <v>5260</v>
      </c>
      <c r="C296">
        <v>5107</v>
      </c>
      <c r="D296">
        <v>42.32</v>
      </c>
      <c r="E296">
        <v>36.409999999999997</v>
      </c>
      <c r="I296">
        <v>5107</v>
      </c>
      <c r="M296">
        <f>Tabla1[[#This Row],[entrada_litros]]*Tabla1[[#This Row],[entrada_grasa_g_l]]/100</f>
        <v>2161.2824000000001</v>
      </c>
      <c r="N296">
        <f>Tabla1[[#This Row],[entrada_prot_g_l]]*Tabla1[[#This Row],[entrada_litros]]/100</f>
        <v>1859.4586999999999</v>
      </c>
      <c r="O296">
        <f>Tabla1[[#This Row],[cuba_fab_litros]]*Tabla1[[#This Row],[cuba_fab_grasa_g_l]]</f>
        <v>0</v>
      </c>
      <c r="P296">
        <f>Tabla1[[#This Row],[cuba_fab_litros]]*Tabla1[[#This Row],[cuba_fab_prot_g_l]]/100</f>
        <v>0</v>
      </c>
      <c r="Q296">
        <f>Tabla1[[#This Row],[queso_kg]]*Tabla1[[#This Row],[queso_est_pct]]/100</f>
        <v>0</v>
      </c>
      <c r="R296">
        <f>Tabla1[[#This Row],[queso_kg]]*Tabla1[[#This Row],[queso_mg_pct]]/100</f>
        <v>0</v>
      </c>
      <c r="S296">
        <f>_xlfn.ISOWEEKNUM(Tabla1[[#This Row],[fecha]])</f>
        <v>42</v>
      </c>
      <c r="T296">
        <v>43</v>
      </c>
    </row>
    <row r="297" spans="1:20" x14ac:dyDescent="0.25">
      <c r="A297" s="1">
        <v>45586</v>
      </c>
      <c r="B297">
        <v>5184</v>
      </c>
      <c r="C297">
        <v>5033</v>
      </c>
      <c r="D297">
        <v>45.2</v>
      </c>
      <c r="E297">
        <v>34.9</v>
      </c>
      <c r="F297">
        <v>5028</v>
      </c>
      <c r="G297">
        <v>41.35</v>
      </c>
      <c r="H297">
        <v>34.33</v>
      </c>
      <c r="I297">
        <v>5140</v>
      </c>
      <c r="J297">
        <v>618.29</v>
      </c>
      <c r="K297">
        <v>52.9</v>
      </c>
      <c r="L297">
        <v>28.03</v>
      </c>
      <c r="M297">
        <f>Tabla1[[#This Row],[entrada_litros]]*Tabla1[[#This Row],[entrada_grasa_g_l]]/100</f>
        <v>2274.9160000000002</v>
      </c>
      <c r="N297">
        <f>Tabla1[[#This Row],[entrada_prot_g_l]]*Tabla1[[#This Row],[entrada_litros]]/100</f>
        <v>1756.5169999999998</v>
      </c>
      <c r="O297">
        <f>Tabla1[[#This Row],[cuba_fab_litros]]*Tabla1[[#This Row],[cuba_fab_grasa_g_l]]</f>
        <v>207907.80000000002</v>
      </c>
      <c r="P297">
        <f>Tabla1[[#This Row],[cuba_fab_litros]]*Tabla1[[#This Row],[cuba_fab_prot_g_l]]/100</f>
        <v>1726.1124</v>
      </c>
      <c r="Q297">
        <f>Tabla1[[#This Row],[queso_kg]]*Tabla1[[#This Row],[queso_est_pct]]/100</f>
        <v>327.07540999999998</v>
      </c>
      <c r="R297">
        <f>Tabla1[[#This Row],[queso_kg]]*Tabla1[[#This Row],[queso_mg_pct]]/100</f>
        <v>173.30668699999998</v>
      </c>
      <c r="S297">
        <f>_xlfn.ISOWEEKNUM(Tabla1[[#This Row],[fecha]])</f>
        <v>43</v>
      </c>
      <c r="T297">
        <v>43</v>
      </c>
    </row>
    <row r="298" spans="1:20" x14ac:dyDescent="0.25">
      <c r="A298" s="1">
        <v>45587</v>
      </c>
      <c r="B298">
        <v>5073</v>
      </c>
      <c r="C298">
        <v>4925</v>
      </c>
      <c r="D298">
        <v>41.68</v>
      </c>
      <c r="E298">
        <v>35.22</v>
      </c>
      <c r="F298">
        <v>5028</v>
      </c>
      <c r="G298">
        <v>40.31</v>
      </c>
      <c r="H298">
        <v>33.590000000000003</v>
      </c>
      <c r="I298">
        <v>5065</v>
      </c>
      <c r="J298">
        <v>648.84</v>
      </c>
      <c r="K298">
        <v>50.09</v>
      </c>
      <c r="L298">
        <v>25.39</v>
      </c>
      <c r="M298">
        <f>Tabla1[[#This Row],[entrada_litros]]*Tabla1[[#This Row],[entrada_grasa_g_l]]/100</f>
        <v>2052.7399999999998</v>
      </c>
      <c r="N298">
        <f>Tabla1[[#This Row],[entrada_prot_g_l]]*Tabla1[[#This Row],[entrada_litros]]/100</f>
        <v>1734.585</v>
      </c>
      <c r="O298">
        <f>Tabla1[[#This Row],[cuba_fab_litros]]*Tabla1[[#This Row],[cuba_fab_grasa_g_l]]</f>
        <v>202678.68000000002</v>
      </c>
      <c r="P298">
        <f>Tabla1[[#This Row],[cuba_fab_litros]]*Tabla1[[#This Row],[cuba_fab_prot_g_l]]/100</f>
        <v>1688.9052000000001</v>
      </c>
      <c r="Q298">
        <f>Tabla1[[#This Row],[queso_kg]]*Tabla1[[#This Row],[queso_est_pct]]/100</f>
        <v>325.00395600000002</v>
      </c>
      <c r="R298">
        <f>Tabla1[[#This Row],[queso_kg]]*Tabla1[[#This Row],[queso_mg_pct]]/100</f>
        <v>164.74047600000003</v>
      </c>
      <c r="S298">
        <f>_xlfn.ISOWEEKNUM(Tabla1[[#This Row],[fecha]])</f>
        <v>43</v>
      </c>
      <c r="T298">
        <v>43</v>
      </c>
    </row>
    <row r="299" spans="1:20" x14ac:dyDescent="0.25">
      <c r="A299" s="1">
        <v>45588</v>
      </c>
      <c r="B299">
        <v>5500</v>
      </c>
      <c r="C299">
        <v>5340</v>
      </c>
      <c r="D299">
        <v>44.31</v>
      </c>
      <c r="E299">
        <v>35.880000000000003</v>
      </c>
      <c r="F299">
        <v>5030</v>
      </c>
      <c r="G299">
        <v>41.45</v>
      </c>
      <c r="H299">
        <v>33.729999999999997</v>
      </c>
      <c r="I299">
        <v>5405</v>
      </c>
      <c r="J299">
        <v>638</v>
      </c>
      <c r="K299">
        <v>51.27</v>
      </c>
      <c r="L299">
        <v>26.52</v>
      </c>
      <c r="M299">
        <f>Tabla1[[#This Row],[entrada_litros]]*Tabla1[[#This Row],[entrada_grasa_g_l]]/100</f>
        <v>2366.1540000000005</v>
      </c>
      <c r="N299">
        <f>Tabla1[[#This Row],[entrada_prot_g_l]]*Tabla1[[#This Row],[entrada_litros]]/100</f>
        <v>1915.9920000000002</v>
      </c>
      <c r="O299">
        <f>Tabla1[[#This Row],[cuba_fab_litros]]*Tabla1[[#This Row],[cuba_fab_grasa_g_l]]</f>
        <v>208493.5</v>
      </c>
      <c r="P299">
        <f>Tabla1[[#This Row],[cuba_fab_litros]]*Tabla1[[#This Row],[cuba_fab_prot_g_l]]/100</f>
        <v>1696.6189999999999</v>
      </c>
      <c r="Q299">
        <f>Tabla1[[#This Row],[queso_kg]]*Tabla1[[#This Row],[queso_est_pct]]/100</f>
        <v>327.1026</v>
      </c>
      <c r="R299">
        <f>Tabla1[[#This Row],[queso_kg]]*Tabla1[[#This Row],[queso_mg_pct]]/100</f>
        <v>169.19759999999999</v>
      </c>
      <c r="S299">
        <f>_xlfn.ISOWEEKNUM(Tabla1[[#This Row],[fecha]])</f>
        <v>43</v>
      </c>
      <c r="T299">
        <v>43</v>
      </c>
    </row>
    <row r="300" spans="1:20" x14ac:dyDescent="0.25">
      <c r="A300" s="1">
        <v>45589</v>
      </c>
      <c r="B300">
        <v>5140</v>
      </c>
      <c r="C300">
        <v>4990</v>
      </c>
      <c r="D300">
        <v>42.64</v>
      </c>
      <c r="E300">
        <v>34.630000000000003</v>
      </c>
      <c r="F300">
        <v>5028</v>
      </c>
      <c r="G300">
        <v>40.93</v>
      </c>
      <c r="H300">
        <v>33.42</v>
      </c>
      <c r="I300">
        <v>5395</v>
      </c>
      <c r="J300">
        <v>620.9</v>
      </c>
      <c r="K300">
        <v>52.52</v>
      </c>
      <c r="L300">
        <v>27.85</v>
      </c>
      <c r="M300">
        <f>Tabla1[[#This Row],[entrada_litros]]*Tabla1[[#This Row],[entrada_grasa_g_l]]/100</f>
        <v>2127.7359999999999</v>
      </c>
      <c r="N300">
        <f>Tabla1[[#This Row],[entrada_prot_g_l]]*Tabla1[[#This Row],[entrada_litros]]/100</f>
        <v>1728.037</v>
      </c>
      <c r="O300">
        <f>Tabla1[[#This Row],[cuba_fab_litros]]*Tabla1[[#This Row],[cuba_fab_grasa_g_l]]</f>
        <v>205796.04</v>
      </c>
      <c r="P300">
        <f>Tabla1[[#This Row],[cuba_fab_litros]]*Tabla1[[#This Row],[cuba_fab_prot_g_l]]/100</f>
        <v>1680.3576</v>
      </c>
      <c r="Q300">
        <f>Tabla1[[#This Row],[queso_kg]]*Tabla1[[#This Row],[queso_est_pct]]/100</f>
        <v>326.09667999999999</v>
      </c>
      <c r="R300">
        <f>Tabla1[[#This Row],[queso_kg]]*Tabla1[[#This Row],[queso_mg_pct]]/100</f>
        <v>172.92064999999999</v>
      </c>
      <c r="S300">
        <f>_xlfn.ISOWEEKNUM(Tabla1[[#This Row],[fecha]])</f>
        <v>43</v>
      </c>
      <c r="T300">
        <v>43</v>
      </c>
    </row>
    <row r="301" spans="1:20" x14ac:dyDescent="0.25">
      <c r="A301" s="1">
        <v>45590</v>
      </c>
      <c r="F301">
        <v>5418</v>
      </c>
      <c r="G301">
        <v>41.13</v>
      </c>
      <c r="H301">
        <v>33.630000000000003</v>
      </c>
      <c r="J301">
        <v>682.46</v>
      </c>
      <c r="K301">
        <v>51.61</v>
      </c>
      <c r="L301">
        <v>27.17</v>
      </c>
      <c r="M301">
        <f>Tabla1[[#This Row],[entrada_litros]]*Tabla1[[#This Row],[entrada_grasa_g_l]]/100</f>
        <v>0</v>
      </c>
      <c r="N301">
        <f>Tabla1[[#This Row],[entrada_prot_g_l]]*Tabla1[[#This Row],[entrada_litros]]/100</f>
        <v>0</v>
      </c>
      <c r="O301">
        <f>Tabla1[[#This Row],[cuba_fab_litros]]*Tabla1[[#This Row],[cuba_fab_grasa_g_l]]</f>
        <v>222842.34000000003</v>
      </c>
      <c r="P301">
        <f>Tabla1[[#This Row],[cuba_fab_litros]]*Tabla1[[#This Row],[cuba_fab_prot_g_l]]/100</f>
        <v>1822.0734000000002</v>
      </c>
      <c r="Q301">
        <f>Tabla1[[#This Row],[queso_kg]]*Tabla1[[#This Row],[queso_est_pct]]/100</f>
        <v>352.21760599999999</v>
      </c>
      <c r="R301">
        <f>Tabla1[[#This Row],[queso_kg]]*Tabla1[[#This Row],[queso_mg_pct]]/100</f>
        <v>185.42438200000001</v>
      </c>
      <c r="S301">
        <f>_xlfn.ISOWEEKNUM(Tabla1[[#This Row],[fecha]])</f>
        <v>43</v>
      </c>
      <c r="T301">
        <v>43</v>
      </c>
    </row>
    <row r="302" spans="1:20" x14ac:dyDescent="0.25">
      <c r="A302" s="1">
        <v>45591</v>
      </c>
      <c r="M302">
        <f>Tabla1[[#This Row],[entrada_litros]]*Tabla1[[#This Row],[entrada_grasa_g_l]]/100</f>
        <v>0</v>
      </c>
      <c r="N302">
        <f>Tabla1[[#This Row],[entrada_prot_g_l]]*Tabla1[[#This Row],[entrada_litros]]/100</f>
        <v>0</v>
      </c>
      <c r="O302">
        <f>Tabla1[[#This Row],[cuba_fab_litros]]*Tabla1[[#This Row],[cuba_fab_grasa_g_l]]</f>
        <v>0</v>
      </c>
      <c r="P302">
        <f>Tabla1[[#This Row],[cuba_fab_litros]]*Tabla1[[#This Row],[cuba_fab_prot_g_l]]/100</f>
        <v>0</v>
      </c>
      <c r="Q302">
        <f>Tabla1[[#This Row],[queso_kg]]*Tabla1[[#This Row],[queso_est_pct]]/100</f>
        <v>0</v>
      </c>
      <c r="R302">
        <f>Tabla1[[#This Row],[queso_kg]]*Tabla1[[#This Row],[queso_mg_pct]]/100</f>
        <v>0</v>
      </c>
      <c r="S302">
        <f>_xlfn.ISOWEEKNUM(Tabla1[[#This Row],[fecha]])</f>
        <v>43</v>
      </c>
      <c r="T302">
        <v>43</v>
      </c>
    </row>
    <row r="303" spans="1:20" x14ac:dyDescent="0.25">
      <c r="A303" s="1">
        <v>45592</v>
      </c>
      <c r="B303">
        <v>5129</v>
      </c>
      <c r="C303">
        <v>4980</v>
      </c>
      <c r="D303">
        <v>42.82</v>
      </c>
      <c r="E303">
        <v>38.36</v>
      </c>
      <c r="I303">
        <v>4980</v>
      </c>
      <c r="M303">
        <f>Tabla1[[#This Row],[entrada_litros]]*Tabla1[[#This Row],[entrada_grasa_g_l]]/100</f>
        <v>2132.4360000000001</v>
      </c>
      <c r="N303">
        <f>Tabla1[[#This Row],[entrada_prot_g_l]]*Tabla1[[#This Row],[entrada_litros]]/100</f>
        <v>1910.328</v>
      </c>
      <c r="O303">
        <f>Tabla1[[#This Row],[cuba_fab_litros]]*Tabla1[[#This Row],[cuba_fab_grasa_g_l]]</f>
        <v>0</v>
      </c>
      <c r="P303">
        <f>Tabla1[[#This Row],[cuba_fab_litros]]*Tabla1[[#This Row],[cuba_fab_prot_g_l]]/100</f>
        <v>0</v>
      </c>
      <c r="Q303">
        <f>Tabla1[[#This Row],[queso_kg]]*Tabla1[[#This Row],[queso_est_pct]]/100</f>
        <v>0</v>
      </c>
      <c r="R303">
        <f>Tabla1[[#This Row],[queso_kg]]*Tabla1[[#This Row],[queso_mg_pct]]/100</f>
        <v>0</v>
      </c>
      <c r="S303">
        <f>_xlfn.ISOWEEKNUM(Tabla1[[#This Row],[fecha]])</f>
        <v>43</v>
      </c>
      <c r="T303">
        <v>44</v>
      </c>
    </row>
    <row r="304" spans="1:20" x14ac:dyDescent="0.25">
      <c r="A304" s="1">
        <v>45593</v>
      </c>
      <c r="B304">
        <v>5165</v>
      </c>
      <c r="C304">
        <v>5015</v>
      </c>
      <c r="D304">
        <v>42</v>
      </c>
      <c r="E304">
        <v>36.93</v>
      </c>
      <c r="F304">
        <v>5022</v>
      </c>
      <c r="G304">
        <v>40.58</v>
      </c>
      <c r="H304">
        <v>36.03</v>
      </c>
      <c r="I304">
        <v>4995</v>
      </c>
      <c r="J304">
        <v>615.46</v>
      </c>
      <c r="K304">
        <v>52.55</v>
      </c>
      <c r="L304">
        <v>28.51</v>
      </c>
      <c r="M304">
        <f>Tabla1[[#This Row],[entrada_litros]]*Tabla1[[#This Row],[entrada_grasa_g_l]]/100</f>
        <v>2106.3000000000002</v>
      </c>
      <c r="N304">
        <f>Tabla1[[#This Row],[entrada_prot_g_l]]*Tabla1[[#This Row],[entrada_litros]]/100</f>
        <v>1852.0395000000001</v>
      </c>
      <c r="O304">
        <f>Tabla1[[#This Row],[cuba_fab_litros]]*Tabla1[[#This Row],[cuba_fab_grasa_g_l]]</f>
        <v>203792.75999999998</v>
      </c>
      <c r="P304">
        <f>Tabla1[[#This Row],[cuba_fab_litros]]*Tabla1[[#This Row],[cuba_fab_prot_g_l]]/100</f>
        <v>1809.4266</v>
      </c>
      <c r="Q304">
        <f>Tabla1[[#This Row],[queso_kg]]*Tabla1[[#This Row],[queso_est_pct]]/100</f>
        <v>323.42422999999997</v>
      </c>
      <c r="R304">
        <f>Tabla1[[#This Row],[queso_kg]]*Tabla1[[#This Row],[queso_mg_pct]]/100</f>
        <v>175.46764600000003</v>
      </c>
      <c r="S304">
        <f>_xlfn.ISOWEEKNUM(Tabla1[[#This Row],[fecha]])</f>
        <v>44</v>
      </c>
      <c r="T304">
        <v>44</v>
      </c>
    </row>
    <row r="305" spans="1:20" x14ac:dyDescent="0.25">
      <c r="A305" s="1">
        <v>45594</v>
      </c>
      <c r="B305">
        <v>4993</v>
      </c>
      <c r="C305">
        <v>4848</v>
      </c>
      <c r="D305">
        <v>42</v>
      </c>
      <c r="E305">
        <v>35.630000000000003</v>
      </c>
      <c r="F305">
        <v>5035</v>
      </c>
      <c r="G305">
        <v>40.65</v>
      </c>
      <c r="H305">
        <v>34.99</v>
      </c>
      <c r="I305">
        <v>4843</v>
      </c>
      <c r="J305">
        <v>617.54999999999995</v>
      </c>
      <c r="K305">
        <v>52.84</v>
      </c>
      <c r="L305">
        <v>27.43</v>
      </c>
      <c r="M305">
        <f>Tabla1[[#This Row],[entrada_litros]]*Tabla1[[#This Row],[entrada_grasa_g_l]]/100</f>
        <v>2036.16</v>
      </c>
      <c r="N305">
        <f>Tabla1[[#This Row],[entrada_prot_g_l]]*Tabla1[[#This Row],[entrada_litros]]/100</f>
        <v>1727.3424000000002</v>
      </c>
      <c r="O305">
        <f>Tabla1[[#This Row],[cuba_fab_litros]]*Tabla1[[#This Row],[cuba_fab_grasa_g_l]]</f>
        <v>204672.75</v>
      </c>
      <c r="P305">
        <f>Tabla1[[#This Row],[cuba_fab_litros]]*Tabla1[[#This Row],[cuba_fab_prot_g_l]]/100</f>
        <v>1761.7465000000002</v>
      </c>
      <c r="Q305">
        <f>Tabla1[[#This Row],[queso_kg]]*Tabla1[[#This Row],[queso_est_pct]]/100</f>
        <v>326.31342000000001</v>
      </c>
      <c r="R305">
        <f>Tabla1[[#This Row],[queso_kg]]*Tabla1[[#This Row],[queso_mg_pct]]/100</f>
        <v>169.39396499999998</v>
      </c>
      <c r="S305">
        <f>_xlfn.ISOWEEKNUM(Tabla1[[#This Row],[fecha]])</f>
        <v>44</v>
      </c>
      <c r="T305">
        <v>44</v>
      </c>
    </row>
    <row r="306" spans="1:20" x14ac:dyDescent="0.25">
      <c r="A306" s="1">
        <v>45595</v>
      </c>
      <c r="B306">
        <v>5009</v>
      </c>
      <c r="C306">
        <v>4863</v>
      </c>
      <c r="D306">
        <v>42.51</v>
      </c>
      <c r="E306">
        <v>35</v>
      </c>
      <c r="F306">
        <v>5016</v>
      </c>
      <c r="G306">
        <v>40.36</v>
      </c>
      <c r="H306">
        <v>34.42</v>
      </c>
      <c r="I306">
        <v>4706</v>
      </c>
      <c r="J306">
        <v>623.02</v>
      </c>
      <c r="K306">
        <v>52.43</v>
      </c>
      <c r="L306">
        <v>27.4</v>
      </c>
      <c r="M306">
        <f>Tabla1[[#This Row],[entrada_litros]]*Tabla1[[#This Row],[entrada_grasa_g_l]]/100</f>
        <v>2067.2613000000001</v>
      </c>
      <c r="N306">
        <f>Tabla1[[#This Row],[entrada_prot_g_l]]*Tabla1[[#This Row],[entrada_litros]]/100</f>
        <v>1702.05</v>
      </c>
      <c r="O306">
        <f>Tabla1[[#This Row],[cuba_fab_litros]]*Tabla1[[#This Row],[cuba_fab_grasa_g_l]]</f>
        <v>202445.76</v>
      </c>
      <c r="P306">
        <f>Tabla1[[#This Row],[cuba_fab_litros]]*Tabla1[[#This Row],[cuba_fab_prot_g_l]]/100</f>
        <v>1726.5072</v>
      </c>
      <c r="Q306">
        <f>Tabla1[[#This Row],[queso_kg]]*Tabla1[[#This Row],[queso_est_pct]]/100</f>
        <v>326.64938599999999</v>
      </c>
      <c r="R306">
        <f>Tabla1[[#This Row],[queso_kg]]*Tabla1[[#This Row],[queso_mg_pct]]/100</f>
        <v>170.70748</v>
      </c>
      <c r="S306">
        <f>_xlfn.ISOWEEKNUM(Tabla1[[#This Row],[fecha]])</f>
        <v>44</v>
      </c>
      <c r="T306">
        <v>44</v>
      </c>
    </row>
    <row r="307" spans="1:20" x14ac:dyDescent="0.25">
      <c r="A307" s="1">
        <v>45596</v>
      </c>
      <c r="B307">
        <v>5416</v>
      </c>
      <c r="C307">
        <v>5258</v>
      </c>
      <c r="D307">
        <v>42.16</v>
      </c>
      <c r="E307">
        <v>35.47</v>
      </c>
      <c r="F307">
        <v>5021</v>
      </c>
      <c r="G307">
        <v>40.119999999999997</v>
      </c>
      <c r="H307">
        <v>34.08</v>
      </c>
      <c r="I307">
        <v>4964</v>
      </c>
      <c r="J307">
        <v>636.12</v>
      </c>
      <c r="K307">
        <v>50.44</v>
      </c>
      <c r="L307">
        <v>26.46</v>
      </c>
      <c r="M307">
        <f>Tabla1[[#This Row],[entrada_litros]]*Tabla1[[#This Row],[entrada_grasa_g_l]]/100</f>
        <v>2216.7727999999997</v>
      </c>
      <c r="N307">
        <f>Tabla1[[#This Row],[entrada_prot_g_l]]*Tabla1[[#This Row],[entrada_litros]]/100</f>
        <v>1865.0125999999998</v>
      </c>
      <c r="O307">
        <f>Tabla1[[#This Row],[cuba_fab_litros]]*Tabla1[[#This Row],[cuba_fab_grasa_g_l]]</f>
        <v>201442.52</v>
      </c>
      <c r="P307">
        <f>Tabla1[[#This Row],[cuba_fab_litros]]*Tabla1[[#This Row],[cuba_fab_prot_g_l]]/100</f>
        <v>1711.1568</v>
      </c>
      <c r="Q307">
        <f>Tabla1[[#This Row],[queso_kg]]*Tabla1[[#This Row],[queso_est_pct]]/100</f>
        <v>320.85892799999999</v>
      </c>
      <c r="R307">
        <f>Tabla1[[#This Row],[queso_kg]]*Tabla1[[#This Row],[queso_mg_pct]]/100</f>
        <v>168.317352</v>
      </c>
      <c r="S307">
        <f>_xlfn.ISOWEEKNUM(Tabla1[[#This Row],[fecha]])</f>
        <v>44</v>
      </c>
      <c r="T307">
        <v>44</v>
      </c>
    </row>
    <row r="308" spans="1:20" x14ac:dyDescent="0.25">
      <c r="A308" s="1">
        <v>45597</v>
      </c>
      <c r="F308">
        <v>4989</v>
      </c>
      <c r="G308">
        <v>40.76</v>
      </c>
      <c r="H308">
        <v>33.82</v>
      </c>
      <c r="J308">
        <v>608.71</v>
      </c>
      <c r="K308">
        <v>52.94</v>
      </c>
      <c r="L308">
        <v>27.5</v>
      </c>
      <c r="M308">
        <f>Tabla1[[#This Row],[entrada_litros]]*Tabla1[[#This Row],[entrada_grasa_g_l]]/100</f>
        <v>0</v>
      </c>
      <c r="N308">
        <f>Tabla1[[#This Row],[entrada_prot_g_l]]*Tabla1[[#This Row],[entrada_litros]]/100</f>
        <v>0</v>
      </c>
      <c r="O308">
        <f>Tabla1[[#This Row],[cuba_fab_litros]]*Tabla1[[#This Row],[cuba_fab_grasa_g_l]]</f>
        <v>203351.63999999998</v>
      </c>
      <c r="P308">
        <f>Tabla1[[#This Row],[cuba_fab_litros]]*Tabla1[[#This Row],[cuba_fab_prot_g_l]]/100</f>
        <v>1687.2798</v>
      </c>
      <c r="Q308">
        <f>Tabla1[[#This Row],[queso_kg]]*Tabla1[[#This Row],[queso_est_pct]]/100</f>
        <v>322.25107400000002</v>
      </c>
      <c r="R308">
        <f>Tabla1[[#This Row],[queso_kg]]*Tabla1[[#This Row],[queso_mg_pct]]/100</f>
        <v>167.39525</v>
      </c>
      <c r="S308">
        <f>_xlfn.ISOWEEKNUM(Tabla1[[#This Row],[fecha]])</f>
        <v>44</v>
      </c>
      <c r="T308">
        <v>44</v>
      </c>
    </row>
    <row r="309" spans="1:20" x14ac:dyDescent="0.25">
      <c r="A309" s="1">
        <v>45598</v>
      </c>
      <c r="M309">
        <f>Tabla1[[#This Row],[entrada_litros]]*Tabla1[[#This Row],[entrada_grasa_g_l]]/100</f>
        <v>0</v>
      </c>
      <c r="N309">
        <f>Tabla1[[#This Row],[entrada_prot_g_l]]*Tabla1[[#This Row],[entrada_litros]]/100</f>
        <v>0</v>
      </c>
      <c r="O309">
        <f>Tabla1[[#This Row],[cuba_fab_litros]]*Tabla1[[#This Row],[cuba_fab_grasa_g_l]]</f>
        <v>0</v>
      </c>
      <c r="P309">
        <f>Tabla1[[#This Row],[cuba_fab_litros]]*Tabla1[[#This Row],[cuba_fab_prot_g_l]]/100</f>
        <v>0</v>
      </c>
      <c r="Q309">
        <f>Tabla1[[#This Row],[queso_kg]]*Tabla1[[#This Row],[queso_est_pct]]/100</f>
        <v>0</v>
      </c>
      <c r="R309">
        <f>Tabla1[[#This Row],[queso_kg]]*Tabla1[[#This Row],[queso_mg_pct]]/100</f>
        <v>0</v>
      </c>
      <c r="S309">
        <f>_xlfn.ISOWEEKNUM(Tabla1[[#This Row],[fecha]])</f>
        <v>44</v>
      </c>
      <c r="T309">
        <v>44</v>
      </c>
    </row>
    <row r="310" spans="1:20" x14ac:dyDescent="0.25">
      <c r="A310" s="1">
        <v>45599</v>
      </c>
      <c r="B310">
        <v>5366</v>
      </c>
      <c r="C310">
        <v>5210</v>
      </c>
      <c r="D310">
        <v>44.39</v>
      </c>
      <c r="E310">
        <v>34.5</v>
      </c>
      <c r="I310">
        <v>5210</v>
      </c>
      <c r="M310">
        <f>Tabla1[[#This Row],[entrada_litros]]*Tabla1[[#This Row],[entrada_grasa_g_l]]/100</f>
        <v>2312.7190000000001</v>
      </c>
      <c r="N310">
        <f>Tabla1[[#This Row],[entrada_prot_g_l]]*Tabla1[[#This Row],[entrada_litros]]/100</f>
        <v>1797.45</v>
      </c>
      <c r="O310">
        <f>Tabla1[[#This Row],[cuba_fab_litros]]*Tabla1[[#This Row],[cuba_fab_grasa_g_l]]</f>
        <v>0</v>
      </c>
      <c r="P310">
        <f>Tabla1[[#This Row],[cuba_fab_litros]]*Tabla1[[#This Row],[cuba_fab_prot_g_l]]/100</f>
        <v>0</v>
      </c>
      <c r="Q310">
        <f>Tabla1[[#This Row],[queso_kg]]*Tabla1[[#This Row],[queso_est_pct]]/100</f>
        <v>0</v>
      </c>
      <c r="R310">
        <f>Tabla1[[#This Row],[queso_kg]]*Tabla1[[#This Row],[queso_mg_pct]]/100</f>
        <v>0</v>
      </c>
      <c r="S310">
        <f>_xlfn.ISOWEEKNUM(Tabla1[[#This Row],[fecha]])</f>
        <v>44</v>
      </c>
      <c r="T310">
        <v>45</v>
      </c>
    </row>
    <row r="311" spans="1:20" x14ac:dyDescent="0.25">
      <c r="A311" s="1">
        <v>45600</v>
      </c>
      <c r="B311">
        <v>5148</v>
      </c>
      <c r="C311">
        <v>4998</v>
      </c>
      <c r="D311">
        <v>45.25</v>
      </c>
      <c r="E311">
        <v>35.97</v>
      </c>
      <c r="F311">
        <v>5026</v>
      </c>
      <c r="G311">
        <v>42.71</v>
      </c>
      <c r="H311">
        <v>33.450000000000003</v>
      </c>
      <c r="I311">
        <v>5208</v>
      </c>
      <c r="J311">
        <v>634.64</v>
      </c>
      <c r="K311">
        <v>51</v>
      </c>
      <c r="L311">
        <v>26.62</v>
      </c>
      <c r="M311">
        <f>Tabla1[[#This Row],[entrada_litros]]*Tabla1[[#This Row],[entrada_grasa_g_l]]/100</f>
        <v>2261.5949999999998</v>
      </c>
      <c r="N311">
        <f>Tabla1[[#This Row],[entrada_prot_g_l]]*Tabla1[[#This Row],[entrada_litros]]/100</f>
        <v>1797.7806</v>
      </c>
      <c r="O311">
        <f>Tabla1[[#This Row],[cuba_fab_litros]]*Tabla1[[#This Row],[cuba_fab_grasa_g_l]]</f>
        <v>214660.46</v>
      </c>
      <c r="P311">
        <f>Tabla1[[#This Row],[cuba_fab_litros]]*Tabla1[[#This Row],[cuba_fab_prot_g_l]]/100</f>
        <v>1681.1970000000001</v>
      </c>
      <c r="Q311">
        <f>Tabla1[[#This Row],[queso_kg]]*Tabla1[[#This Row],[queso_est_pct]]/100</f>
        <v>323.66640000000001</v>
      </c>
      <c r="R311">
        <f>Tabla1[[#This Row],[queso_kg]]*Tabla1[[#This Row],[queso_mg_pct]]/100</f>
        <v>168.941168</v>
      </c>
      <c r="S311">
        <f>_xlfn.ISOWEEKNUM(Tabla1[[#This Row],[fecha]])</f>
        <v>45</v>
      </c>
      <c r="T311">
        <v>45</v>
      </c>
    </row>
    <row r="312" spans="1:20" x14ac:dyDescent="0.25">
      <c r="A312" s="1">
        <v>45601</v>
      </c>
      <c r="B312">
        <v>5029</v>
      </c>
      <c r="C312">
        <v>4883</v>
      </c>
      <c r="D312">
        <v>39.92</v>
      </c>
      <c r="E312">
        <v>34.840000000000003</v>
      </c>
      <c r="F312">
        <v>5027</v>
      </c>
      <c r="G312">
        <v>40.5</v>
      </c>
      <c r="H312">
        <v>33.29</v>
      </c>
      <c r="I312">
        <v>5091</v>
      </c>
      <c r="J312">
        <v>637.29</v>
      </c>
      <c r="K312">
        <v>51.75</v>
      </c>
      <c r="L312">
        <v>26.09</v>
      </c>
      <c r="M312">
        <f>Tabla1[[#This Row],[entrada_litros]]*Tabla1[[#This Row],[entrada_grasa_g_l]]/100</f>
        <v>1949.2936000000002</v>
      </c>
      <c r="N312">
        <f>Tabla1[[#This Row],[entrada_prot_g_l]]*Tabla1[[#This Row],[entrada_litros]]/100</f>
        <v>1701.2372000000003</v>
      </c>
      <c r="O312">
        <f>Tabla1[[#This Row],[cuba_fab_litros]]*Tabla1[[#This Row],[cuba_fab_grasa_g_l]]</f>
        <v>203593.5</v>
      </c>
      <c r="P312">
        <f>Tabla1[[#This Row],[cuba_fab_litros]]*Tabla1[[#This Row],[cuba_fab_prot_g_l]]/100</f>
        <v>1673.4883</v>
      </c>
      <c r="Q312">
        <f>Tabla1[[#This Row],[queso_kg]]*Tabla1[[#This Row],[queso_est_pct]]/100</f>
        <v>329.79757499999999</v>
      </c>
      <c r="R312">
        <f>Tabla1[[#This Row],[queso_kg]]*Tabla1[[#This Row],[queso_mg_pct]]/100</f>
        <v>166.26896099999999</v>
      </c>
      <c r="S312">
        <f>_xlfn.ISOWEEKNUM(Tabla1[[#This Row],[fecha]])</f>
        <v>45</v>
      </c>
      <c r="T312">
        <v>45</v>
      </c>
    </row>
    <row r="313" spans="1:20" x14ac:dyDescent="0.25">
      <c r="A313" s="1">
        <v>45602</v>
      </c>
      <c r="B313">
        <v>5351</v>
      </c>
      <c r="C313">
        <v>5195</v>
      </c>
      <c r="D313">
        <v>42.06</v>
      </c>
      <c r="E313">
        <v>35.97</v>
      </c>
      <c r="F313">
        <v>5031</v>
      </c>
      <c r="G313">
        <v>40.369999999999997</v>
      </c>
      <c r="H313">
        <v>33.590000000000003</v>
      </c>
      <c r="I313">
        <v>5286</v>
      </c>
      <c r="J313">
        <v>641.77</v>
      </c>
      <c r="K313">
        <v>51.27</v>
      </c>
      <c r="L313">
        <v>26.61</v>
      </c>
      <c r="M313">
        <f>Tabla1[[#This Row],[entrada_litros]]*Tabla1[[#This Row],[entrada_grasa_g_l]]/100</f>
        <v>2185.0170000000003</v>
      </c>
      <c r="N313">
        <f>Tabla1[[#This Row],[entrada_prot_g_l]]*Tabla1[[#This Row],[entrada_litros]]/100</f>
        <v>1868.6415</v>
      </c>
      <c r="O313">
        <f>Tabla1[[#This Row],[cuba_fab_litros]]*Tabla1[[#This Row],[cuba_fab_grasa_g_l]]</f>
        <v>203101.47</v>
      </c>
      <c r="P313">
        <f>Tabla1[[#This Row],[cuba_fab_litros]]*Tabla1[[#This Row],[cuba_fab_prot_g_l]]/100</f>
        <v>1689.9129</v>
      </c>
      <c r="Q313">
        <f>Tabla1[[#This Row],[queso_kg]]*Tabla1[[#This Row],[queso_est_pct]]/100</f>
        <v>329.03547899999995</v>
      </c>
      <c r="R313">
        <f>Tabla1[[#This Row],[queso_kg]]*Tabla1[[#This Row],[queso_mg_pct]]/100</f>
        <v>170.77499700000001</v>
      </c>
      <c r="S313">
        <f>_xlfn.ISOWEEKNUM(Tabla1[[#This Row],[fecha]])</f>
        <v>45</v>
      </c>
      <c r="T313">
        <v>45</v>
      </c>
    </row>
    <row r="314" spans="1:20" x14ac:dyDescent="0.25">
      <c r="A314" s="1">
        <v>45603</v>
      </c>
      <c r="B314">
        <v>4921</v>
      </c>
      <c r="C314">
        <v>4778</v>
      </c>
      <c r="D314">
        <v>44.83</v>
      </c>
      <c r="E314">
        <v>35.69</v>
      </c>
      <c r="F314">
        <v>5021</v>
      </c>
      <c r="G314">
        <v>41.45</v>
      </c>
      <c r="H314">
        <v>33.729999999999997</v>
      </c>
      <c r="I314">
        <v>5064</v>
      </c>
      <c r="J314">
        <v>615.73</v>
      </c>
      <c r="K314">
        <v>52.84</v>
      </c>
      <c r="L314">
        <v>26.49</v>
      </c>
      <c r="M314">
        <f>Tabla1[[#This Row],[entrada_litros]]*Tabla1[[#This Row],[entrada_grasa_g_l]]/100</f>
        <v>2141.9773999999998</v>
      </c>
      <c r="N314">
        <f>Tabla1[[#This Row],[entrada_prot_g_l]]*Tabla1[[#This Row],[entrada_litros]]/100</f>
        <v>1705.2681999999998</v>
      </c>
      <c r="O314">
        <f>Tabla1[[#This Row],[cuba_fab_litros]]*Tabla1[[#This Row],[cuba_fab_grasa_g_l]]</f>
        <v>208120.45</v>
      </c>
      <c r="P314">
        <f>Tabla1[[#This Row],[cuba_fab_litros]]*Tabla1[[#This Row],[cuba_fab_prot_g_l]]/100</f>
        <v>1693.5832999999998</v>
      </c>
      <c r="Q314">
        <f>Tabla1[[#This Row],[queso_kg]]*Tabla1[[#This Row],[queso_est_pct]]/100</f>
        <v>325.35173200000003</v>
      </c>
      <c r="R314">
        <f>Tabla1[[#This Row],[queso_kg]]*Tabla1[[#This Row],[queso_mg_pct]]/100</f>
        <v>163.106877</v>
      </c>
      <c r="S314">
        <f>_xlfn.ISOWEEKNUM(Tabla1[[#This Row],[fecha]])</f>
        <v>45</v>
      </c>
      <c r="T314">
        <v>45</v>
      </c>
    </row>
    <row r="315" spans="1:20" x14ac:dyDescent="0.25">
      <c r="A315" s="1">
        <v>45604</v>
      </c>
      <c r="F315">
        <v>5087</v>
      </c>
      <c r="G315">
        <v>41.24</v>
      </c>
      <c r="H315">
        <v>33.869999999999997</v>
      </c>
      <c r="J315">
        <v>616.48</v>
      </c>
      <c r="K315">
        <v>52.84</v>
      </c>
      <c r="L315">
        <v>26.51</v>
      </c>
      <c r="M315">
        <f>Tabla1[[#This Row],[entrada_litros]]*Tabla1[[#This Row],[entrada_grasa_g_l]]/100</f>
        <v>0</v>
      </c>
      <c r="N315">
        <f>Tabla1[[#This Row],[entrada_prot_g_l]]*Tabla1[[#This Row],[entrada_litros]]/100</f>
        <v>0</v>
      </c>
      <c r="O315">
        <f>Tabla1[[#This Row],[cuba_fab_litros]]*Tabla1[[#This Row],[cuba_fab_grasa_g_l]]</f>
        <v>209787.88</v>
      </c>
      <c r="P315">
        <f>Tabla1[[#This Row],[cuba_fab_litros]]*Tabla1[[#This Row],[cuba_fab_prot_g_l]]/100</f>
        <v>1722.9668999999997</v>
      </c>
      <c r="Q315">
        <f>Tabla1[[#This Row],[queso_kg]]*Tabla1[[#This Row],[queso_est_pct]]/100</f>
        <v>325.74803200000002</v>
      </c>
      <c r="R315">
        <f>Tabla1[[#This Row],[queso_kg]]*Tabla1[[#This Row],[queso_mg_pct]]/100</f>
        <v>163.42884800000002</v>
      </c>
      <c r="S315">
        <f>_xlfn.ISOWEEKNUM(Tabla1[[#This Row],[fecha]])</f>
        <v>45</v>
      </c>
      <c r="T315">
        <v>45</v>
      </c>
    </row>
    <row r="316" spans="1:20" x14ac:dyDescent="0.25">
      <c r="A316" s="1">
        <v>45605</v>
      </c>
      <c r="M316">
        <f>Tabla1[[#This Row],[entrada_litros]]*Tabla1[[#This Row],[entrada_grasa_g_l]]/100</f>
        <v>0</v>
      </c>
      <c r="N316">
        <f>Tabla1[[#This Row],[entrada_prot_g_l]]*Tabla1[[#This Row],[entrada_litros]]/100</f>
        <v>0</v>
      </c>
      <c r="O316">
        <f>Tabla1[[#This Row],[cuba_fab_litros]]*Tabla1[[#This Row],[cuba_fab_grasa_g_l]]</f>
        <v>0</v>
      </c>
      <c r="P316">
        <f>Tabla1[[#This Row],[cuba_fab_litros]]*Tabla1[[#This Row],[cuba_fab_prot_g_l]]/100</f>
        <v>0</v>
      </c>
      <c r="Q316">
        <f>Tabla1[[#This Row],[queso_kg]]*Tabla1[[#This Row],[queso_est_pct]]/100</f>
        <v>0</v>
      </c>
      <c r="R316">
        <f>Tabla1[[#This Row],[queso_kg]]*Tabla1[[#This Row],[queso_mg_pct]]/100</f>
        <v>0</v>
      </c>
      <c r="S316">
        <f>_xlfn.ISOWEEKNUM(Tabla1[[#This Row],[fecha]])</f>
        <v>45</v>
      </c>
      <c r="T316">
        <v>45</v>
      </c>
    </row>
    <row r="317" spans="1:20" x14ac:dyDescent="0.25">
      <c r="A317" s="1">
        <v>45606</v>
      </c>
      <c r="B317">
        <v>5129</v>
      </c>
      <c r="C317">
        <v>4980</v>
      </c>
      <c r="D317">
        <v>43.05</v>
      </c>
      <c r="E317">
        <v>34.64</v>
      </c>
      <c r="I317">
        <v>4980</v>
      </c>
      <c r="M317">
        <f>Tabla1[[#This Row],[entrada_litros]]*Tabla1[[#This Row],[entrada_grasa_g_l]]/100</f>
        <v>2143.89</v>
      </c>
      <c r="N317">
        <f>Tabla1[[#This Row],[entrada_prot_g_l]]*Tabla1[[#This Row],[entrada_litros]]/100</f>
        <v>1725.0720000000001</v>
      </c>
      <c r="O317">
        <f>Tabla1[[#This Row],[cuba_fab_litros]]*Tabla1[[#This Row],[cuba_fab_grasa_g_l]]</f>
        <v>0</v>
      </c>
      <c r="P317">
        <f>Tabla1[[#This Row],[cuba_fab_litros]]*Tabla1[[#This Row],[cuba_fab_prot_g_l]]/100</f>
        <v>0</v>
      </c>
      <c r="Q317">
        <f>Tabla1[[#This Row],[queso_kg]]*Tabla1[[#This Row],[queso_est_pct]]/100</f>
        <v>0</v>
      </c>
      <c r="R317">
        <f>Tabla1[[#This Row],[queso_kg]]*Tabla1[[#This Row],[queso_mg_pct]]/100</f>
        <v>0</v>
      </c>
      <c r="S317">
        <f>_xlfn.ISOWEEKNUM(Tabla1[[#This Row],[fecha]])</f>
        <v>45</v>
      </c>
      <c r="T317">
        <v>46</v>
      </c>
    </row>
    <row r="318" spans="1:20" x14ac:dyDescent="0.25">
      <c r="A318" s="1">
        <v>45607</v>
      </c>
      <c r="B318">
        <v>5235</v>
      </c>
      <c r="C318">
        <v>5083</v>
      </c>
      <c r="D318">
        <v>40.46</v>
      </c>
      <c r="E318">
        <v>35.57</v>
      </c>
      <c r="F318">
        <v>5025</v>
      </c>
      <c r="G318">
        <v>39.96</v>
      </c>
      <c r="H318">
        <v>33.49</v>
      </c>
      <c r="I318">
        <v>5063</v>
      </c>
      <c r="J318">
        <v>641.04</v>
      </c>
      <c r="K318">
        <v>51.2</v>
      </c>
      <c r="L318">
        <v>26.66</v>
      </c>
      <c r="M318">
        <f>Tabla1[[#This Row],[entrada_litros]]*Tabla1[[#This Row],[entrada_grasa_g_l]]/100</f>
        <v>2056.5817999999999</v>
      </c>
      <c r="N318">
        <f>Tabla1[[#This Row],[entrada_prot_g_l]]*Tabla1[[#This Row],[entrada_litros]]/100</f>
        <v>1808.0230999999999</v>
      </c>
      <c r="O318">
        <f>Tabla1[[#This Row],[cuba_fab_litros]]*Tabla1[[#This Row],[cuba_fab_grasa_g_l]]</f>
        <v>200799</v>
      </c>
      <c r="P318">
        <f>Tabla1[[#This Row],[cuba_fab_litros]]*Tabla1[[#This Row],[cuba_fab_prot_g_l]]/100</f>
        <v>1682.8724999999999</v>
      </c>
      <c r="Q318">
        <f>Tabla1[[#This Row],[queso_kg]]*Tabla1[[#This Row],[queso_est_pct]]/100</f>
        <v>328.21247999999997</v>
      </c>
      <c r="R318">
        <f>Tabla1[[#This Row],[queso_kg]]*Tabla1[[#This Row],[queso_mg_pct]]/100</f>
        <v>170.90126399999997</v>
      </c>
      <c r="S318">
        <f>_xlfn.ISOWEEKNUM(Tabla1[[#This Row],[fecha]])</f>
        <v>46</v>
      </c>
      <c r="T318">
        <v>46</v>
      </c>
    </row>
    <row r="319" spans="1:20" x14ac:dyDescent="0.25">
      <c r="A319" s="1">
        <v>45608</v>
      </c>
      <c r="B319">
        <v>5616</v>
      </c>
      <c r="C319">
        <v>5452</v>
      </c>
      <c r="D319">
        <v>43.22</v>
      </c>
      <c r="E319">
        <v>34.049999999999997</v>
      </c>
      <c r="F319">
        <v>5026</v>
      </c>
      <c r="G319">
        <v>40.25</v>
      </c>
      <c r="H319">
        <v>33.14</v>
      </c>
      <c r="I319">
        <v>5515</v>
      </c>
      <c r="J319">
        <v>630.75</v>
      </c>
      <c r="K319">
        <v>52.25</v>
      </c>
      <c r="L319">
        <v>27.55</v>
      </c>
      <c r="M319">
        <f>Tabla1[[#This Row],[entrada_litros]]*Tabla1[[#This Row],[entrada_grasa_g_l]]/100</f>
        <v>2356.3544000000002</v>
      </c>
      <c r="N319">
        <f>Tabla1[[#This Row],[entrada_prot_g_l]]*Tabla1[[#This Row],[entrada_litros]]/100</f>
        <v>1856.4059999999997</v>
      </c>
      <c r="O319">
        <f>Tabla1[[#This Row],[cuba_fab_litros]]*Tabla1[[#This Row],[cuba_fab_grasa_g_l]]</f>
        <v>202296.5</v>
      </c>
      <c r="P319">
        <f>Tabla1[[#This Row],[cuba_fab_litros]]*Tabla1[[#This Row],[cuba_fab_prot_g_l]]/100</f>
        <v>1665.6164000000001</v>
      </c>
      <c r="Q319">
        <f>Tabla1[[#This Row],[queso_kg]]*Tabla1[[#This Row],[queso_est_pct]]/100</f>
        <v>329.56687499999998</v>
      </c>
      <c r="R319">
        <f>Tabla1[[#This Row],[queso_kg]]*Tabla1[[#This Row],[queso_mg_pct]]/100</f>
        <v>173.77162500000003</v>
      </c>
      <c r="S319">
        <f>_xlfn.ISOWEEKNUM(Tabla1[[#This Row],[fecha]])</f>
        <v>46</v>
      </c>
      <c r="T319">
        <v>46</v>
      </c>
    </row>
    <row r="320" spans="1:20" x14ac:dyDescent="0.25">
      <c r="A320" s="1">
        <v>45609</v>
      </c>
      <c r="B320">
        <v>5434</v>
      </c>
      <c r="C320">
        <v>5276</v>
      </c>
      <c r="D320">
        <v>40.71</v>
      </c>
      <c r="E320">
        <v>39.130000000000003</v>
      </c>
      <c r="F320">
        <v>5024</v>
      </c>
      <c r="G320">
        <v>39.71</v>
      </c>
      <c r="H320">
        <v>35.28</v>
      </c>
      <c r="I320">
        <v>5791</v>
      </c>
      <c r="J320">
        <v>634.94000000000005</v>
      </c>
      <c r="K320">
        <v>51.33</v>
      </c>
      <c r="L320">
        <v>26.77</v>
      </c>
      <c r="M320">
        <f>Tabla1[[#This Row],[entrada_litros]]*Tabla1[[#This Row],[entrada_grasa_g_l]]/100</f>
        <v>2147.8595999999998</v>
      </c>
      <c r="N320">
        <f>Tabla1[[#This Row],[entrada_prot_g_l]]*Tabla1[[#This Row],[entrada_litros]]/100</f>
        <v>2064.4987999999998</v>
      </c>
      <c r="O320">
        <f>Tabla1[[#This Row],[cuba_fab_litros]]*Tabla1[[#This Row],[cuba_fab_grasa_g_l]]</f>
        <v>199503.04</v>
      </c>
      <c r="P320">
        <f>Tabla1[[#This Row],[cuba_fab_litros]]*Tabla1[[#This Row],[cuba_fab_prot_g_l]]/100</f>
        <v>1772.4672</v>
      </c>
      <c r="Q320">
        <f>Tabla1[[#This Row],[queso_kg]]*Tabla1[[#This Row],[queso_est_pct]]/100</f>
        <v>325.91470200000003</v>
      </c>
      <c r="R320">
        <f>Tabla1[[#This Row],[queso_kg]]*Tabla1[[#This Row],[queso_mg_pct]]/100</f>
        <v>169.97343800000002</v>
      </c>
      <c r="S320">
        <f>_xlfn.ISOWEEKNUM(Tabla1[[#This Row],[fecha]])</f>
        <v>46</v>
      </c>
      <c r="T320">
        <v>46</v>
      </c>
    </row>
    <row r="321" spans="1:20" x14ac:dyDescent="0.25">
      <c r="A321" s="1">
        <v>45610</v>
      </c>
      <c r="B321">
        <v>5182</v>
      </c>
      <c r="C321">
        <v>5031</v>
      </c>
      <c r="D321">
        <v>42.04</v>
      </c>
      <c r="E321">
        <v>36.21</v>
      </c>
      <c r="F321">
        <v>5026</v>
      </c>
      <c r="G321">
        <v>40.159999999999997</v>
      </c>
      <c r="H321">
        <v>34.659999999999997</v>
      </c>
      <c r="I321">
        <v>5822</v>
      </c>
      <c r="J321">
        <v>630.48</v>
      </c>
      <c r="K321">
        <v>52.51</v>
      </c>
      <c r="L321">
        <v>28.45</v>
      </c>
      <c r="M321">
        <f>Tabla1[[#This Row],[entrada_litros]]*Tabla1[[#This Row],[entrada_grasa_g_l]]/100</f>
        <v>2115.0324000000001</v>
      </c>
      <c r="N321">
        <f>Tabla1[[#This Row],[entrada_prot_g_l]]*Tabla1[[#This Row],[entrada_litros]]/100</f>
        <v>1821.7251000000001</v>
      </c>
      <c r="O321">
        <f>Tabla1[[#This Row],[cuba_fab_litros]]*Tabla1[[#This Row],[cuba_fab_grasa_g_l]]</f>
        <v>201844.15999999997</v>
      </c>
      <c r="P321">
        <f>Tabla1[[#This Row],[cuba_fab_litros]]*Tabla1[[#This Row],[cuba_fab_prot_g_l]]/100</f>
        <v>1742.0115999999998</v>
      </c>
      <c r="Q321">
        <f>Tabla1[[#This Row],[queso_kg]]*Tabla1[[#This Row],[queso_est_pct]]/100</f>
        <v>331.06504800000005</v>
      </c>
      <c r="R321">
        <f>Tabla1[[#This Row],[queso_kg]]*Tabla1[[#This Row],[queso_mg_pct]]/100</f>
        <v>179.37155999999999</v>
      </c>
      <c r="S321">
        <f>_xlfn.ISOWEEKNUM(Tabla1[[#This Row],[fecha]])</f>
        <v>46</v>
      </c>
      <c r="T321">
        <v>46</v>
      </c>
    </row>
    <row r="322" spans="1:20" x14ac:dyDescent="0.25">
      <c r="A322" s="1">
        <v>45611</v>
      </c>
      <c r="F322">
        <v>5852</v>
      </c>
      <c r="G322">
        <v>39.880000000000003</v>
      </c>
      <c r="H322">
        <v>35.04</v>
      </c>
      <c r="J322">
        <v>747.78</v>
      </c>
      <c r="K322">
        <v>50.66</v>
      </c>
      <c r="L322">
        <v>26.76</v>
      </c>
      <c r="M322">
        <f>Tabla1[[#This Row],[entrada_litros]]*Tabla1[[#This Row],[entrada_grasa_g_l]]/100</f>
        <v>0</v>
      </c>
      <c r="N322">
        <f>Tabla1[[#This Row],[entrada_prot_g_l]]*Tabla1[[#This Row],[entrada_litros]]/100</f>
        <v>0</v>
      </c>
      <c r="O322">
        <f>Tabla1[[#This Row],[cuba_fab_litros]]*Tabla1[[#This Row],[cuba_fab_grasa_g_l]]</f>
        <v>233377.76</v>
      </c>
      <c r="P322">
        <f>Tabla1[[#This Row],[cuba_fab_litros]]*Tabla1[[#This Row],[cuba_fab_prot_g_l]]/100</f>
        <v>2050.5407999999998</v>
      </c>
      <c r="Q322">
        <f>Tabla1[[#This Row],[queso_kg]]*Tabla1[[#This Row],[queso_est_pct]]/100</f>
        <v>378.82534799999996</v>
      </c>
      <c r="R322">
        <f>Tabla1[[#This Row],[queso_kg]]*Tabla1[[#This Row],[queso_mg_pct]]/100</f>
        <v>200.10592800000003</v>
      </c>
      <c r="S322">
        <f>_xlfn.ISOWEEKNUM(Tabla1[[#This Row],[fecha]])</f>
        <v>46</v>
      </c>
      <c r="T322">
        <v>46</v>
      </c>
    </row>
    <row r="323" spans="1:20" x14ac:dyDescent="0.25">
      <c r="A323" s="1">
        <v>45612</v>
      </c>
      <c r="M323">
        <f>Tabla1[[#This Row],[entrada_litros]]*Tabla1[[#This Row],[entrada_grasa_g_l]]/100</f>
        <v>0</v>
      </c>
      <c r="N323">
        <f>Tabla1[[#This Row],[entrada_prot_g_l]]*Tabla1[[#This Row],[entrada_litros]]/100</f>
        <v>0</v>
      </c>
      <c r="O323">
        <f>Tabla1[[#This Row],[cuba_fab_litros]]*Tabla1[[#This Row],[cuba_fab_grasa_g_l]]</f>
        <v>0</v>
      </c>
      <c r="P323">
        <f>Tabla1[[#This Row],[cuba_fab_litros]]*Tabla1[[#This Row],[cuba_fab_prot_g_l]]/100</f>
        <v>0</v>
      </c>
      <c r="Q323">
        <f>Tabla1[[#This Row],[queso_kg]]*Tabla1[[#This Row],[queso_est_pct]]/100</f>
        <v>0</v>
      </c>
      <c r="R323">
        <f>Tabla1[[#This Row],[queso_kg]]*Tabla1[[#This Row],[queso_mg_pct]]/100</f>
        <v>0</v>
      </c>
      <c r="S323">
        <f>_xlfn.ISOWEEKNUM(Tabla1[[#This Row],[fecha]])</f>
        <v>46</v>
      </c>
      <c r="T323">
        <v>46</v>
      </c>
    </row>
    <row r="324" spans="1:20" x14ac:dyDescent="0.25">
      <c r="A324" s="1">
        <v>45613</v>
      </c>
      <c r="B324">
        <v>4694</v>
      </c>
      <c r="C324">
        <v>4557</v>
      </c>
      <c r="D324">
        <v>42.78</v>
      </c>
      <c r="E324">
        <v>35.770000000000003</v>
      </c>
      <c r="I324">
        <v>4557</v>
      </c>
      <c r="M324">
        <f>Tabla1[[#This Row],[entrada_litros]]*Tabla1[[#This Row],[entrada_grasa_g_l]]/100</f>
        <v>1949.4846</v>
      </c>
      <c r="N324">
        <f>Tabla1[[#This Row],[entrada_prot_g_l]]*Tabla1[[#This Row],[entrada_litros]]/100</f>
        <v>1630.0389000000002</v>
      </c>
      <c r="O324">
        <f>Tabla1[[#This Row],[cuba_fab_litros]]*Tabla1[[#This Row],[cuba_fab_grasa_g_l]]</f>
        <v>0</v>
      </c>
      <c r="P324">
        <f>Tabla1[[#This Row],[cuba_fab_litros]]*Tabla1[[#This Row],[cuba_fab_prot_g_l]]/100</f>
        <v>0</v>
      </c>
      <c r="Q324">
        <f>Tabla1[[#This Row],[queso_kg]]*Tabla1[[#This Row],[queso_est_pct]]/100</f>
        <v>0</v>
      </c>
      <c r="R324">
        <f>Tabla1[[#This Row],[queso_kg]]*Tabla1[[#This Row],[queso_mg_pct]]/100</f>
        <v>0</v>
      </c>
      <c r="S324">
        <f>_xlfn.ISOWEEKNUM(Tabla1[[#This Row],[fecha]])</f>
        <v>46</v>
      </c>
      <c r="T324">
        <v>47</v>
      </c>
    </row>
    <row r="325" spans="1:20" x14ac:dyDescent="0.25">
      <c r="A325" s="1">
        <v>45614</v>
      </c>
      <c r="B325">
        <v>5473</v>
      </c>
      <c r="C325">
        <v>5314</v>
      </c>
      <c r="D325">
        <v>41.88</v>
      </c>
      <c r="E325">
        <v>34.64</v>
      </c>
      <c r="F325">
        <v>5020</v>
      </c>
      <c r="G325">
        <v>40.200000000000003</v>
      </c>
      <c r="H325">
        <v>33.74</v>
      </c>
      <c r="I325">
        <v>4871</v>
      </c>
      <c r="J325">
        <v>621.53</v>
      </c>
      <c r="K325">
        <v>52.75</v>
      </c>
      <c r="L325">
        <v>27.32</v>
      </c>
      <c r="M325">
        <f>Tabla1[[#This Row],[entrada_litros]]*Tabla1[[#This Row],[entrada_grasa_g_l]]/100</f>
        <v>2225.5032000000001</v>
      </c>
      <c r="N325">
        <f>Tabla1[[#This Row],[entrada_prot_g_l]]*Tabla1[[#This Row],[entrada_litros]]/100</f>
        <v>1840.7695999999999</v>
      </c>
      <c r="O325">
        <f>Tabla1[[#This Row],[cuba_fab_litros]]*Tabla1[[#This Row],[cuba_fab_grasa_g_l]]</f>
        <v>201804</v>
      </c>
      <c r="P325">
        <f>Tabla1[[#This Row],[cuba_fab_litros]]*Tabla1[[#This Row],[cuba_fab_prot_g_l]]/100</f>
        <v>1693.7480000000003</v>
      </c>
      <c r="Q325">
        <f>Tabla1[[#This Row],[queso_kg]]*Tabla1[[#This Row],[queso_est_pct]]/100</f>
        <v>327.85707499999995</v>
      </c>
      <c r="R325">
        <f>Tabla1[[#This Row],[queso_kg]]*Tabla1[[#This Row],[queso_mg_pct]]/100</f>
        <v>169.801996</v>
      </c>
      <c r="S325">
        <f>_xlfn.ISOWEEKNUM(Tabla1[[#This Row],[fecha]])</f>
        <v>47</v>
      </c>
      <c r="T325">
        <v>47</v>
      </c>
    </row>
    <row r="326" spans="1:20" x14ac:dyDescent="0.25">
      <c r="A326" s="1">
        <v>45615</v>
      </c>
      <c r="B326">
        <v>4887</v>
      </c>
      <c r="C326">
        <v>4745</v>
      </c>
      <c r="D326">
        <v>39.729999999999997</v>
      </c>
      <c r="E326">
        <v>35.85</v>
      </c>
      <c r="F326">
        <v>5028</v>
      </c>
      <c r="G326">
        <v>39.1</v>
      </c>
      <c r="H326">
        <v>33.89</v>
      </c>
      <c r="I326">
        <v>4616</v>
      </c>
      <c r="J326">
        <v>642.97</v>
      </c>
      <c r="K326">
        <v>51</v>
      </c>
      <c r="L326">
        <v>26.52</v>
      </c>
      <c r="M326">
        <f>Tabla1[[#This Row],[entrada_litros]]*Tabla1[[#This Row],[entrada_grasa_g_l]]/100</f>
        <v>1885.1884999999997</v>
      </c>
      <c r="N326">
        <f>Tabla1[[#This Row],[entrada_prot_g_l]]*Tabla1[[#This Row],[entrada_litros]]/100</f>
        <v>1701.0825</v>
      </c>
      <c r="O326">
        <f>Tabla1[[#This Row],[cuba_fab_litros]]*Tabla1[[#This Row],[cuba_fab_grasa_g_l]]</f>
        <v>196594.80000000002</v>
      </c>
      <c r="P326">
        <f>Tabla1[[#This Row],[cuba_fab_litros]]*Tabla1[[#This Row],[cuba_fab_prot_g_l]]/100</f>
        <v>1703.9892000000002</v>
      </c>
      <c r="Q326">
        <f>Tabla1[[#This Row],[queso_kg]]*Tabla1[[#This Row],[queso_est_pct]]/100</f>
        <v>327.91470000000004</v>
      </c>
      <c r="R326">
        <f>Tabla1[[#This Row],[queso_kg]]*Tabla1[[#This Row],[queso_mg_pct]]/100</f>
        <v>170.51564399999998</v>
      </c>
      <c r="S326">
        <f>_xlfn.ISOWEEKNUM(Tabla1[[#This Row],[fecha]])</f>
        <v>47</v>
      </c>
      <c r="T326">
        <v>47</v>
      </c>
    </row>
    <row r="327" spans="1:20" x14ac:dyDescent="0.25">
      <c r="A327" s="1">
        <v>45616</v>
      </c>
      <c r="B327">
        <v>4836</v>
      </c>
      <c r="C327">
        <v>4695</v>
      </c>
      <c r="D327">
        <v>40.61</v>
      </c>
      <c r="E327">
        <v>35.200000000000003</v>
      </c>
      <c r="F327">
        <v>5032</v>
      </c>
      <c r="G327">
        <v>39.03</v>
      </c>
      <c r="H327">
        <v>34.130000000000003</v>
      </c>
      <c r="I327">
        <v>4311</v>
      </c>
      <c r="J327">
        <v>653.83000000000004</v>
      </c>
      <c r="K327">
        <v>49.84</v>
      </c>
      <c r="L327">
        <v>26.63</v>
      </c>
      <c r="M327">
        <f>Tabla1[[#This Row],[entrada_litros]]*Tabla1[[#This Row],[entrada_grasa_g_l]]/100</f>
        <v>1906.6395000000002</v>
      </c>
      <c r="N327">
        <f>Tabla1[[#This Row],[entrada_prot_g_l]]*Tabla1[[#This Row],[entrada_litros]]/100</f>
        <v>1652.64</v>
      </c>
      <c r="O327">
        <f>Tabla1[[#This Row],[cuba_fab_litros]]*Tabla1[[#This Row],[cuba_fab_grasa_g_l]]</f>
        <v>196398.96</v>
      </c>
      <c r="P327">
        <f>Tabla1[[#This Row],[cuba_fab_litros]]*Tabla1[[#This Row],[cuba_fab_prot_g_l]]/100</f>
        <v>1717.4216000000001</v>
      </c>
      <c r="Q327">
        <f>Tabla1[[#This Row],[queso_kg]]*Tabla1[[#This Row],[queso_est_pct]]/100</f>
        <v>325.86887200000007</v>
      </c>
      <c r="R327">
        <f>Tabla1[[#This Row],[queso_kg]]*Tabla1[[#This Row],[queso_mg_pct]]/100</f>
        <v>174.11492900000002</v>
      </c>
      <c r="S327">
        <f>_xlfn.ISOWEEKNUM(Tabla1[[#This Row],[fecha]])</f>
        <v>47</v>
      </c>
      <c r="T327">
        <v>47</v>
      </c>
    </row>
    <row r="328" spans="1:20" x14ac:dyDescent="0.25">
      <c r="A328" s="1">
        <v>45617</v>
      </c>
      <c r="B328">
        <v>4728</v>
      </c>
      <c r="C328">
        <v>4590</v>
      </c>
      <c r="D328">
        <v>41.85</v>
      </c>
      <c r="E328">
        <v>34.909999999999997</v>
      </c>
      <c r="F328">
        <v>5023</v>
      </c>
      <c r="G328">
        <v>39.19</v>
      </c>
      <c r="H328">
        <v>33.74</v>
      </c>
      <c r="I328">
        <v>3901</v>
      </c>
      <c r="J328">
        <v>649.9</v>
      </c>
      <c r="K328">
        <v>50.5</v>
      </c>
      <c r="L328">
        <v>26.34</v>
      </c>
      <c r="M328">
        <f>Tabla1[[#This Row],[entrada_litros]]*Tabla1[[#This Row],[entrada_grasa_g_l]]/100</f>
        <v>1920.915</v>
      </c>
      <c r="N328">
        <f>Tabla1[[#This Row],[entrada_prot_g_l]]*Tabla1[[#This Row],[entrada_litros]]/100</f>
        <v>1602.3689999999999</v>
      </c>
      <c r="O328">
        <f>Tabla1[[#This Row],[cuba_fab_litros]]*Tabla1[[#This Row],[cuba_fab_grasa_g_l]]</f>
        <v>196851.37</v>
      </c>
      <c r="P328">
        <f>Tabla1[[#This Row],[cuba_fab_litros]]*Tabla1[[#This Row],[cuba_fab_prot_g_l]]/100</f>
        <v>1694.7602000000002</v>
      </c>
      <c r="Q328">
        <f>Tabla1[[#This Row],[queso_kg]]*Tabla1[[#This Row],[queso_est_pct]]/100</f>
        <v>328.19949999999994</v>
      </c>
      <c r="R328">
        <f>Tabla1[[#This Row],[queso_kg]]*Tabla1[[#This Row],[queso_mg_pct]]/100</f>
        <v>171.18365999999997</v>
      </c>
      <c r="S328">
        <f>_xlfn.ISOWEEKNUM(Tabla1[[#This Row],[fecha]])</f>
        <v>47</v>
      </c>
      <c r="T328">
        <v>47</v>
      </c>
    </row>
    <row r="329" spans="1:20" x14ac:dyDescent="0.25">
      <c r="A329" s="1">
        <v>45618</v>
      </c>
      <c r="F329">
        <v>3926</v>
      </c>
      <c r="G329">
        <v>39.51</v>
      </c>
      <c r="H329">
        <v>33.61</v>
      </c>
      <c r="J329">
        <v>497.81</v>
      </c>
      <c r="K329">
        <v>51.09</v>
      </c>
      <c r="L329">
        <v>25.83</v>
      </c>
      <c r="M329">
        <f>Tabla1[[#This Row],[entrada_litros]]*Tabla1[[#This Row],[entrada_grasa_g_l]]/100</f>
        <v>0</v>
      </c>
      <c r="N329">
        <f>Tabla1[[#This Row],[entrada_prot_g_l]]*Tabla1[[#This Row],[entrada_litros]]/100</f>
        <v>0</v>
      </c>
      <c r="O329">
        <f>Tabla1[[#This Row],[cuba_fab_litros]]*Tabla1[[#This Row],[cuba_fab_grasa_g_l]]</f>
        <v>155116.25999999998</v>
      </c>
      <c r="P329">
        <f>Tabla1[[#This Row],[cuba_fab_litros]]*Tabla1[[#This Row],[cuba_fab_prot_g_l]]/100</f>
        <v>1319.5285999999999</v>
      </c>
      <c r="Q329">
        <f>Tabla1[[#This Row],[queso_kg]]*Tabla1[[#This Row],[queso_est_pct]]/100</f>
        <v>254.331129</v>
      </c>
      <c r="R329">
        <f>Tabla1[[#This Row],[queso_kg]]*Tabla1[[#This Row],[queso_mg_pct]]/100</f>
        <v>128.58432299999998</v>
      </c>
      <c r="S329">
        <f>_xlfn.ISOWEEKNUM(Tabla1[[#This Row],[fecha]])</f>
        <v>47</v>
      </c>
      <c r="T329">
        <v>47</v>
      </c>
    </row>
    <row r="330" spans="1:20" x14ac:dyDescent="0.25">
      <c r="A330" s="1">
        <v>45619</v>
      </c>
      <c r="M330">
        <f>Tabla1[[#This Row],[entrada_litros]]*Tabla1[[#This Row],[entrada_grasa_g_l]]/100</f>
        <v>0</v>
      </c>
      <c r="N330">
        <f>Tabla1[[#This Row],[entrada_prot_g_l]]*Tabla1[[#This Row],[entrada_litros]]/100</f>
        <v>0</v>
      </c>
      <c r="O330">
        <f>Tabla1[[#This Row],[cuba_fab_litros]]*Tabla1[[#This Row],[cuba_fab_grasa_g_l]]</f>
        <v>0</v>
      </c>
      <c r="P330">
        <f>Tabla1[[#This Row],[cuba_fab_litros]]*Tabla1[[#This Row],[cuba_fab_prot_g_l]]/100</f>
        <v>0</v>
      </c>
      <c r="Q330">
        <f>Tabla1[[#This Row],[queso_kg]]*Tabla1[[#This Row],[queso_est_pct]]/100</f>
        <v>0</v>
      </c>
      <c r="R330">
        <f>Tabla1[[#This Row],[queso_kg]]*Tabla1[[#This Row],[queso_mg_pct]]/100</f>
        <v>0</v>
      </c>
      <c r="S330">
        <f>_xlfn.ISOWEEKNUM(Tabla1[[#This Row],[fecha]])</f>
        <v>47</v>
      </c>
      <c r="T330">
        <v>47</v>
      </c>
    </row>
    <row r="331" spans="1:20" x14ac:dyDescent="0.25">
      <c r="A331" s="1">
        <v>45620</v>
      </c>
      <c r="B331">
        <v>5194</v>
      </c>
      <c r="C331">
        <v>5043</v>
      </c>
      <c r="D331">
        <v>40.22</v>
      </c>
      <c r="E331">
        <v>36.14</v>
      </c>
      <c r="I331">
        <v>5043</v>
      </c>
      <c r="M331">
        <f>Tabla1[[#This Row],[entrada_litros]]*Tabla1[[#This Row],[entrada_grasa_g_l]]/100</f>
        <v>2028.2945999999999</v>
      </c>
      <c r="N331">
        <f>Tabla1[[#This Row],[entrada_prot_g_l]]*Tabla1[[#This Row],[entrada_litros]]/100</f>
        <v>1822.5401999999999</v>
      </c>
      <c r="O331">
        <f>Tabla1[[#This Row],[cuba_fab_litros]]*Tabla1[[#This Row],[cuba_fab_grasa_g_l]]</f>
        <v>0</v>
      </c>
      <c r="P331">
        <f>Tabla1[[#This Row],[cuba_fab_litros]]*Tabla1[[#This Row],[cuba_fab_prot_g_l]]/100</f>
        <v>0</v>
      </c>
      <c r="Q331">
        <f>Tabla1[[#This Row],[queso_kg]]*Tabla1[[#This Row],[queso_est_pct]]/100</f>
        <v>0</v>
      </c>
      <c r="R331">
        <f>Tabla1[[#This Row],[queso_kg]]*Tabla1[[#This Row],[queso_mg_pct]]/100</f>
        <v>0</v>
      </c>
      <c r="S331">
        <f>_xlfn.ISOWEEKNUM(Tabla1[[#This Row],[fecha]])</f>
        <v>47</v>
      </c>
      <c r="T331">
        <v>48</v>
      </c>
    </row>
    <row r="332" spans="1:20" x14ac:dyDescent="0.25">
      <c r="A332" s="1">
        <v>45621</v>
      </c>
      <c r="B332">
        <v>4279</v>
      </c>
      <c r="C332">
        <v>4154</v>
      </c>
      <c r="D332">
        <v>41.48</v>
      </c>
      <c r="E332">
        <v>34.72</v>
      </c>
      <c r="F332">
        <v>5028</v>
      </c>
      <c r="G332">
        <v>39.159999999999997</v>
      </c>
      <c r="H332">
        <v>33.909999999999997</v>
      </c>
      <c r="I332">
        <v>4197</v>
      </c>
      <c r="J332">
        <v>651.95000000000005</v>
      </c>
      <c r="K332">
        <v>50.54</v>
      </c>
      <c r="L332">
        <v>26.23</v>
      </c>
      <c r="M332">
        <f>Tabla1[[#This Row],[entrada_litros]]*Tabla1[[#This Row],[entrada_grasa_g_l]]/100</f>
        <v>1723.0791999999999</v>
      </c>
      <c r="N332">
        <f>Tabla1[[#This Row],[entrada_prot_g_l]]*Tabla1[[#This Row],[entrada_litros]]/100</f>
        <v>1442.2688000000001</v>
      </c>
      <c r="O332">
        <f>Tabla1[[#This Row],[cuba_fab_litros]]*Tabla1[[#This Row],[cuba_fab_grasa_g_l]]</f>
        <v>196896.47999999998</v>
      </c>
      <c r="P332">
        <f>Tabla1[[#This Row],[cuba_fab_litros]]*Tabla1[[#This Row],[cuba_fab_prot_g_l]]/100</f>
        <v>1704.9947999999997</v>
      </c>
      <c r="Q332">
        <f>Tabla1[[#This Row],[queso_kg]]*Tabla1[[#This Row],[queso_est_pct]]/100</f>
        <v>329.49552999999997</v>
      </c>
      <c r="R332">
        <f>Tabla1[[#This Row],[queso_kg]]*Tabla1[[#This Row],[queso_mg_pct]]/100</f>
        <v>171.00648500000003</v>
      </c>
      <c r="S332">
        <f>_xlfn.ISOWEEKNUM(Tabla1[[#This Row],[fecha]])</f>
        <v>48</v>
      </c>
      <c r="T332">
        <v>48</v>
      </c>
    </row>
    <row r="333" spans="1:20" x14ac:dyDescent="0.25">
      <c r="A333" s="1">
        <v>45622</v>
      </c>
      <c r="B333">
        <v>4981</v>
      </c>
      <c r="C333">
        <v>4836</v>
      </c>
      <c r="D333">
        <v>41.7</v>
      </c>
      <c r="E333">
        <v>35.57</v>
      </c>
      <c r="F333">
        <v>5024</v>
      </c>
      <c r="G333">
        <v>39.26</v>
      </c>
      <c r="H333">
        <v>34.17</v>
      </c>
      <c r="I333">
        <v>4033</v>
      </c>
      <c r="J333">
        <v>629.91</v>
      </c>
      <c r="K333">
        <v>51.98</v>
      </c>
      <c r="L333">
        <v>27.56</v>
      </c>
      <c r="M333">
        <f>Tabla1[[#This Row],[entrada_litros]]*Tabla1[[#This Row],[entrada_grasa_g_l]]/100</f>
        <v>2016.6120000000001</v>
      </c>
      <c r="N333">
        <f>Tabla1[[#This Row],[entrada_prot_g_l]]*Tabla1[[#This Row],[entrada_litros]]/100</f>
        <v>1720.1651999999999</v>
      </c>
      <c r="O333">
        <f>Tabla1[[#This Row],[cuba_fab_litros]]*Tabla1[[#This Row],[cuba_fab_grasa_g_l]]</f>
        <v>197242.23999999999</v>
      </c>
      <c r="P333">
        <f>Tabla1[[#This Row],[cuba_fab_litros]]*Tabla1[[#This Row],[cuba_fab_prot_g_l]]/100</f>
        <v>1716.7008000000001</v>
      </c>
      <c r="Q333">
        <f>Tabla1[[#This Row],[queso_kg]]*Tabla1[[#This Row],[queso_est_pct]]/100</f>
        <v>327.42721799999998</v>
      </c>
      <c r="R333">
        <f>Tabla1[[#This Row],[queso_kg]]*Tabla1[[#This Row],[queso_mg_pct]]/100</f>
        <v>173.603196</v>
      </c>
      <c r="S333">
        <f>_xlfn.ISOWEEKNUM(Tabla1[[#This Row],[fecha]])</f>
        <v>48</v>
      </c>
      <c r="T333">
        <v>48</v>
      </c>
    </row>
    <row r="334" spans="1:20" x14ac:dyDescent="0.25">
      <c r="A334" s="1">
        <v>45623</v>
      </c>
      <c r="B334">
        <v>5102</v>
      </c>
      <c r="C334">
        <v>4953</v>
      </c>
      <c r="D334">
        <v>43.65</v>
      </c>
      <c r="E334">
        <v>36.39</v>
      </c>
      <c r="F334">
        <v>5033</v>
      </c>
      <c r="G334">
        <v>40.700000000000003</v>
      </c>
      <c r="H334">
        <v>34.15</v>
      </c>
      <c r="I334">
        <v>3986</v>
      </c>
      <c r="J334">
        <v>636.16</v>
      </c>
      <c r="K334">
        <v>51.35</v>
      </c>
      <c r="L334">
        <v>26.42</v>
      </c>
      <c r="M334">
        <f>Tabla1[[#This Row],[entrada_litros]]*Tabla1[[#This Row],[entrada_grasa_g_l]]/100</f>
        <v>2161.9845</v>
      </c>
      <c r="N334">
        <f>Tabla1[[#This Row],[entrada_prot_g_l]]*Tabla1[[#This Row],[entrada_litros]]/100</f>
        <v>1802.3967000000002</v>
      </c>
      <c r="O334">
        <f>Tabla1[[#This Row],[cuba_fab_litros]]*Tabla1[[#This Row],[cuba_fab_grasa_g_l]]</f>
        <v>204843.1</v>
      </c>
      <c r="P334">
        <f>Tabla1[[#This Row],[cuba_fab_litros]]*Tabla1[[#This Row],[cuba_fab_prot_g_l]]/100</f>
        <v>1718.7694999999999</v>
      </c>
      <c r="Q334">
        <f>Tabla1[[#This Row],[queso_kg]]*Tabla1[[#This Row],[queso_est_pct]]/100</f>
        <v>326.66816</v>
      </c>
      <c r="R334">
        <f>Tabla1[[#This Row],[queso_kg]]*Tabla1[[#This Row],[queso_mg_pct]]/100</f>
        <v>168.07347200000001</v>
      </c>
      <c r="S334">
        <f>_xlfn.ISOWEEKNUM(Tabla1[[#This Row],[fecha]])</f>
        <v>48</v>
      </c>
      <c r="T334">
        <v>48</v>
      </c>
    </row>
    <row r="335" spans="1:20" x14ac:dyDescent="0.25">
      <c r="A335" s="1">
        <v>45624</v>
      </c>
      <c r="B335">
        <v>5081</v>
      </c>
      <c r="C335">
        <v>4933</v>
      </c>
      <c r="D335">
        <v>40.97</v>
      </c>
      <c r="E335">
        <v>34.49</v>
      </c>
      <c r="F335">
        <v>5023</v>
      </c>
      <c r="G335">
        <v>40.1</v>
      </c>
      <c r="H335">
        <v>33.369999999999997</v>
      </c>
      <c r="I335">
        <v>3919</v>
      </c>
      <c r="J335">
        <v>625.5</v>
      </c>
      <c r="K335">
        <v>52.08</v>
      </c>
      <c r="L335">
        <v>25.99</v>
      </c>
      <c r="M335">
        <f>Tabla1[[#This Row],[entrada_litros]]*Tabla1[[#This Row],[entrada_grasa_g_l]]/100</f>
        <v>2021.0500999999997</v>
      </c>
      <c r="N335">
        <f>Tabla1[[#This Row],[entrada_prot_g_l]]*Tabla1[[#This Row],[entrada_litros]]/100</f>
        <v>1701.3917000000001</v>
      </c>
      <c r="O335">
        <f>Tabla1[[#This Row],[cuba_fab_litros]]*Tabla1[[#This Row],[cuba_fab_grasa_g_l]]</f>
        <v>201422.30000000002</v>
      </c>
      <c r="P335">
        <f>Tabla1[[#This Row],[cuba_fab_litros]]*Tabla1[[#This Row],[cuba_fab_prot_g_l]]/100</f>
        <v>1676.1750999999997</v>
      </c>
      <c r="Q335">
        <f>Tabla1[[#This Row],[queso_kg]]*Tabla1[[#This Row],[queso_est_pct]]/100</f>
        <v>325.76039999999995</v>
      </c>
      <c r="R335">
        <f>Tabla1[[#This Row],[queso_kg]]*Tabla1[[#This Row],[queso_mg_pct]]/100</f>
        <v>162.56744999999998</v>
      </c>
      <c r="S335">
        <f>_xlfn.ISOWEEKNUM(Tabla1[[#This Row],[fecha]])</f>
        <v>48</v>
      </c>
      <c r="T335">
        <v>48</v>
      </c>
    </row>
    <row r="336" spans="1:20" x14ac:dyDescent="0.25">
      <c r="A336" s="1">
        <v>45625</v>
      </c>
      <c r="F336">
        <v>3933</v>
      </c>
      <c r="G336">
        <v>40.159999999999997</v>
      </c>
      <c r="H336">
        <v>33.630000000000003</v>
      </c>
      <c r="J336">
        <v>484.77</v>
      </c>
      <c r="K336">
        <v>52.7</v>
      </c>
      <c r="L336">
        <v>27.38</v>
      </c>
      <c r="M336">
        <f>Tabla1[[#This Row],[entrada_litros]]*Tabla1[[#This Row],[entrada_grasa_g_l]]/100</f>
        <v>0</v>
      </c>
      <c r="N336">
        <f>Tabla1[[#This Row],[entrada_prot_g_l]]*Tabla1[[#This Row],[entrada_litros]]/100</f>
        <v>0</v>
      </c>
      <c r="O336">
        <f>Tabla1[[#This Row],[cuba_fab_litros]]*Tabla1[[#This Row],[cuba_fab_grasa_g_l]]</f>
        <v>157949.28</v>
      </c>
      <c r="P336">
        <f>Tabla1[[#This Row],[cuba_fab_litros]]*Tabla1[[#This Row],[cuba_fab_prot_g_l]]/100</f>
        <v>1322.6679000000001</v>
      </c>
      <c r="Q336">
        <f>Tabla1[[#This Row],[queso_kg]]*Tabla1[[#This Row],[queso_est_pct]]/100</f>
        <v>255.47379000000001</v>
      </c>
      <c r="R336">
        <f>Tabla1[[#This Row],[queso_kg]]*Tabla1[[#This Row],[queso_mg_pct]]/100</f>
        <v>132.73002600000001</v>
      </c>
      <c r="S336">
        <f>_xlfn.ISOWEEKNUM(Tabla1[[#This Row],[fecha]])</f>
        <v>48</v>
      </c>
      <c r="T336">
        <v>48</v>
      </c>
    </row>
    <row r="337" spans="1:20" x14ac:dyDescent="0.25">
      <c r="A337" s="1">
        <v>45626</v>
      </c>
      <c r="M337">
        <f>Tabla1[[#This Row],[entrada_litros]]*Tabla1[[#This Row],[entrada_grasa_g_l]]/100</f>
        <v>0</v>
      </c>
      <c r="N337">
        <f>Tabla1[[#This Row],[entrada_prot_g_l]]*Tabla1[[#This Row],[entrada_litros]]/100</f>
        <v>0</v>
      </c>
      <c r="O337">
        <f>Tabla1[[#This Row],[cuba_fab_litros]]*Tabla1[[#This Row],[cuba_fab_grasa_g_l]]</f>
        <v>0</v>
      </c>
      <c r="P337">
        <f>Tabla1[[#This Row],[cuba_fab_litros]]*Tabla1[[#This Row],[cuba_fab_prot_g_l]]/100</f>
        <v>0</v>
      </c>
      <c r="Q337">
        <f>Tabla1[[#This Row],[queso_kg]]*Tabla1[[#This Row],[queso_est_pct]]/100</f>
        <v>0</v>
      </c>
      <c r="R337">
        <f>Tabla1[[#This Row],[queso_kg]]*Tabla1[[#This Row],[queso_mg_pct]]/100</f>
        <v>0</v>
      </c>
      <c r="S337">
        <f>_xlfn.ISOWEEKNUM(Tabla1[[#This Row],[fecha]])</f>
        <v>48</v>
      </c>
      <c r="T337">
        <v>48</v>
      </c>
    </row>
    <row r="338" spans="1:20" x14ac:dyDescent="0.25">
      <c r="A338" s="1">
        <v>45627</v>
      </c>
      <c r="B338">
        <v>5452</v>
      </c>
      <c r="C338">
        <v>5293</v>
      </c>
      <c r="D338">
        <v>44.41</v>
      </c>
      <c r="E338">
        <v>36.01</v>
      </c>
      <c r="I338">
        <v>5293</v>
      </c>
      <c r="M338">
        <f>Tabla1[[#This Row],[entrada_litros]]*Tabla1[[#This Row],[entrada_grasa_g_l]]/100</f>
        <v>2350.6212999999998</v>
      </c>
      <c r="N338">
        <f>Tabla1[[#This Row],[entrada_prot_g_l]]*Tabla1[[#This Row],[entrada_litros]]/100</f>
        <v>1906.0092999999999</v>
      </c>
      <c r="O338">
        <f>Tabla1[[#This Row],[cuba_fab_litros]]*Tabla1[[#This Row],[cuba_fab_grasa_g_l]]</f>
        <v>0</v>
      </c>
      <c r="P338">
        <f>Tabla1[[#This Row],[cuba_fab_litros]]*Tabla1[[#This Row],[cuba_fab_prot_g_l]]/100</f>
        <v>0</v>
      </c>
      <c r="Q338">
        <f>Tabla1[[#This Row],[queso_kg]]*Tabla1[[#This Row],[queso_est_pct]]/100</f>
        <v>0</v>
      </c>
      <c r="R338">
        <f>Tabla1[[#This Row],[queso_kg]]*Tabla1[[#This Row],[queso_mg_pct]]/100</f>
        <v>0</v>
      </c>
      <c r="S338">
        <f>_xlfn.ISOWEEKNUM(Tabla1[[#This Row],[fecha]])</f>
        <v>48</v>
      </c>
      <c r="T338">
        <v>49</v>
      </c>
    </row>
    <row r="339" spans="1:20" x14ac:dyDescent="0.25">
      <c r="A339" s="1">
        <v>45628</v>
      </c>
      <c r="B339">
        <v>5364</v>
      </c>
      <c r="C339">
        <v>5208</v>
      </c>
      <c r="D339">
        <v>45.4</v>
      </c>
      <c r="E339">
        <v>34.57</v>
      </c>
      <c r="F339">
        <v>5027</v>
      </c>
      <c r="G339">
        <v>42.43</v>
      </c>
      <c r="H339">
        <v>33.99</v>
      </c>
      <c r="I339">
        <v>5501</v>
      </c>
      <c r="J339">
        <v>635.79</v>
      </c>
      <c r="K339">
        <v>51.55</v>
      </c>
      <c r="L339">
        <v>26.39</v>
      </c>
      <c r="M339">
        <f>Tabla1[[#This Row],[entrada_litros]]*Tabla1[[#This Row],[entrada_grasa_g_l]]/100</f>
        <v>2364.4319999999998</v>
      </c>
      <c r="N339">
        <f>Tabla1[[#This Row],[entrada_prot_g_l]]*Tabla1[[#This Row],[entrada_litros]]/100</f>
        <v>1800.4056</v>
      </c>
      <c r="O339">
        <f>Tabla1[[#This Row],[cuba_fab_litros]]*Tabla1[[#This Row],[cuba_fab_grasa_g_l]]</f>
        <v>213295.61</v>
      </c>
      <c r="P339">
        <f>Tabla1[[#This Row],[cuba_fab_litros]]*Tabla1[[#This Row],[cuba_fab_prot_g_l]]/100</f>
        <v>1708.6773000000001</v>
      </c>
      <c r="Q339">
        <f>Tabla1[[#This Row],[queso_kg]]*Tabla1[[#This Row],[queso_est_pct]]/100</f>
        <v>327.74974499999996</v>
      </c>
      <c r="R339">
        <f>Tabla1[[#This Row],[queso_kg]]*Tabla1[[#This Row],[queso_mg_pct]]/100</f>
        <v>167.78498100000002</v>
      </c>
      <c r="S339">
        <f>_xlfn.ISOWEEKNUM(Tabla1[[#This Row],[fecha]])</f>
        <v>49</v>
      </c>
      <c r="T339">
        <v>49</v>
      </c>
    </row>
    <row r="340" spans="1:20" x14ac:dyDescent="0.25">
      <c r="A340" s="1">
        <v>45629</v>
      </c>
      <c r="B340">
        <v>5132</v>
      </c>
      <c r="C340">
        <v>4983</v>
      </c>
      <c r="D340">
        <v>43.82</v>
      </c>
      <c r="E340">
        <v>36.58</v>
      </c>
      <c r="F340">
        <v>5038</v>
      </c>
      <c r="G340">
        <v>42.33</v>
      </c>
      <c r="H340">
        <v>34.159999999999997</v>
      </c>
      <c r="I340">
        <v>5484</v>
      </c>
      <c r="J340">
        <v>640</v>
      </c>
      <c r="K340">
        <v>51.28</v>
      </c>
      <c r="L340">
        <v>26.21</v>
      </c>
      <c r="M340">
        <f>Tabla1[[#This Row],[entrada_litros]]*Tabla1[[#This Row],[entrada_grasa_g_l]]/100</f>
        <v>2183.5506</v>
      </c>
      <c r="N340">
        <f>Tabla1[[#This Row],[entrada_prot_g_l]]*Tabla1[[#This Row],[entrada_litros]]/100</f>
        <v>1822.7813999999998</v>
      </c>
      <c r="O340">
        <f>Tabla1[[#This Row],[cuba_fab_litros]]*Tabla1[[#This Row],[cuba_fab_grasa_g_l]]</f>
        <v>213258.53999999998</v>
      </c>
      <c r="P340">
        <f>Tabla1[[#This Row],[cuba_fab_litros]]*Tabla1[[#This Row],[cuba_fab_prot_g_l]]/100</f>
        <v>1720.9807999999998</v>
      </c>
      <c r="Q340">
        <f>Tabla1[[#This Row],[queso_kg]]*Tabla1[[#This Row],[queso_est_pct]]/100</f>
        <v>328.19199999999995</v>
      </c>
      <c r="R340">
        <f>Tabla1[[#This Row],[queso_kg]]*Tabla1[[#This Row],[queso_mg_pct]]/100</f>
        <v>167.74400000000003</v>
      </c>
      <c r="S340">
        <f>_xlfn.ISOWEEKNUM(Tabla1[[#This Row],[fecha]])</f>
        <v>49</v>
      </c>
      <c r="T340">
        <v>49</v>
      </c>
    </row>
    <row r="341" spans="1:20" x14ac:dyDescent="0.25">
      <c r="A341" s="1">
        <v>45630</v>
      </c>
      <c r="B341">
        <v>5069</v>
      </c>
      <c r="C341">
        <v>4921</v>
      </c>
      <c r="D341">
        <v>44.4</v>
      </c>
      <c r="E341">
        <v>34.46</v>
      </c>
      <c r="F341">
        <v>5025</v>
      </c>
      <c r="G341">
        <v>42.39</v>
      </c>
      <c r="H341">
        <v>33.770000000000003</v>
      </c>
      <c r="I341">
        <v>5405</v>
      </c>
      <c r="J341">
        <v>628.59</v>
      </c>
      <c r="K341">
        <v>52.28</v>
      </c>
      <c r="L341">
        <v>27.77</v>
      </c>
      <c r="M341">
        <f>Tabla1[[#This Row],[entrada_litros]]*Tabla1[[#This Row],[entrada_grasa_g_l]]/100</f>
        <v>2184.924</v>
      </c>
      <c r="N341">
        <f>Tabla1[[#This Row],[entrada_prot_g_l]]*Tabla1[[#This Row],[entrada_litros]]/100</f>
        <v>1695.7766000000001</v>
      </c>
      <c r="O341">
        <f>Tabla1[[#This Row],[cuba_fab_litros]]*Tabla1[[#This Row],[cuba_fab_grasa_g_l]]</f>
        <v>213009.75</v>
      </c>
      <c r="P341">
        <f>Tabla1[[#This Row],[cuba_fab_litros]]*Tabla1[[#This Row],[cuba_fab_prot_g_l]]/100</f>
        <v>1696.9425000000003</v>
      </c>
      <c r="Q341">
        <f>Tabla1[[#This Row],[queso_kg]]*Tabla1[[#This Row],[queso_est_pct]]/100</f>
        <v>328.62685199999999</v>
      </c>
      <c r="R341">
        <f>Tabla1[[#This Row],[queso_kg]]*Tabla1[[#This Row],[queso_mg_pct]]/100</f>
        <v>174.55944299999999</v>
      </c>
      <c r="S341">
        <f>_xlfn.ISOWEEKNUM(Tabla1[[#This Row],[fecha]])</f>
        <v>49</v>
      </c>
      <c r="T341">
        <v>49</v>
      </c>
    </row>
    <row r="342" spans="1:20" x14ac:dyDescent="0.25">
      <c r="A342" s="1">
        <v>45631</v>
      </c>
      <c r="B342">
        <v>5064</v>
      </c>
      <c r="C342">
        <v>4917</v>
      </c>
      <c r="D342">
        <v>44.19</v>
      </c>
      <c r="E342">
        <v>36.29</v>
      </c>
      <c r="F342">
        <v>5029</v>
      </c>
      <c r="G342">
        <v>42.24</v>
      </c>
      <c r="H342">
        <v>34.01</v>
      </c>
      <c r="I342">
        <v>5322</v>
      </c>
      <c r="J342">
        <v>647.52</v>
      </c>
      <c r="K342">
        <v>50.81</v>
      </c>
      <c r="L342">
        <v>27.2</v>
      </c>
      <c r="M342">
        <f>Tabla1[[#This Row],[entrada_litros]]*Tabla1[[#This Row],[entrada_grasa_g_l]]/100</f>
        <v>2172.8222999999998</v>
      </c>
      <c r="N342">
        <f>Tabla1[[#This Row],[entrada_prot_g_l]]*Tabla1[[#This Row],[entrada_litros]]/100</f>
        <v>1784.3792999999998</v>
      </c>
      <c r="O342">
        <f>Tabla1[[#This Row],[cuba_fab_litros]]*Tabla1[[#This Row],[cuba_fab_grasa_g_l]]</f>
        <v>212424.96000000002</v>
      </c>
      <c r="P342">
        <f>Tabla1[[#This Row],[cuba_fab_litros]]*Tabla1[[#This Row],[cuba_fab_prot_g_l]]/100</f>
        <v>1710.3628999999999</v>
      </c>
      <c r="Q342">
        <f>Tabla1[[#This Row],[queso_kg]]*Tabla1[[#This Row],[queso_est_pct]]/100</f>
        <v>329.00491200000005</v>
      </c>
      <c r="R342">
        <f>Tabla1[[#This Row],[queso_kg]]*Tabla1[[#This Row],[queso_mg_pct]]/100</f>
        <v>176.12543999999997</v>
      </c>
      <c r="S342">
        <f>_xlfn.ISOWEEKNUM(Tabla1[[#This Row],[fecha]])</f>
        <v>49</v>
      </c>
      <c r="T342">
        <v>49</v>
      </c>
    </row>
    <row r="343" spans="1:20" x14ac:dyDescent="0.25">
      <c r="A343" s="1">
        <v>45632</v>
      </c>
      <c r="F343">
        <v>5348</v>
      </c>
      <c r="G343">
        <v>42.39</v>
      </c>
      <c r="H343">
        <v>34.14</v>
      </c>
      <c r="J343">
        <v>664.15</v>
      </c>
      <c r="K343">
        <v>52.32</v>
      </c>
      <c r="L343">
        <v>26.86</v>
      </c>
      <c r="M343">
        <f>Tabla1[[#This Row],[entrada_litros]]*Tabla1[[#This Row],[entrada_grasa_g_l]]/100</f>
        <v>0</v>
      </c>
      <c r="N343">
        <f>Tabla1[[#This Row],[entrada_prot_g_l]]*Tabla1[[#This Row],[entrada_litros]]/100</f>
        <v>0</v>
      </c>
      <c r="O343">
        <f>Tabla1[[#This Row],[cuba_fab_litros]]*Tabla1[[#This Row],[cuba_fab_grasa_g_l]]</f>
        <v>226701.72</v>
      </c>
      <c r="P343">
        <f>Tabla1[[#This Row],[cuba_fab_litros]]*Tabla1[[#This Row],[cuba_fab_prot_g_l]]/100</f>
        <v>1825.8072</v>
      </c>
      <c r="Q343">
        <f>Tabla1[[#This Row],[queso_kg]]*Tabla1[[#This Row],[queso_est_pct]]/100</f>
        <v>347.48328000000004</v>
      </c>
      <c r="R343">
        <f>Tabla1[[#This Row],[queso_kg]]*Tabla1[[#This Row],[queso_mg_pct]]/100</f>
        <v>178.39069000000001</v>
      </c>
      <c r="S343">
        <f>_xlfn.ISOWEEKNUM(Tabla1[[#This Row],[fecha]])</f>
        <v>49</v>
      </c>
      <c r="T343">
        <v>49</v>
      </c>
    </row>
    <row r="344" spans="1:20" x14ac:dyDescent="0.25">
      <c r="A344" s="1">
        <v>45633</v>
      </c>
      <c r="M344">
        <f>Tabla1[[#This Row],[entrada_litros]]*Tabla1[[#This Row],[entrada_grasa_g_l]]/100</f>
        <v>0</v>
      </c>
      <c r="N344">
        <f>Tabla1[[#This Row],[entrada_prot_g_l]]*Tabla1[[#This Row],[entrada_litros]]/100</f>
        <v>0</v>
      </c>
      <c r="O344">
        <f>Tabla1[[#This Row],[cuba_fab_litros]]*Tabla1[[#This Row],[cuba_fab_grasa_g_l]]</f>
        <v>0</v>
      </c>
      <c r="P344">
        <f>Tabla1[[#This Row],[cuba_fab_litros]]*Tabla1[[#This Row],[cuba_fab_prot_g_l]]/100</f>
        <v>0</v>
      </c>
      <c r="Q344">
        <f>Tabla1[[#This Row],[queso_kg]]*Tabla1[[#This Row],[queso_est_pct]]/100</f>
        <v>0</v>
      </c>
      <c r="R344">
        <f>Tabla1[[#This Row],[queso_kg]]*Tabla1[[#This Row],[queso_mg_pct]]/100</f>
        <v>0</v>
      </c>
      <c r="S344">
        <f>_xlfn.ISOWEEKNUM(Tabla1[[#This Row],[fecha]])</f>
        <v>49</v>
      </c>
      <c r="T344">
        <v>49</v>
      </c>
    </row>
    <row r="345" spans="1:20" x14ac:dyDescent="0.25">
      <c r="A345" s="1">
        <v>45634</v>
      </c>
      <c r="B345">
        <v>5236</v>
      </c>
      <c r="C345">
        <v>5083</v>
      </c>
      <c r="D345">
        <v>44.17</v>
      </c>
      <c r="E345">
        <v>35.869999999999997</v>
      </c>
      <c r="I345">
        <v>5083</v>
      </c>
      <c r="M345">
        <f>Tabla1[[#This Row],[entrada_litros]]*Tabla1[[#This Row],[entrada_grasa_g_l]]/100</f>
        <v>2245.1611000000003</v>
      </c>
      <c r="N345">
        <f>Tabla1[[#This Row],[entrada_prot_g_l]]*Tabla1[[#This Row],[entrada_litros]]/100</f>
        <v>1823.2720999999999</v>
      </c>
      <c r="O345">
        <f>Tabla1[[#This Row],[cuba_fab_litros]]*Tabla1[[#This Row],[cuba_fab_grasa_g_l]]</f>
        <v>0</v>
      </c>
      <c r="P345">
        <f>Tabla1[[#This Row],[cuba_fab_litros]]*Tabla1[[#This Row],[cuba_fab_prot_g_l]]/100</f>
        <v>0</v>
      </c>
      <c r="Q345">
        <f>Tabla1[[#This Row],[queso_kg]]*Tabla1[[#This Row],[queso_est_pct]]/100</f>
        <v>0</v>
      </c>
      <c r="R345">
        <f>Tabla1[[#This Row],[queso_kg]]*Tabla1[[#This Row],[queso_mg_pct]]/100</f>
        <v>0</v>
      </c>
      <c r="S345">
        <f>_xlfn.ISOWEEKNUM(Tabla1[[#This Row],[fecha]])</f>
        <v>49</v>
      </c>
      <c r="T345">
        <v>50</v>
      </c>
    </row>
    <row r="346" spans="1:20" x14ac:dyDescent="0.25">
      <c r="A346" s="1">
        <v>45635</v>
      </c>
      <c r="B346">
        <v>5673</v>
      </c>
      <c r="C346">
        <v>5508</v>
      </c>
      <c r="D346">
        <v>42.35</v>
      </c>
      <c r="E346">
        <v>36.880000000000003</v>
      </c>
      <c r="F346">
        <v>5022</v>
      </c>
      <c r="G346">
        <v>41.5</v>
      </c>
      <c r="H346">
        <v>34.65</v>
      </c>
      <c r="I346">
        <v>5591</v>
      </c>
      <c r="J346">
        <v>618.55999999999995</v>
      </c>
      <c r="K346">
        <v>52.72</v>
      </c>
      <c r="L346">
        <v>27.38</v>
      </c>
      <c r="M346">
        <f>Tabla1[[#This Row],[entrada_litros]]*Tabla1[[#This Row],[entrada_grasa_g_l]]/100</f>
        <v>2332.6380000000004</v>
      </c>
      <c r="N346">
        <f>Tabla1[[#This Row],[entrada_prot_g_l]]*Tabla1[[#This Row],[entrada_litros]]/100</f>
        <v>2031.3504</v>
      </c>
      <c r="O346">
        <f>Tabla1[[#This Row],[cuba_fab_litros]]*Tabla1[[#This Row],[cuba_fab_grasa_g_l]]</f>
        <v>208413</v>
      </c>
      <c r="P346">
        <f>Tabla1[[#This Row],[cuba_fab_litros]]*Tabla1[[#This Row],[cuba_fab_prot_g_l]]/100</f>
        <v>1740.1229999999998</v>
      </c>
      <c r="Q346">
        <f>Tabla1[[#This Row],[queso_kg]]*Tabla1[[#This Row],[queso_est_pct]]/100</f>
        <v>326.10483199999993</v>
      </c>
      <c r="R346">
        <f>Tabla1[[#This Row],[queso_kg]]*Tabla1[[#This Row],[queso_mg_pct]]/100</f>
        <v>169.36172799999997</v>
      </c>
      <c r="S346">
        <f>_xlfn.ISOWEEKNUM(Tabla1[[#This Row],[fecha]])</f>
        <v>50</v>
      </c>
      <c r="T346">
        <v>50</v>
      </c>
    </row>
    <row r="347" spans="1:20" x14ac:dyDescent="0.25">
      <c r="A347" s="1">
        <v>45636</v>
      </c>
      <c r="B347">
        <v>4641</v>
      </c>
      <c r="C347">
        <v>4506</v>
      </c>
      <c r="D347">
        <v>41.46</v>
      </c>
      <c r="E347">
        <v>36.1</v>
      </c>
      <c r="F347">
        <v>5026</v>
      </c>
      <c r="G347">
        <v>40.619999999999997</v>
      </c>
      <c r="H347">
        <v>34.770000000000003</v>
      </c>
      <c r="I347">
        <v>5097</v>
      </c>
      <c r="J347">
        <v>645.77</v>
      </c>
      <c r="K347">
        <v>50.29</v>
      </c>
      <c r="L347">
        <v>25.8</v>
      </c>
      <c r="M347">
        <f>Tabla1[[#This Row],[entrada_litros]]*Tabla1[[#This Row],[entrada_grasa_g_l]]/100</f>
        <v>1868.1876000000002</v>
      </c>
      <c r="N347">
        <f>Tabla1[[#This Row],[entrada_prot_g_l]]*Tabla1[[#This Row],[entrada_litros]]/100</f>
        <v>1626.6660000000002</v>
      </c>
      <c r="O347">
        <f>Tabla1[[#This Row],[cuba_fab_litros]]*Tabla1[[#This Row],[cuba_fab_grasa_g_l]]</f>
        <v>204156.12</v>
      </c>
      <c r="P347">
        <f>Tabla1[[#This Row],[cuba_fab_litros]]*Tabla1[[#This Row],[cuba_fab_prot_g_l]]/100</f>
        <v>1747.5402000000001</v>
      </c>
      <c r="Q347">
        <f>Tabla1[[#This Row],[queso_kg]]*Tabla1[[#This Row],[queso_est_pct]]/100</f>
        <v>324.75773299999997</v>
      </c>
      <c r="R347">
        <f>Tabla1[[#This Row],[queso_kg]]*Tabla1[[#This Row],[queso_mg_pct]]/100</f>
        <v>166.60866000000001</v>
      </c>
      <c r="S347">
        <f>_xlfn.ISOWEEKNUM(Tabla1[[#This Row],[fecha]])</f>
        <v>50</v>
      </c>
      <c r="T347">
        <v>50</v>
      </c>
    </row>
    <row r="348" spans="1:20" x14ac:dyDescent="0.25">
      <c r="A348" s="1">
        <v>45637</v>
      </c>
      <c r="B348">
        <v>4875</v>
      </c>
      <c r="C348">
        <v>4733</v>
      </c>
      <c r="D348">
        <v>44.66</v>
      </c>
      <c r="E348">
        <v>33.92</v>
      </c>
      <c r="F348">
        <v>5028</v>
      </c>
      <c r="G348">
        <v>41.6</v>
      </c>
      <c r="H348">
        <v>33.54</v>
      </c>
      <c r="I348">
        <v>4830</v>
      </c>
      <c r="J348">
        <v>642.59</v>
      </c>
      <c r="K348">
        <v>50.94</v>
      </c>
      <c r="L348">
        <v>26.65</v>
      </c>
      <c r="M348">
        <f>Tabla1[[#This Row],[entrada_litros]]*Tabla1[[#This Row],[entrada_grasa_g_l]]/100</f>
        <v>2113.7577999999999</v>
      </c>
      <c r="N348">
        <f>Tabla1[[#This Row],[entrada_prot_g_l]]*Tabla1[[#This Row],[entrada_litros]]/100</f>
        <v>1605.4336000000001</v>
      </c>
      <c r="O348">
        <f>Tabla1[[#This Row],[cuba_fab_litros]]*Tabla1[[#This Row],[cuba_fab_grasa_g_l]]</f>
        <v>209164.80000000002</v>
      </c>
      <c r="P348">
        <f>Tabla1[[#This Row],[cuba_fab_litros]]*Tabla1[[#This Row],[cuba_fab_prot_g_l]]/100</f>
        <v>1686.3912</v>
      </c>
      <c r="Q348">
        <f>Tabla1[[#This Row],[queso_kg]]*Tabla1[[#This Row],[queso_est_pct]]/100</f>
        <v>327.33534600000002</v>
      </c>
      <c r="R348">
        <f>Tabla1[[#This Row],[queso_kg]]*Tabla1[[#This Row],[queso_mg_pct]]/100</f>
        <v>171.250235</v>
      </c>
      <c r="S348">
        <f>_xlfn.ISOWEEKNUM(Tabla1[[#This Row],[fecha]])</f>
        <v>50</v>
      </c>
      <c r="T348">
        <v>50</v>
      </c>
    </row>
    <row r="349" spans="1:20" x14ac:dyDescent="0.25">
      <c r="A349" s="1">
        <v>45638</v>
      </c>
      <c r="B349">
        <v>5273</v>
      </c>
      <c r="C349">
        <v>5119</v>
      </c>
      <c r="D349">
        <v>40.82</v>
      </c>
      <c r="E349">
        <v>35.68</v>
      </c>
      <c r="F349">
        <v>5027</v>
      </c>
      <c r="G349">
        <v>40.53</v>
      </c>
      <c r="H349">
        <v>33.69</v>
      </c>
      <c r="I349">
        <v>4949</v>
      </c>
      <c r="J349">
        <v>670.5</v>
      </c>
      <c r="K349">
        <v>48.38</v>
      </c>
      <c r="L349">
        <v>25.91</v>
      </c>
      <c r="M349">
        <f>Tabla1[[#This Row],[entrada_litros]]*Tabla1[[#This Row],[entrada_grasa_g_l]]/100</f>
        <v>2089.5758000000001</v>
      </c>
      <c r="N349">
        <f>Tabla1[[#This Row],[entrada_prot_g_l]]*Tabla1[[#This Row],[entrada_litros]]/100</f>
        <v>1826.4592000000002</v>
      </c>
      <c r="O349">
        <f>Tabla1[[#This Row],[cuba_fab_litros]]*Tabla1[[#This Row],[cuba_fab_grasa_g_l]]</f>
        <v>203744.31</v>
      </c>
      <c r="P349">
        <f>Tabla1[[#This Row],[cuba_fab_litros]]*Tabla1[[#This Row],[cuba_fab_prot_g_l]]/100</f>
        <v>1693.5962999999997</v>
      </c>
      <c r="Q349">
        <f>Tabla1[[#This Row],[queso_kg]]*Tabla1[[#This Row],[queso_est_pct]]/100</f>
        <v>324.3879</v>
      </c>
      <c r="R349">
        <f>Tabla1[[#This Row],[queso_kg]]*Tabla1[[#This Row],[queso_mg_pct]]/100</f>
        <v>173.72654999999997</v>
      </c>
      <c r="S349">
        <f>_xlfn.ISOWEEKNUM(Tabla1[[#This Row],[fecha]])</f>
        <v>50</v>
      </c>
      <c r="T349">
        <v>50</v>
      </c>
    </row>
    <row r="350" spans="1:20" x14ac:dyDescent="0.25">
      <c r="A350" s="1">
        <v>45639</v>
      </c>
      <c r="F350">
        <v>4967</v>
      </c>
      <c r="G350">
        <v>40.78</v>
      </c>
      <c r="H350">
        <v>34.01</v>
      </c>
      <c r="J350">
        <v>623.27</v>
      </c>
      <c r="K350">
        <v>51.85</v>
      </c>
      <c r="L350">
        <v>26.94</v>
      </c>
      <c r="M350">
        <f>Tabla1[[#This Row],[entrada_litros]]*Tabla1[[#This Row],[entrada_grasa_g_l]]/100</f>
        <v>0</v>
      </c>
      <c r="N350">
        <f>Tabla1[[#This Row],[entrada_prot_g_l]]*Tabla1[[#This Row],[entrada_litros]]/100</f>
        <v>0</v>
      </c>
      <c r="O350">
        <f>Tabla1[[#This Row],[cuba_fab_litros]]*Tabla1[[#This Row],[cuba_fab_grasa_g_l]]</f>
        <v>202554.26</v>
      </c>
      <c r="P350">
        <f>Tabla1[[#This Row],[cuba_fab_litros]]*Tabla1[[#This Row],[cuba_fab_prot_g_l]]/100</f>
        <v>1689.2766999999999</v>
      </c>
      <c r="Q350">
        <f>Tabla1[[#This Row],[queso_kg]]*Tabla1[[#This Row],[queso_est_pct]]/100</f>
        <v>323.16549500000002</v>
      </c>
      <c r="R350">
        <f>Tabla1[[#This Row],[queso_kg]]*Tabla1[[#This Row],[queso_mg_pct]]/100</f>
        <v>167.90893800000001</v>
      </c>
      <c r="S350">
        <f>_xlfn.ISOWEEKNUM(Tabla1[[#This Row],[fecha]])</f>
        <v>50</v>
      </c>
      <c r="T350">
        <v>50</v>
      </c>
    </row>
    <row r="351" spans="1:20" x14ac:dyDescent="0.25">
      <c r="A351" s="1">
        <v>45640</v>
      </c>
      <c r="M351">
        <f>Tabla1[[#This Row],[entrada_litros]]*Tabla1[[#This Row],[entrada_grasa_g_l]]/100</f>
        <v>0</v>
      </c>
      <c r="N351">
        <f>Tabla1[[#This Row],[entrada_prot_g_l]]*Tabla1[[#This Row],[entrada_litros]]/100</f>
        <v>0</v>
      </c>
      <c r="O351">
        <f>Tabla1[[#This Row],[cuba_fab_litros]]*Tabla1[[#This Row],[cuba_fab_grasa_g_l]]</f>
        <v>0</v>
      </c>
      <c r="P351">
        <f>Tabla1[[#This Row],[cuba_fab_litros]]*Tabla1[[#This Row],[cuba_fab_prot_g_l]]/100</f>
        <v>0</v>
      </c>
      <c r="Q351">
        <f>Tabla1[[#This Row],[queso_kg]]*Tabla1[[#This Row],[queso_est_pct]]/100</f>
        <v>0</v>
      </c>
      <c r="R351">
        <f>Tabla1[[#This Row],[queso_kg]]*Tabla1[[#This Row],[queso_mg_pct]]/100</f>
        <v>0</v>
      </c>
      <c r="S351">
        <f>_xlfn.ISOWEEKNUM(Tabla1[[#This Row],[fecha]])</f>
        <v>50</v>
      </c>
      <c r="T351">
        <v>50</v>
      </c>
    </row>
    <row r="352" spans="1:20" x14ac:dyDescent="0.25">
      <c r="A352" s="1">
        <v>45641</v>
      </c>
      <c r="B352">
        <v>4850</v>
      </c>
      <c r="C352">
        <v>4709</v>
      </c>
      <c r="D352">
        <v>43.67</v>
      </c>
      <c r="E352">
        <v>34.909999999999997</v>
      </c>
      <c r="I352">
        <v>4709</v>
      </c>
      <c r="M352">
        <f>Tabla1[[#This Row],[entrada_litros]]*Tabla1[[#This Row],[entrada_grasa_g_l]]/100</f>
        <v>2056.4202999999998</v>
      </c>
      <c r="N352">
        <f>Tabla1[[#This Row],[entrada_prot_g_l]]*Tabla1[[#This Row],[entrada_litros]]/100</f>
        <v>1643.9118999999998</v>
      </c>
      <c r="O352">
        <f>Tabla1[[#This Row],[cuba_fab_litros]]*Tabla1[[#This Row],[cuba_fab_grasa_g_l]]</f>
        <v>0</v>
      </c>
      <c r="P352">
        <f>Tabla1[[#This Row],[cuba_fab_litros]]*Tabla1[[#This Row],[cuba_fab_prot_g_l]]/100</f>
        <v>0</v>
      </c>
      <c r="Q352">
        <f>Tabla1[[#This Row],[queso_kg]]*Tabla1[[#This Row],[queso_est_pct]]/100</f>
        <v>0</v>
      </c>
      <c r="R352">
        <f>Tabla1[[#This Row],[queso_kg]]*Tabla1[[#This Row],[queso_mg_pct]]/100</f>
        <v>0</v>
      </c>
      <c r="S352">
        <f>_xlfn.ISOWEEKNUM(Tabla1[[#This Row],[fecha]])</f>
        <v>50</v>
      </c>
      <c r="T352">
        <v>51</v>
      </c>
    </row>
    <row r="353" spans="1:20" x14ac:dyDescent="0.25">
      <c r="A353" s="1">
        <v>45642</v>
      </c>
      <c r="B353">
        <v>4558</v>
      </c>
      <c r="C353">
        <v>4425</v>
      </c>
      <c r="D353">
        <v>43.54</v>
      </c>
      <c r="E353">
        <v>34.96</v>
      </c>
      <c r="F353">
        <v>5029</v>
      </c>
      <c r="G353">
        <v>41.87</v>
      </c>
      <c r="H353">
        <v>33.22</v>
      </c>
      <c r="I353">
        <v>4134</v>
      </c>
      <c r="J353">
        <v>625.09</v>
      </c>
      <c r="K353">
        <v>52.67</v>
      </c>
      <c r="L353">
        <v>27.12</v>
      </c>
      <c r="M353">
        <f>Tabla1[[#This Row],[entrada_litros]]*Tabla1[[#This Row],[entrada_grasa_g_l]]/100</f>
        <v>1926.645</v>
      </c>
      <c r="N353">
        <f>Tabla1[[#This Row],[entrada_prot_g_l]]*Tabla1[[#This Row],[entrada_litros]]/100</f>
        <v>1546.98</v>
      </c>
      <c r="O353">
        <f>Tabla1[[#This Row],[cuba_fab_litros]]*Tabla1[[#This Row],[cuba_fab_grasa_g_l]]</f>
        <v>210564.22999999998</v>
      </c>
      <c r="P353">
        <f>Tabla1[[#This Row],[cuba_fab_litros]]*Tabla1[[#This Row],[cuba_fab_prot_g_l]]/100</f>
        <v>1670.6338000000001</v>
      </c>
      <c r="Q353">
        <f>Tabla1[[#This Row],[queso_kg]]*Tabla1[[#This Row],[queso_est_pct]]/100</f>
        <v>329.23490300000003</v>
      </c>
      <c r="R353">
        <f>Tabla1[[#This Row],[queso_kg]]*Tabla1[[#This Row],[queso_mg_pct]]/100</f>
        <v>169.52440799999999</v>
      </c>
      <c r="S353">
        <f>_xlfn.ISOWEEKNUM(Tabla1[[#This Row],[fecha]])</f>
        <v>51</v>
      </c>
      <c r="T353">
        <v>51</v>
      </c>
    </row>
    <row r="354" spans="1:20" x14ac:dyDescent="0.25">
      <c r="A354" s="1">
        <v>45643</v>
      </c>
      <c r="B354">
        <v>5383</v>
      </c>
      <c r="C354">
        <v>5226</v>
      </c>
      <c r="D354">
        <v>42.83</v>
      </c>
      <c r="E354">
        <v>35.19</v>
      </c>
      <c r="F354">
        <v>5025</v>
      </c>
      <c r="G354">
        <v>41.16</v>
      </c>
      <c r="H354">
        <v>33.36</v>
      </c>
      <c r="I354">
        <v>4360</v>
      </c>
      <c r="J354">
        <v>632.25</v>
      </c>
      <c r="K354">
        <v>51.58</v>
      </c>
      <c r="L354">
        <v>26.91</v>
      </c>
      <c r="M354">
        <f>Tabla1[[#This Row],[entrada_litros]]*Tabla1[[#This Row],[entrada_grasa_g_l]]/100</f>
        <v>2238.2957999999999</v>
      </c>
      <c r="N354">
        <f>Tabla1[[#This Row],[entrada_prot_g_l]]*Tabla1[[#This Row],[entrada_litros]]/100</f>
        <v>1839.0294000000001</v>
      </c>
      <c r="O354">
        <f>Tabla1[[#This Row],[cuba_fab_litros]]*Tabla1[[#This Row],[cuba_fab_grasa_g_l]]</f>
        <v>206828.99999999997</v>
      </c>
      <c r="P354">
        <f>Tabla1[[#This Row],[cuba_fab_litros]]*Tabla1[[#This Row],[cuba_fab_prot_g_l]]/100</f>
        <v>1676.34</v>
      </c>
      <c r="Q354">
        <f>Tabla1[[#This Row],[queso_kg]]*Tabla1[[#This Row],[queso_est_pct]]/100</f>
        <v>326.11455000000001</v>
      </c>
      <c r="R354">
        <f>Tabla1[[#This Row],[queso_kg]]*Tabla1[[#This Row],[queso_mg_pct]]/100</f>
        <v>170.138475</v>
      </c>
      <c r="S354">
        <f>_xlfn.ISOWEEKNUM(Tabla1[[#This Row],[fecha]])</f>
        <v>51</v>
      </c>
      <c r="T354">
        <v>51</v>
      </c>
    </row>
    <row r="355" spans="1:20" x14ac:dyDescent="0.25">
      <c r="A355" s="1">
        <v>45644</v>
      </c>
      <c r="B355">
        <v>5145</v>
      </c>
      <c r="C355">
        <v>4995</v>
      </c>
      <c r="D355">
        <v>42.14</v>
      </c>
      <c r="E355">
        <v>38.369999999999997</v>
      </c>
      <c r="F355">
        <v>5033</v>
      </c>
      <c r="G355">
        <v>40.64</v>
      </c>
      <c r="H355">
        <v>35.06</v>
      </c>
      <c r="I355">
        <v>4355</v>
      </c>
      <c r="J355">
        <v>642.96</v>
      </c>
      <c r="K355">
        <v>51.33</v>
      </c>
      <c r="L355">
        <v>27.06</v>
      </c>
      <c r="M355">
        <f>Tabla1[[#This Row],[entrada_litros]]*Tabla1[[#This Row],[entrada_grasa_g_l]]/100</f>
        <v>2104.893</v>
      </c>
      <c r="N355">
        <f>Tabla1[[#This Row],[entrada_prot_g_l]]*Tabla1[[#This Row],[entrada_litros]]/100</f>
        <v>1916.5815</v>
      </c>
      <c r="O355">
        <f>Tabla1[[#This Row],[cuba_fab_litros]]*Tabla1[[#This Row],[cuba_fab_grasa_g_l]]</f>
        <v>204541.12</v>
      </c>
      <c r="P355">
        <f>Tabla1[[#This Row],[cuba_fab_litros]]*Tabla1[[#This Row],[cuba_fab_prot_g_l]]/100</f>
        <v>1764.5698000000002</v>
      </c>
      <c r="Q355">
        <f>Tabla1[[#This Row],[queso_kg]]*Tabla1[[#This Row],[queso_est_pct]]/100</f>
        <v>330.03136799999999</v>
      </c>
      <c r="R355">
        <f>Tabla1[[#This Row],[queso_kg]]*Tabla1[[#This Row],[queso_mg_pct]]/100</f>
        <v>173.98497599999999</v>
      </c>
      <c r="S355">
        <f>_xlfn.ISOWEEKNUM(Tabla1[[#This Row],[fecha]])</f>
        <v>51</v>
      </c>
      <c r="T355">
        <v>51</v>
      </c>
    </row>
    <row r="356" spans="1:20" x14ac:dyDescent="0.25">
      <c r="A356" s="1">
        <v>45645</v>
      </c>
      <c r="B356">
        <v>4677</v>
      </c>
      <c r="C356">
        <v>4541</v>
      </c>
      <c r="D356">
        <v>42.63</v>
      </c>
      <c r="E356">
        <v>38.99</v>
      </c>
      <c r="F356">
        <v>5013</v>
      </c>
      <c r="G356">
        <v>40.83</v>
      </c>
      <c r="H356">
        <v>36.19</v>
      </c>
      <c r="I356">
        <v>3896</v>
      </c>
      <c r="J356">
        <v>624.92999999999995</v>
      </c>
      <c r="K356">
        <v>51.85</v>
      </c>
      <c r="L356">
        <v>26.44</v>
      </c>
      <c r="M356">
        <f>Tabla1[[#This Row],[entrada_litros]]*Tabla1[[#This Row],[entrada_grasa_g_l]]/100</f>
        <v>1935.8283000000001</v>
      </c>
      <c r="N356">
        <f>Tabla1[[#This Row],[entrada_prot_g_l]]*Tabla1[[#This Row],[entrada_litros]]/100</f>
        <v>1770.5358999999999</v>
      </c>
      <c r="O356">
        <f>Tabla1[[#This Row],[cuba_fab_litros]]*Tabla1[[#This Row],[cuba_fab_grasa_g_l]]</f>
        <v>204680.78999999998</v>
      </c>
      <c r="P356">
        <f>Tabla1[[#This Row],[cuba_fab_litros]]*Tabla1[[#This Row],[cuba_fab_prot_g_l]]/100</f>
        <v>1814.2047</v>
      </c>
      <c r="Q356">
        <f>Tabla1[[#This Row],[queso_kg]]*Tabla1[[#This Row],[queso_est_pct]]/100</f>
        <v>324.02620499999995</v>
      </c>
      <c r="R356">
        <f>Tabla1[[#This Row],[queso_kg]]*Tabla1[[#This Row],[queso_mg_pct]]/100</f>
        <v>165.231492</v>
      </c>
      <c r="S356">
        <f>_xlfn.ISOWEEKNUM(Tabla1[[#This Row],[fecha]])</f>
        <v>51</v>
      </c>
      <c r="T356">
        <v>51</v>
      </c>
    </row>
    <row r="357" spans="1:20" x14ac:dyDescent="0.25">
      <c r="A357" s="1">
        <v>45646</v>
      </c>
      <c r="F357">
        <v>3918</v>
      </c>
      <c r="G357">
        <v>40.53</v>
      </c>
      <c r="H357">
        <v>36.159999999999997</v>
      </c>
      <c r="J357">
        <v>508.42</v>
      </c>
      <c r="K357">
        <v>50.21</v>
      </c>
      <c r="L357">
        <v>26.24</v>
      </c>
      <c r="M357">
        <f>Tabla1[[#This Row],[entrada_litros]]*Tabla1[[#This Row],[entrada_grasa_g_l]]/100</f>
        <v>0</v>
      </c>
      <c r="N357">
        <f>Tabla1[[#This Row],[entrada_prot_g_l]]*Tabla1[[#This Row],[entrada_litros]]/100</f>
        <v>0</v>
      </c>
      <c r="O357">
        <f>Tabla1[[#This Row],[cuba_fab_litros]]*Tabla1[[#This Row],[cuba_fab_grasa_g_l]]</f>
        <v>158796.54</v>
      </c>
      <c r="P357">
        <f>Tabla1[[#This Row],[cuba_fab_litros]]*Tabla1[[#This Row],[cuba_fab_prot_g_l]]/100</f>
        <v>1416.7487999999998</v>
      </c>
      <c r="Q357">
        <f>Tabla1[[#This Row],[queso_kg]]*Tabla1[[#This Row],[queso_est_pct]]/100</f>
        <v>255.27768200000003</v>
      </c>
      <c r="R357">
        <f>Tabla1[[#This Row],[queso_kg]]*Tabla1[[#This Row],[queso_mg_pct]]/100</f>
        <v>133.40940800000001</v>
      </c>
      <c r="S357">
        <f>_xlfn.ISOWEEKNUM(Tabla1[[#This Row],[fecha]])</f>
        <v>51</v>
      </c>
      <c r="T357">
        <v>51</v>
      </c>
    </row>
    <row r="358" spans="1:20" x14ac:dyDescent="0.25">
      <c r="A358" s="1">
        <v>45647</v>
      </c>
      <c r="M358">
        <f>Tabla1[[#This Row],[entrada_litros]]*Tabla1[[#This Row],[entrada_grasa_g_l]]/100</f>
        <v>0</v>
      </c>
      <c r="N358">
        <f>Tabla1[[#This Row],[entrada_prot_g_l]]*Tabla1[[#This Row],[entrada_litros]]/100</f>
        <v>0</v>
      </c>
      <c r="O358">
        <f>Tabla1[[#This Row],[cuba_fab_litros]]*Tabla1[[#This Row],[cuba_fab_grasa_g_l]]</f>
        <v>0</v>
      </c>
      <c r="P358">
        <f>Tabla1[[#This Row],[cuba_fab_litros]]*Tabla1[[#This Row],[cuba_fab_prot_g_l]]/100</f>
        <v>0</v>
      </c>
      <c r="Q358">
        <f>Tabla1[[#This Row],[queso_kg]]*Tabla1[[#This Row],[queso_est_pct]]/100</f>
        <v>0</v>
      </c>
      <c r="R358">
        <f>Tabla1[[#This Row],[queso_kg]]*Tabla1[[#This Row],[queso_mg_pct]]/100</f>
        <v>0</v>
      </c>
      <c r="S358">
        <f>_xlfn.ISOWEEKNUM(Tabla1[[#This Row],[fecha]])</f>
        <v>51</v>
      </c>
      <c r="T358">
        <v>51</v>
      </c>
    </row>
    <row r="359" spans="1:20" x14ac:dyDescent="0.25">
      <c r="A359" s="1">
        <v>45648</v>
      </c>
      <c r="B359">
        <v>5031</v>
      </c>
      <c r="C359">
        <v>4884</v>
      </c>
      <c r="D359">
        <v>40.85</v>
      </c>
      <c r="E359">
        <v>34.49</v>
      </c>
      <c r="I359">
        <v>4884</v>
      </c>
      <c r="M359">
        <f>Tabla1[[#This Row],[entrada_litros]]*Tabla1[[#This Row],[entrada_grasa_g_l]]/100</f>
        <v>1995.114</v>
      </c>
      <c r="N359">
        <f>Tabla1[[#This Row],[entrada_prot_g_l]]*Tabla1[[#This Row],[entrada_litros]]/100</f>
        <v>1684.4916000000001</v>
      </c>
      <c r="O359">
        <f>Tabla1[[#This Row],[cuba_fab_litros]]*Tabla1[[#This Row],[cuba_fab_grasa_g_l]]</f>
        <v>0</v>
      </c>
      <c r="P359">
        <f>Tabla1[[#This Row],[cuba_fab_litros]]*Tabla1[[#This Row],[cuba_fab_prot_g_l]]/100</f>
        <v>0</v>
      </c>
      <c r="Q359">
        <f>Tabla1[[#This Row],[queso_kg]]*Tabla1[[#This Row],[queso_est_pct]]/100</f>
        <v>0</v>
      </c>
      <c r="R359">
        <f>Tabla1[[#This Row],[queso_kg]]*Tabla1[[#This Row],[queso_mg_pct]]/100</f>
        <v>0</v>
      </c>
      <c r="S359">
        <f>_xlfn.ISOWEEKNUM(Tabla1[[#This Row],[fecha]])</f>
        <v>51</v>
      </c>
      <c r="T359">
        <v>52</v>
      </c>
    </row>
    <row r="360" spans="1:20" x14ac:dyDescent="0.25">
      <c r="A360" s="1">
        <v>45649</v>
      </c>
      <c r="B360">
        <v>5499</v>
      </c>
      <c r="C360">
        <v>5339</v>
      </c>
      <c r="D360">
        <v>42.27</v>
      </c>
      <c r="E360">
        <v>36.9</v>
      </c>
      <c r="F360">
        <v>5017</v>
      </c>
      <c r="G360">
        <v>39.76</v>
      </c>
      <c r="H360">
        <v>34.67</v>
      </c>
      <c r="I360">
        <v>5223</v>
      </c>
      <c r="J360">
        <v>631.80999999999995</v>
      </c>
      <c r="K360">
        <v>51.28</v>
      </c>
      <c r="L360">
        <v>27.12</v>
      </c>
      <c r="M360">
        <f>Tabla1[[#This Row],[entrada_litros]]*Tabla1[[#This Row],[entrada_grasa_g_l]]/100</f>
        <v>2256.7953000000002</v>
      </c>
      <c r="N360">
        <f>Tabla1[[#This Row],[entrada_prot_g_l]]*Tabla1[[#This Row],[entrada_litros]]/100</f>
        <v>1970.0910000000001</v>
      </c>
      <c r="O360">
        <f>Tabla1[[#This Row],[cuba_fab_litros]]*Tabla1[[#This Row],[cuba_fab_grasa_g_l]]</f>
        <v>199475.91999999998</v>
      </c>
      <c r="P360">
        <f>Tabla1[[#This Row],[cuba_fab_litros]]*Tabla1[[#This Row],[cuba_fab_prot_g_l]]/100</f>
        <v>1739.3939</v>
      </c>
      <c r="Q360">
        <f>Tabla1[[#This Row],[queso_kg]]*Tabla1[[#This Row],[queso_est_pct]]/100</f>
        <v>323.99216799999999</v>
      </c>
      <c r="R360">
        <f>Tabla1[[#This Row],[queso_kg]]*Tabla1[[#This Row],[queso_mg_pct]]/100</f>
        <v>171.34687199999999</v>
      </c>
      <c r="S360">
        <f>_xlfn.ISOWEEKNUM(Tabla1[[#This Row],[fecha]])</f>
        <v>52</v>
      </c>
      <c r="T360">
        <v>52</v>
      </c>
    </row>
    <row r="361" spans="1:20" x14ac:dyDescent="0.25">
      <c r="A361" s="1">
        <v>45650</v>
      </c>
      <c r="B361">
        <v>4992</v>
      </c>
      <c r="C361">
        <v>4847</v>
      </c>
      <c r="D361">
        <v>42.23</v>
      </c>
      <c r="E361">
        <v>34.82</v>
      </c>
      <c r="F361">
        <v>5033</v>
      </c>
      <c r="G361">
        <v>40.08</v>
      </c>
      <c r="H361">
        <v>33.76</v>
      </c>
      <c r="I361">
        <v>5070</v>
      </c>
      <c r="J361">
        <v>653.25</v>
      </c>
      <c r="K361">
        <v>50.43</v>
      </c>
      <c r="L361">
        <v>26.51</v>
      </c>
      <c r="M361">
        <f>Tabla1[[#This Row],[entrada_litros]]*Tabla1[[#This Row],[entrada_grasa_g_l]]/100</f>
        <v>2046.8880999999999</v>
      </c>
      <c r="N361">
        <f>Tabla1[[#This Row],[entrada_prot_g_l]]*Tabla1[[#This Row],[entrada_litros]]/100</f>
        <v>1687.7254</v>
      </c>
      <c r="O361">
        <f>Tabla1[[#This Row],[cuba_fab_litros]]*Tabla1[[#This Row],[cuba_fab_grasa_g_l]]</f>
        <v>201722.63999999998</v>
      </c>
      <c r="P361">
        <f>Tabla1[[#This Row],[cuba_fab_litros]]*Tabla1[[#This Row],[cuba_fab_prot_g_l]]/100</f>
        <v>1699.1407999999999</v>
      </c>
      <c r="Q361">
        <f>Tabla1[[#This Row],[queso_kg]]*Tabla1[[#This Row],[queso_est_pct]]/100</f>
        <v>329.43397499999998</v>
      </c>
      <c r="R361">
        <f>Tabla1[[#This Row],[queso_kg]]*Tabla1[[#This Row],[queso_mg_pct]]/100</f>
        <v>173.17657500000001</v>
      </c>
      <c r="S361">
        <f>_xlfn.ISOWEEKNUM(Tabla1[[#This Row],[fecha]])</f>
        <v>52</v>
      </c>
      <c r="T361">
        <v>52</v>
      </c>
    </row>
    <row r="362" spans="1:20" x14ac:dyDescent="0.25">
      <c r="A362" s="1">
        <v>45651</v>
      </c>
      <c r="B362">
        <v>4668</v>
      </c>
      <c r="C362">
        <v>4532</v>
      </c>
      <c r="D362">
        <v>43.56</v>
      </c>
      <c r="E362">
        <v>35.5</v>
      </c>
      <c r="F362">
        <v>5015</v>
      </c>
      <c r="G362">
        <v>41.05</v>
      </c>
      <c r="H362">
        <v>33.659999999999997</v>
      </c>
      <c r="I362">
        <v>4602</v>
      </c>
      <c r="J362">
        <v>615.79</v>
      </c>
      <c r="K362">
        <v>52.65</v>
      </c>
      <c r="L362">
        <v>27.94</v>
      </c>
      <c r="M362">
        <f>Tabla1[[#This Row],[entrada_litros]]*Tabla1[[#This Row],[entrada_grasa_g_l]]/100</f>
        <v>1974.1392000000001</v>
      </c>
      <c r="N362">
        <f>Tabla1[[#This Row],[entrada_prot_g_l]]*Tabla1[[#This Row],[entrada_litros]]/100</f>
        <v>1608.86</v>
      </c>
      <c r="O362">
        <f>Tabla1[[#This Row],[cuba_fab_litros]]*Tabla1[[#This Row],[cuba_fab_grasa_g_l]]</f>
        <v>205865.75</v>
      </c>
      <c r="P362">
        <f>Tabla1[[#This Row],[cuba_fab_litros]]*Tabla1[[#This Row],[cuba_fab_prot_g_l]]/100</f>
        <v>1688.049</v>
      </c>
      <c r="Q362">
        <f>Tabla1[[#This Row],[queso_kg]]*Tabla1[[#This Row],[queso_est_pct]]/100</f>
        <v>324.21343499999995</v>
      </c>
      <c r="R362">
        <f>Tabla1[[#This Row],[queso_kg]]*Tabla1[[#This Row],[queso_mg_pct]]/100</f>
        <v>172.05172599999997</v>
      </c>
      <c r="S362">
        <f>_xlfn.ISOWEEKNUM(Tabla1[[#This Row],[fecha]])</f>
        <v>52</v>
      </c>
      <c r="T362">
        <v>52</v>
      </c>
    </row>
    <row r="363" spans="1:20" x14ac:dyDescent="0.25">
      <c r="A363" s="1">
        <v>45652</v>
      </c>
      <c r="B363">
        <v>5238</v>
      </c>
      <c r="C363">
        <v>5085</v>
      </c>
      <c r="D363">
        <v>41.47</v>
      </c>
      <c r="E363">
        <v>36.26</v>
      </c>
      <c r="F363">
        <v>5027</v>
      </c>
      <c r="G363">
        <v>40.08</v>
      </c>
      <c r="H363">
        <v>34.39</v>
      </c>
      <c r="I363">
        <v>4687</v>
      </c>
      <c r="J363">
        <v>640.57000000000005</v>
      </c>
      <c r="K363">
        <v>51.29</v>
      </c>
      <c r="L363">
        <v>27.16</v>
      </c>
      <c r="M363">
        <f>Tabla1[[#This Row],[entrada_litros]]*Tabla1[[#This Row],[entrada_grasa_g_l]]/100</f>
        <v>2108.7494999999999</v>
      </c>
      <c r="N363">
        <f>Tabla1[[#This Row],[entrada_prot_g_l]]*Tabla1[[#This Row],[entrada_litros]]/100</f>
        <v>1843.8209999999997</v>
      </c>
      <c r="O363">
        <f>Tabla1[[#This Row],[cuba_fab_litros]]*Tabla1[[#This Row],[cuba_fab_grasa_g_l]]</f>
        <v>201482.16</v>
      </c>
      <c r="P363">
        <f>Tabla1[[#This Row],[cuba_fab_litros]]*Tabla1[[#This Row],[cuba_fab_prot_g_l]]/100</f>
        <v>1728.7853</v>
      </c>
      <c r="Q363">
        <f>Tabla1[[#This Row],[queso_kg]]*Tabla1[[#This Row],[queso_est_pct]]/100</f>
        <v>328.54835299999996</v>
      </c>
      <c r="R363">
        <f>Tabla1[[#This Row],[queso_kg]]*Tabla1[[#This Row],[queso_mg_pct]]/100</f>
        <v>173.978812</v>
      </c>
      <c r="S363">
        <f>_xlfn.ISOWEEKNUM(Tabla1[[#This Row],[fecha]])</f>
        <v>52</v>
      </c>
      <c r="T363">
        <v>52</v>
      </c>
    </row>
    <row r="364" spans="1:20" x14ac:dyDescent="0.25">
      <c r="A364" s="1">
        <v>45653</v>
      </c>
      <c r="F364">
        <v>4708</v>
      </c>
      <c r="G364">
        <v>40.44</v>
      </c>
      <c r="H364">
        <v>34.119999999999997</v>
      </c>
      <c r="J364">
        <v>584.87</v>
      </c>
      <c r="K364">
        <v>52.23</v>
      </c>
      <c r="L364">
        <v>27.73</v>
      </c>
      <c r="M364">
        <f>Tabla1[[#This Row],[entrada_litros]]*Tabla1[[#This Row],[entrada_grasa_g_l]]/100</f>
        <v>0</v>
      </c>
      <c r="N364">
        <f>Tabla1[[#This Row],[entrada_prot_g_l]]*Tabla1[[#This Row],[entrada_litros]]/100</f>
        <v>0</v>
      </c>
      <c r="O364">
        <f>Tabla1[[#This Row],[cuba_fab_litros]]*Tabla1[[#This Row],[cuba_fab_grasa_g_l]]</f>
        <v>190391.52</v>
      </c>
      <c r="P364">
        <f>Tabla1[[#This Row],[cuba_fab_litros]]*Tabla1[[#This Row],[cuba_fab_prot_g_l]]/100</f>
        <v>1606.3696</v>
      </c>
      <c r="Q364">
        <f>Tabla1[[#This Row],[queso_kg]]*Tabla1[[#This Row],[queso_est_pct]]/100</f>
        <v>305.47760099999999</v>
      </c>
      <c r="R364">
        <f>Tabla1[[#This Row],[queso_kg]]*Tabla1[[#This Row],[queso_mg_pct]]/100</f>
        <v>162.184451</v>
      </c>
      <c r="S364">
        <f>_xlfn.ISOWEEKNUM(Tabla1[[#This Row],[fecha]])</f>
        <v>52</v>
      </c>
      <c r="T364">
        <v>52</v>
      </c>
    </row>
    <row r="365" spans="1:20" x14ac:dyDescent="0.25">
      <c r="A365" s="1">
        <v>45654</v>
      </c>
      <c r="M365">
        <f>Tabla1[[#This Row],[entrada_litros]]*Tabla1[[#This Row],[entrada_grasa_g_l]]/100</f>
        <v>0</v>
      </c>
      <c r="N365">
        <f>Tabla1[[#This Row],[entrada_prot_g_l]]*Tabla1[[#This Row],[entrada_litros]]/100</f>
        <v>0</v>
      </c>
      <c r="O365">
        <f>Tabla1[[#This Row],[cuba_fab_litros]]*Tabla1[[#This Row],[cuba_fab_grasa_g_l]]</f>
        <v>0</v>
      </c>
      <c r="P365">
        <f>Tabla1[[#This Row],[cuba_fab_litros]]*Tabla1[[#This Row],[cuba_fab_prot_g_l]]/100</f>
        <v>0</v>
      </c>
      <c r="Q365">
        <f>Tabla1[[#This Row],[queso_kg]]*Tabla1[[#This Row],[queso_est_pct]]/100</f>
        <v>0</v>
      </c>
      <c r="R365">
        <f>Tabla1[[#This Row],[queso_kg]]*Tabla1[[#This Row],[queso_mg_pct]]/100</f>
        <v>0</v>
      </c>
      <c r="S365">
        <f>_xlfn.ISOWEEKNUM(Tabla1[[#This Row],[fecha]])</f>
        <v>52</v>
      </c>
      <c r="T365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21D6-3103-44EB-992A-7D6F912ADD11}">
  <dimension ref="A3:D18"/>
  <sheetViews>
    <sheetView workbookViewId="0">
      <selection activeCell="A5" sqref="A5"/>
    </sheetView>
  </sheetViews>
  <sheetFormatPr baseColWidth="10" defaultRowHeight="15" x14ac:dyDescent="0.25"/>
  <cols>
    <col min="1" max="1" width="17.85546875" bestFit="1" customWidth="1"/>
    <col min="2" max="2" width="24.7109375" bestFit="1" customWidth="1"/>
    <col min="3" max="3" width="25.85546875" bestFit="1" customWidth="1"/>
    <col min="4" max="4" width="17.7109375" bestFit="1" customWidth="1"/>
  </cols>
  <sheetData>
    <row r="3" spans="1:4" x14ac:dyDescent="0.25">
      <c r="A3" s="2" t="s">
        <v>20</v>
      </c>
      <c r="B3" t="s">
        <v>24</v>
      </c>
      <c r="C3" t="s">
        <v>25</v>
      </c>
      <c r="D3" t="s">
        <v>26</v>
      </c>
    </row>
    <row r="4" spans="1:4" x14ac:dyDescent="0.25">
      <c r="A4" s="3" t="s">
        <v>22</v>
      </c>
      <c r="B4" s="5">
        <v>2040.4656</v>
      </c>
      <c r="C4" s="5">
        <v>0</v>
      </c>
      <c r="D4" s="4"/>
    </row>
    <row r="5" spans="1:4" x14ac:dyDescent="0.25">
      <c r="A5" s="3" t="s">
        <v>23</v>
      </c>
      <c r="B5" s="5">
        <v>552553.72319999989</v>
      </c>
      <c r="C5" s="5">
        <v>53261873.409999996</v>
      </c>
      <c r="D5" s="4">
        <v>164476.13999999998</v>
      </c>
    </row>
    <row r="6" spans="1:4" x14ac:dyDescent="0.25">
      <c r="A6" s="6" t="s">
        <v>27</v>
      </c>
      <c r="B6" s="5">
        <v>48984.046400000007</v>
      </c>
      <c r="C6" s="5">
        <v>4676872.93</v>
      </c>
      <c r="D6" s="4">
        <v>14399.419999999998</v>
      </c>
    </row>
    <row r="7" spans="1:4" x14ac:dyDescent="0.25">
      <c r="A7" s="6" t="s">
        <v>28</v>
      </c>
      <c r="B7" s="5">
        <v>45358.750599999992</v>
      </c>
      <c r="C7" s="5">
        <v>4418663.79</v>
      </c>
      <c r="D7" s="4">
        <v>13411.909999999998</v>
      </c>
    </row>
    <row r="8" spans="1:4" x14ac:dyDescent="0.25">
      <c r="A8" s="6" t="s">
        <v>29</v>
      </c>
      <c r="B8" s="5">
        <v>45203.767</v>
      </c>
      <c r="C8" s="5">
        <v>4325246.9400000004</v>
      </c>
      <c r="D8" s="4">
        <v>13309.630000000001</v>
      </c>
    </row>
    <row r="9" spans="1:4" x14ac:dyDescent="0.25">
      <c r="A9" s="6" t="s">
        <v>30</v>
      </c>
      <c r="B9" s="5">
        <v>46444.171499999997</v>
      </c>
      <c r="C9" s="5">
        <v>4450194.129999999</v>
      </c>
      <c r="D9" s="4">
        <v>13838.46</v>
      </c>
    </row>
    <row r="10" spans="1:4" x14ac:dyDescent="0.25">
      <c r="A10" s="6" t="s">
        <v>31</v>
      </c>
      <c r="B10" s="5">
        <v>46976.891699999993</v>
      </c>
      <c r="C10" s="5">
        <v>4711335.84</v>
      </c>
      <c r="D10" s="4">
        <v>14708.559999999998</v>
      </c>
    </row>
    <row r="11" spans="1:4" x14ac:dyDescent="0.25">
      <c r="A11" s="6" t="s">
        <v>32</v>
      </c>
      <c r="B11" s="5">
        <v>45097.457799999996</v>
      </c>
      <c r="C11" s="5">
        <v>4118839.2399999998</v>
      </c>
      <c r="D11" s="4">
        <v>12722.629999999997</v>
      </c>
    </row>
    <row r="12" spans="1:4" x14ac:dyDescent="0.25">
      <c r="A12" s="6" t="s">
        <v>33</v>
      </c>
      <c r="B12" s="5">
        <v>50140.307299999993</v>
      </c>
      <c r="C12" s="5">
        <v>4821502.1500000013</v>
      </c>
      <c r="D12" s="4">
        <v>14705.389999999996</v>
      </c>
    </row>
    <row r="13" spans="1:4" x14ac:dyDescent="0.25">
      <c r="A13" s="6" t="s">
        <v>34</v>
      </c>
      <c r="B13" s="5">
        <v>43845.435699999987</v>
      </c>
      <c r="C13" s="5">
        <v>4414780.2999999989</v>
      </c>
      <c r="D13" s="4">
        <v>13552.91</v>
      </c>
    </row>
    <row r="14" spans="1:4" x14ac:dyDescent="0.25">
      <c r="A14" s="6" t="s">
        <v>35</v>
      </c>
      <c r="B14" s="5">
        <v>46906.063900000001</v>
      </c>
      <c r="C14" s="5">
        <v>4319846.9700000007</v>
      </c>
      <c r="D14" s="4">
        <v>13534.060000000001</v>
      </c>
    </row>
    <row r="15" spans="1:4" x14ac:dyDescent="0.25">
      <c r="A15" s="6" t="s">
        <v>36</v>
      </c>
      <c r="B15" s="5">
        <v>49538.320900000006</v>
      </c>
      <c r="C15" s="5">
        <v>4727963.7299999986</v>
      </c>
      <c r="D15" s="4">
        <v>14582.550000000001</v>
      </c>
    </row>
    <row r="16" spans="1:4" x14ac:dyDescent="0.25">
      <c r="A16" s="6" t="s">
        <v>37</v>
      </c>
      <c r="B16" s="5">
        <v>41509.071400000001</v>
      </c>
      <c r="C16" s="5">
        <v>4185554.6499999994</v>
      </c>
      <c r="D16" s="4">
        <v>13133.939999999999</v>
      </c>
    </row>
    <row r="17" spans="1:4" x14ac:dyDescent="0.25">
      <c r="A17" s="6" t="s">
        <v>38</v>
      </c>
      <c r="B17" s="5">
        <v>42549.438999999991</v>
      </c>
      <c r="C17" s="5">
        <v>4091072.74</v>
      </c>
      <c r="D17" s="4">
        <v>12576.680000000002</v>
      </c>
    </row>
    <row r="18" spans="1:4" x14ac:dyDescent="0.25">
      <c r="A18" s="3" t="s">
        <v>21</v>
      </c>
      <c r="B18" s="5">
        <v>554594.18879999989</v>
      </c>
      <c r="C18" s="5">
        <v>53261873.409999996</v>
      </c>
      <c r="D18" s="4">
        <v>164476.13999999998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queseria_final_tidy</vt:lpstr>
      <vt:lpstr>TD 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Riera</cp:lastModifiedBy>
  <dcterms:created xsi:type="dcterms:W3CDTF">2026-02-11T11:43:51Z</dcterms:created>
  <dcterms:modified xsi:type="dcterms:W3CDTF">2026-02-11T11:43:51Z</dcterms:modified>
</cp:coreProperties>
</file>