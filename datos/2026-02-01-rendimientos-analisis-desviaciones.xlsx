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bf2af71bbc2e43/Documentos/GitHub/master-queseria/website/datos/"/>
    </mc:Choice>
  </mc:AlternateContent>
  <xr:revisionPtr revIDLastSave="943" documentId="8_{566A70F3-096B-4476-B336-90A9B7DB3344}" xr6:coauthVersionLast="47" xr6:coauthVersionMax="47" xr10:uidLastSave="{031111F0-0B3B-4236-9EEB-9AEB9ED8259A}"/>
  <bookViews>
    <workbookView xWindow="-120" yWindow="-120" windowWidth="29040" windowHeight="16440" tabRatio="675" activeTab="2" xr2:uid="{6977E7F1-D64B-47FE-B2A7-D4E9B0399E18}"/>
  </bookViews>
  <sheets>
    <sheet name="Liquidación leche" sheetId="17" r:id="rId1"/>
    <sheet name="Datos materia prima" sheetId="8" r:id="rId2"/>
    <sheet name="Estándar técnico" sheetId="14" r:id="rId3"/>
    <sheet name="Datos fabricación" sheetId="16" r:id="rId4"/>
    <sheet name="Desviaciones" sheetId="9" r:id="rId5"/>
    <sheet name="Proceso" sheetId="10" r:id="rId6"/>
    <sheet name="densidad" sheetId="13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123Graph_AGRAFIND" localSheetId="5" hidden="1">#REF!</definedName>
    <definedName name="__123Graph_AGRAFIND" hidden="1">#REF!</definedName>
    <definedName name="__123Graph_AGRAFTOT" localSheetId="5" hidden="1">#REF!</definedName>
    <definedName name="__123Graph_AGRAFTOT" hidden="1">#REF!</definedName>
    <definedName name="__123Graph_APRINCIPALE" localSheetId="5" hidden="1">[1]ACTIVITE!#REF!</definedName>
    <definedName name="__123Graph_APRINCIPALE" hidden="1">[1]ACTIVITE!#REF!</definedName>
    <definedName name="__123Graph_BGRAFIND" localSheetId="5" hidden="1">#REF!</definedName>
    <definedName name="__123Graph_BGRAFIND" hidden="1">#REF!</definedName>
    <definedName name="__123Graph_BGRAFTOT" localSheetId="5" hidden="1">#REF!</definedName>
    <definedName name="__123Graph_BGRAFTOT" hidden="1">#REF!</definedName>
    <definedName name="__123Graph_BPRINCIPALE" localSheetId="5" hidden="1">[1]ACTIVITE!#REF!</definedName>
    <definedName name="__123Graph_BPRINCIPALE" hidden="1">[1]ACTIVITE!#REF!</definedName>
    <definedName name="__123Graph_CPRINCIPALE" localSheetId="5" hidden="1">[1]ACTIVITE!#REF!</definedName>
    <definedName name="__123Graph_CPRINCIPALE" hidden="1">[1]ACTIVITE!#REF!</definedName>
    <definedName name="__123Graph_XPRINCIPALE" localSheetId="5" hidden="1">[1]ACTIVITE!#REF!</definedName>
    <definedName name="__123Graph_XPRINCIPALE" hidden="1">[1]ACTIVITE!#REF!</definedName>
    <definedName name="__Amount_for_Gross_Profit_Monthly_ASDA_All_Unit_2" localSheetId="5" hidden="1">[2]pcQueryData!#REF!</definedName>
    <definedName name="__Amount_for_Gross_Profit_Monthly_ASDA_All_Unit_2" hidden="1">[2]pcQueryData!#REF!</definedName>
    <definedName name="__Amount_for_Gross_Profit_Monthly_TESCO_All_1" localSheetId="5" hidden="1">#REF!</definedName>
    <definedName name="__Amount_for_Gross_Profit_Monthly_TESCO_All_1" hidden="1">#REF!</definedName>
    <definedName name="__Amount_for_Monthly_1" hidden="1">[3]pcQueryData!$A$4</definedName>
    <definedName name="__c" localSheetId="2" hidden="1">{"SPM1",#N/A,FALSE,"RIEP"}</definedName>
    <definedName name="__c" localSheetId="5" hidden="1">{"SPM1",#N/A,FALSE,"RIEP"}</definedName>
    <definedName name="__c" hidden="1">{"SPM1",#N/A,FALSE,"RIEP"}</definedName>
    <definedName name="_100_PV">#REF!</definedName>
    <definedName name="_100_SVI">#REF!</definedName>
    <definedName name="_1000_XM">#REF!</definedName>
    <definedName name="_145110">#REF!</definedName>
    <definedName name="_162460">[4]STEPHAN!$B$2:$P$71</definedName>
    <definedName name="_170_LIGHT">#REF!</definedName>
    <definedName name="_170_PV">#REF!</definedName>
    <definedName name="_171015">#REF!</definedName>
    <definedName name="_171064">#REF!</definedName>
    <definedName name="_171066">#REF!</definedName>
    <definedName name="_171068">#REF!</definedName>
    <definedName name="_171510">#REF!</definedName>
    <definedName name="_171562">#REF!</definedName>
    <definedName name="_172012">#REF!</definedName>
    <definedName name="_172020">#REF!</definedName>
    <definedName name="_172022">#REF!</definedName>
    <definedName name="_172062">#REF!</definedName>
    <definedName name="_172510">[4]STEPHAN!$B$2:$Q$71</definedName>
    <definedName name="_172610">[4]STEPHAN!$B$2:$Q$71</definedName>
    <definedName name="_176072">#REF!</definedName>
    <definedName name="_Amount_for_Monthly" hidden="1">[5]pcQueryData!$A$3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cSlicerSheet_Slicer1" hidden="1">#REF!</definedName>
    <definedName name="_pcSlicerSheet_Slicer2" hidden="1">#REF!</definedName>
    <definedName name="_pcSlicerSheet_Slicer3" hidden="1">#REF!</definedName>
    <definedName name="_pcSlicerSheet1_Slicer1" hidden="1">#REF!</definedName>
    <definedName name="_pcSlicerSheet1_Slicer2" hidden="1">#REF!</definedName>
    <definedName name="_pcSlicerSheet1_Slicer3" hidden="1">#REF!</definedName>
    <definedName name="_pcSlicerSheet10_Slicer1" hidden="1">#REF!</definedName>
    <definedName name="_pcSlicerSheet11_Slicer1" hidden="1">#REF!</definedName>
    <definedName name="_pcSlicerSheet12_Slicer1" hidden="1">#REF!</definedName>
    <definedName name="_pcSlicerSheet12_Slicer2" hidden="1">#REF!</definedName>
    <definedName name="_pcSlicerSheet12_Slicer3" hidden="1">#REF!</definedName>
    <definedName name="_pcSlicerSheet13_Slicer2" hidden="1">#REF!</definedName>
    <definedName name="_pcSlicerSheet13_Slicer3" hidden="1">#REF!</definedName>
    <definedName name="_pcSlicerSheet14_Slicer1" hidden="1">[2]_pcSlicerSheet14!$A$2:$A$25</definedName>
    <definedName name="_pcSlicerSheet14_Slicer2" hidden="1">#REF!</definedName>
    <definedName name="_pcSlicerSheet14_Slicer3" hidden="1">#REF!</definedName>
    <definedName name="_pcSlicerSheet15_Slicer1" hidden="1">[2]_pcSlicerSheet15!$A$2:$A$25</definedName>
    <definedName name="_pcSlicerSheet15_Slicer2" hidden="1">#REF!</definedName>
    <definedName name="_pcSlicerSheet15_Slicer3" hidden="1">#REF!</definedName>
    <definedName name="_pcSlicerSheet16_Slicer1" hidden="1">[2]_pcSlicerSheet16!$A$2:$A$25</definedName>
    <definedName name="_pcSlicerSheet16_Slicer2" hidden="1">#REF!</definedName>
    <definedName name="_pcSlicerSheet16_Slicer3" hidden="1">#REF!</definedName>
    <definedName name="_pcSlicerSheet17_Slicer1" hidden="1">#REF!</definedName>
    <definedName name="_pcSlicerSheet17_Slicer2" hidden="1">#REF!</definedName>
    <definedName name="_pcSlicerSheet17_Slicer3" hidden="1">#REF!</definedName>
    <definedName name="_pcSlicerSheet18_Slicer1" hidden="1">#REF!</definedName>
    <definedName name="_pcSlicerSheet19_Slicer1" hidden="1">#REF!</definedName>
    <definedName name="_pcSlicerSheet2_Slicer1" hidden="1">#REF!</definedName>
    <definedName name="_pcSlicerSheet2_Slicer2" hidden="1">#REF!</definedName>
    <definedName name="_pcSlicerSheet2_Slicer3" hidden="1">#REF!</definedName>
    <definedName name="_pcSlicerSheet20_Slicer1" hidden="1">#REF!</definedName>
    <definedName name="_pcSlicerSheet20_Slicer2" hidden="1">#REF!</definedName>
    <definedName name="_pcSlicerSheet20_Slicer3" hidden="1">#REF!</definedName>
    <definedName name="_pcSlicerSheet21_Slicer1" hidden="1">#REF!</definedName>
    <definedName name="_pcSlicerSheet22_Slicer1" hidden="1">#REF!</definedName>
    <definedName name="_pcSlicerSheet22_Slicer2" hidden="1">#REF!</definedName>
    <definedName name="_pcSlicerSheet22_Slicer3" hidden="1">#REF!</definedName>
    <definedName name="_pcSlicerSheet23_Slicer1" hidden="1">#REF!</definedName>
    <definedName name="_pcSlicerSheet23_Slicer2" hidden="1">#REF!</definedName>
    <definedName name="_pcSlicerSheet23_Slicer3" hidden="1">#REF!</definedName>
    <definedName name="_pcSlicerSheet24_Slicer1" hidden="1">#REF!</definedName>
    <definedName name="_pcSlicerSheet25_Slicer1" hidden="1">#REF!</definedName>
    <definedName name="_pcSlicerSheet26_Slicer1" hidden="1">#REF!</definedName>
    <definedName name="_pcSlicerSheet27_Slicer1" hidden="1">#REF!</definedName>
    <definedName name="_pcSlicerSheet28_Slicer1" hidden="1">#REF!</definedName>
    <definedName name="_pcSlicerSheet29_Slicer1" hidden="1">#REF!</definedName>
    <definedName name="_pcSlicerSheet30_Slicer1" hidden="1">#REF!</definedName>
    <definedName name="_pcSlicerSheet31_Slicer1" hidden="1">#REF!</definedName>
    <definedName name="_pcSlicerSheet32_Slicer1" hidden="1">#REF!</definedName>
    <definedName name="_pcSlicerSheet32_Slicer2" hidden="1">#REF!</definedName>
    <definedName name="_pcSlicerSheet32_Slicer3" hidden="1">#REF!</definedName>
    <definedName name="_pcSlicerSheet33_Slicer1" hidden="1">#REF!</definedName>
    <definedName name="_pcSlicerSheet33_Slicer2" hidden="1">#REF!</definedName>
    <definedName name="_pcSlicerSheet33_Slicer3" hidden="1">#REF!</definedName>
    <definedName name="_pcSlicerSheet34_Slicer1" hidden="1">#REF!</definedName>
    <definedName name="_pcSlicerSheet34_Slicer2" hidden="1">#REF!</definedName>
    <definedName name="_pcSlicerSheet34_Slicer3" hidden="1">#REF!</definedName>
    <definedName name="_pcSlicerSheet35_Slicer1" hidden="1">#REF!</definedName>
    <definedName name="_pcSlicerSheet35_Slicer2" hidden="1">#REF!</definedName>
    <definedName name="_pcSlicerSheet35_Slicer3" hidden="1">#REF!</definedName>
    <definedName name="_pcSlicerSheet36_Slicer1" hidden="1">#REF!</definedName>
    <definedName name="_pcSlicerSheet37_Slicer1" hidden="1">#REF!</definedName>
    <definedName name="_pcSlicerSheet38_Slicer1" hidden="1">#REF!</definedName>
    <definedName name="_pcSlicerSheet39_Slicer1" hidden="1">#REF!</definedName>
    <definedName name="_pcSlicerSheet4_Slicer1" hidden="1">[2]_pcSlicerSheet4!$A$2:$A$14</definedName>
    <definedName name="_pcSlicerSheet4_Slicer2" hidden="1">#REF!</definedName>
    <definedName name="_pcSlicerSheet40_Slicer1" hidden="1">#REF!</definedName>
    <definedName name="_pcSlicerSheet41_Slicer1" hidden="1">#REF!</definedName>
    <definedName name="_pcSlicerSheet42_Slicer1" hidden="1">#REF!</definedName>
    <definedName name="_pcSlicerSheet43_Slicer1" hidden="1">#REF!</definedName>
    <definedName name="_pcSlicerSheet44_Slicer1" hidden="1">#REF!</definedName>
    <definedName name="_pcSlicerSheet45_Slicer1" hidden="1">#REF!</definedName>
    <definedName name="_pcSlicerSheet46_Slicer1" hidden="1">#REF!</definedName>
    <definedName name="_pcSlicerSheet47_Slicer1" hidden="1">#REF!</definedName>
    <definedName name="_pcSlicerSheet48_Slicer1" hidden="1">#REF!</definedName>
    <definedName name="_pcSlicerSheet49_Slicer1" hidden="1">#REF!</definedName>
    <definedName name="_pcSlicerSheet49_Slicer2" hidden="1">#REF!</definedName>
    <definedName name="_pcSlicerSheet5_Slicer1" hidden="1">#REF!</definedName>
    <definedName name="_pcSlicerSheet50_Slicer1" hidden="1">#REF!</definedName>
    <definedName name="_pcSlicerSheet50_Slicer2" hidden="1">#REF!</definedName>
    <definedName name="_pcSlicerSheet51_Slicer1" hidden="1">#REF!</definedName>
    <definedName name="_pcSlicerSheet52_Slicer1" hidden="1">#REF!</definedName>
    <definedName name="_pcSlicerSheet53_Slicer1" hidden="1">#REF!</definedName>
    <definedName name="_pcSlicerSheet54_Slicer1" hidden="1">#REF!</definedName>
    <definedName name="_pcSlicerSheet55_Slicer1" hidden="1">#REF!</definedName>
    <definedName name="_pcSlicerSheet55_Slicer2" hidden="1">#REF!</definedName>
    <definedName name="_pcSlicerSheet56_Slicer1" hidden="1">#REF!</definedName>
    <definedName name="_pcSlicerSheet58_Slicer1" hidden="1">#REF!</definedName>
    <definedName name="_pcSlicerSheet59_Slicer1" hidden="1">#REF!</definedName>
    <definedName name="_pcSlicerSheet6_Slicer1" hidden="1">#REF!</definedName>
    <definedName name="_pcSlicerSheet6_Slicer2" hidden="1">#REF!</definedName>
    <definedName name="_pcSlicerSheet60_Slicer1" hidden="1">#REF!</definedName>
    <definedName name="_pcSlicerSheet61_Slicer1" hidden="1">#REF!</definedName>
    <definedName name="_pcSlicerSheet7_Slicer1" hidden="1">#REF!</definedName>
    <definedName name="_pcSlicerSheet7_Slicer2" hidden="1">#REF!</definedName>
    <definedName name="_pcSlicerSheet8_Slicer1" hidden="1">#REF!</definedName>
    <definedName name="_pcSlicerSheet8_Slicer2" hidden="1">#REF!</definedName>
    <definedName name="_pcSlicerSheet9_Slicer1" hidden="1">#REF!</definedName>
    <definedName name="_Sort" hidden="1">#REF!</definedName>
    <definedName name="a" localSheetId="2" hidden="1">{"SPM1",#N/A,FALSE,"RIEP"}</definedName>
    <definedName name="a" localSheetId="5" hidden="1">{"SPM1",#N/A,FALSE,"RIEP"}</definedName>
    <definedName name="a" hidden="1">{"SPM1",#N/A,FALSE,"RIEP"}</definedName>
    <definedName name="A_impresión_IM">#REF!</definedName>
    <definedName name="aaa" hidden="1">#REF!</definedName>
    <definedName name="aaaa" hidden="1">#REF!</definedName>
    <definedName name="aaaaa" localSheetId="2" hidden="1">{#N/A,#N/A,FALSE,"RIEP"}</definedName>
    <definedName name="aaaaa" localSheetId="5" hidden="1">{#N/A,#N/A,FALSE,"RIEP"}</definedName>
    <definedName name="aaaaa" hidden="1">{#N/A,#N/A,FALSE,"RIEP"}</definedName>
    <definedName name="aaaaaaaaaaaaaaaa" localSheetId="2" hidden="1">{#N/A,#N/A,FALSE,"RIEP"}</definedName>
    <definedName name="aaaaaaaaaaaaaaaa" localSheetId="5" hidden="1">{#N/A,#N/A,FALSE,"RIEP"}</definedName>
    <definedName name="aaaaaaaaaaaaaaaa" hidden="1">{#N/A,#N/A,FALSE,"RIEP"}</definedName>
    <definedName name="AASAS" localSheetId="2" hidden="1">{"QQQ",#N/A,FALSE,"RIEP"}</definedName>
    <definedName name="AASAS" localSheetId="5" hidden="1">{"QQQ",#N/A,FALSE,"RIEP"}</definedName>
    <definedName name="AASAS" hidden="1">{"QQQ",#N/A,FALSE,"RIEP"}</definedName>
    <definedName name="ADV" localSheetId="2" hidden="1">{#N/A,#N/A,TRUE,"ANALYSE";#N/A,#N/A,TRUE,"PM VOLUME";#N/A,#N/A,TRUE,"PM VALEUR";#N/A,#N/A,TRUE,"AR1";#N/A,#N/A,TRUE,"AR2";#N/A,#N/A,TRUE,"RAF";#N/A,#N/A,TRUE,"BILAN";#N/A,#N/A,TRUE,"CASH FLOW";#N/A,#N/A,TRUE,"ETAT FI"}</definedName>
    <definedName name="ADV" localSheetId="5" hidden="1">{#N/A,#N/A,TRUE,"ANALYSE";#N/A,#N/A,TRUE,"PM VOLUME";#N/A,#N/A,TRUE,"PM VALEUR";#N/A,#N/A,TRUE,"AR1";#N/A,#N/A,TRUE,"AR2";#N/A,#N/A,TRUE,"RAF";#N/A,#N/A,TRUE,"BILAN";#N/A,#N/A,TRUE,"CASH FLOW";#N/A,#N/A,TRUE,"ETAT FI"}</definedName>
    <definedName name="ADV" hidden="1">{#N/A,#N/A,TRUE,"ANALYSE";#N/A,#N/A,TRUE,"PM VOLUME";#N/A,#N/A,TRUE,"PM VALEUR";#N/A,#N/A,TRUE,"AR1";#N/A,#N/A,TRUE,"AR2";#N/A,#N/A,TRUE,"RAF";#N/A,#N/A,TRUE,"BILAN";#N/A,#N/A,TRUE,"CASH FLOW";#N/A,#N/A,TRUE,"ETAT FI"}</definedName>
    <definedName name="ana" localSheetId="2" hidden="1">{#N/A,#N/A,TRUE,"EC COMM-t";#N/A,#N/A,TRUE,"EC PAR PDTS-t";#N/A,#N/A,TRUE,"EC MAT-t";#N/A,#N/A,TRUE,"SUIVI HAUSSES-t"}</definedName>
    <definedName name="ana" localSheetId="5" hidden="1">{#N/A,#N/A,TRUE,"EC COMM-t";#N/A,#N/A,TRUE,"EC PAR PDTS-t";#N/A,#N/A,TRUE,"EC MAT-t";#N/A,#N/A,TRUE,"SUIVI HAUSSES-t"}</definedName>
    <definedName name="ana" hidden="1">{#N/A,#N/A,TRUE,"EC COMM-t";#N/A,#N/A,TRUE,"EC PAR PDTS-t";#N/A,#N/A,TRUE,"EC MAT-t";#N/A,#N/A,TRUE,"SUIVI HAUSSES-t"}</definedName>
    <definedName name="anscount" hidden="1">1</definedName>
    <definedName name="ardqer" localSheetId="2" hidden="1">{"SPM1",#N/A,FALSE,"RIEP"}</definedName>
    <definedName name="ardqer" localSheetId="5" hidden="1">{"SPM1",#N/A,FALSE,"RIEP"}</definedName>
    <definedName name="ardqer" hidden="1">{"SPM1",#N/A,FALSE,"RIEP"}</definedName>
    <definedName name="ASD" localSheetId="2" hidden="1">{"QQQ",#N/A,FALSE,"RIEP"}</definedName>
    <definedName name="ASD" localSheetId="5" hidden="1">{"QQQ",#N/A,FALSE,"RIEP"}</definedName>
    <definedName name="ASD" hidden="1">{"QQQ",#N/A,FALSE,"RIEP"}</definedName>
    <definedName name="ASDF" localSheetId="2" hidden="1">{#N/A,#N/A,FALSE,"RIEP"}</definedName>
    <definedName name="ASDF" localSheetId="5" hidden="1">{#N/A,#N/A,FALSE,"RIEP"}</definedName>
    <definedName name="ASDF" hidden="1">{#N/A,#N/A,FALSE,"RIEP"}</definedName>
    <definedName name="asdfas" localSheetId="2" hidden="1">{#N/A,#N/A,FALSE,"RIEP"}</definedName>
    <definedName name="asdfas" localSheetId="5" hidden="1">{#N/A,#N/A,FALSE,"RIEP"}</definedName>
    <definedName name="asdfas" hidden="1">{#N/A,#N/A,FALSE,"RIEP"}</definedName>
    <definedName name="aùsw" localSheetId="2" hidden="1">{"SPM1",#N/A,FALSE,"RIEP"}</definedName>
    <definedName name="aùsw" localSheetId="5" hidden="1">{"SPM1",#N/A,FALSE,"RIEP"}</definedName>
    <definedName name="aùsw" hidden="1">{"SPM1",#N/A,FALSE,"RIEP"}</definedName>
    <definedName name="bbbbb" localSheetId="2" hidden="1">{#N/A,#N/A,FALSE,"recap";#N/A,#N/A,FALSE,"matNeuf";#N/A,#N/A,FALSE,"matNdie";#N/A,#N/A,FALSE,"incNeuf";#N/A,#N/A,FALSE,"incNdie";#N/A,#N/A,FALSE,"volume";#N/A,#N/A,FALSE,"emballage";#N/A,#N/A,FALSE,"charge"}</definedName>
    <definedName name="bbbbb" localSheetId="5" hidden="1">{#N/A,#N/A,FALSE,"recap";#N/A,#N/A,FALSE,"matNeuf";#N/A,#N/A,FALSE,"matNdie";#N/A,#N/A,FALSE,"incNeuf";#N/A,#N/A,FALSE,"incNdie";#N/A,#N/A,FALSE,"volume";#N/A,#N/A,FALSE,"emballage";#N/A,#N/A,FALSE,"charge"}</definedName>
    <definedName name="bbbbb" hidden="1">{#N/A,#N/A,FALSE,"recap";#N/A,#N/A,FALSE,"matNeuf";#N/A,#N/A,FALSE,"matNdie";#N/A,#N/A,FALSE,"incNeuf";#N/A,#N/A,FALSE,"incNdie";#N/A,#N/A,FALSE,"volume";#N/A,#N/A,FALSE,"emballage";#N/A,#N/A,FALSE,"charge"}</definedName>
    <definedName name="bd">#REF!</definedName>
    <definedName name="bimes" localSheetId="2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bimes" localSheetId="5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bimes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bof">"ComboBox1"</definedName>
    <definedName name="byikbyuj" localSheetId="2" hidden="1">{"SPM1",#N/A,FALSE,"RIEP"}</definedName>
    <definedName name="byikbyuj" localSheetId="5" hidden="1">{"SPM1",#N/A,FALSE,"RIEP"}</definedName>
    <definedName name="byikbyuj" hidden="1">{"SPM1",#N/A,FALSE,"RIEP"}</definedName>
    <definedName name="byubtyuj" localSheetId="2" hidden="1">{"QQQ",#N/A,FALSE,"RIEP"}</definedName>
    <definedName name="byubtyuj" localSheetId="5" hidden="1">{"QQQ",#N/A,FALSE,"RIEP"}</definedName>
    <definedName name="byubtyuj" hidden="1">{"QQQ",#N/A,FALSE,"RIEP"}</definedName>
    <definedName name="byukkty" localSheetId="2" hidden="1">{#N/A,#N/A,FALSE,"RIEP"}</definedName>
    <definedName name="byukkty" localSheetId="5" hidden="1">{#N/A,#N/A,FALSE,"RIEP"}</definedName>
    <definedName name="byukkty" hidden="1">{#N/A,#N/A,FALSE,"RIEP"}</definedName>
    <definedName name="byuku" localSheetId="2" hidden="1">{#N/A,#N/A,FALSE,"RIEP"}</definedName>
    <definedName name="byuku" localSheetId="5" hidden="1">{#N/A,#N/A,FALSE,"RIEP"}</definedName>
    <definedName name="byuku" hidden="1">{#N/A,#N/A,FALSE,"RIEP"}</definedName>
    <definedName name="č" localSheetId="2" hidden="1">{"'domaće količine'!$K$34:$P$47"}</definedName>
    <definedName name="č" localSheetId="5" hidden="1">{"'domaće količine'!$K$34:$P$47"}</definedName>
    <definedName name="č" hidden="1">{"'domaće količine'!$K$34:$P$47"}</definedName>
    <definedName name="cc" localSheetId="2" hidden="1">{#N/A,#N/A,FALSE,"RIEP"}</definedName>
    <definedName name="cc" localSheetId="5" hidden="1">{#N/A,#N/A,FALSE,"RIEP"}</definedName>
    <definedName name="cc" hidden="1">{#N/A,#N/A,FALSE,"RIEP"}</definedName>
    <definedName name="ccc" localSheetId="2" hidden="1">{"SPM1",#N/A,FALSE,"RIEP"}</definedName>
    <definedName name="ccc" localSheetId="5" hidden="1">{"SPM1",#N/A,FALSE,"RIEP"}</definedName>
    <definedName name="ccc" hidden="1">{"SPM1",#N/A,FALSE,"RIEP"}</definedName>
    <definedName name="cccc" localSheetId="2" hidden="1">{"SPM1",#N/A,FALSE,"RIEP"}</definedName>
    <definedName name="cccc" localSheetId="5" hidden="1">{"SPM1",#N/A,FALSE,"RIEP"}</definedName>
    <definedName name="cccc" hidden="1">{"SPM1",#N/A,FALSE,"RIEP"}</definedName>
    <definedName name="CCSFDFRDF" localSheetId="2" hidden="1">{"SPM1",#N/A,FALSE,"RIEP"}</definedName>
    <definedName name="CCSFDFRDF" localSheetId="5" hidden="1">{"SPM1",#N/A,FALSE,"RIEP"}</definedName>
    <definedName name="CCSFDFRDF" hidden="1">{"SPM1",#N/A,FALSE,"RIEP"}</definedName>
    <definedName name="cdf" localSheetId="2" hidden="1">{"SPM1",#N/A,FALSE,"RIEP"}</definedName>
    <definedName name="cdf" localSheetId="5" hidden="1">{"SPM1",#N/A,FALSE,"RIEP"}</definedName>
    <definedName name="cdf" hidden="1">{"SPM1",#N/A,FALSE,"RIEP"}</definedName>
    <definedName name="CDVF" localSheetId="2" hidden="1">{"SPM1",#N/A,FALSE,"RIEP"}</definedName>
    <definedName name="CDVF" localSheetId="5" hidden="1">{"SPM1",#N/A,FALSE,"RIEP"}</definedName>
    <definedName name="CDVF" hidden="1">{"SPM1",#N/A,FALSE,"RIEP"}</definedName>
    <definedName name="copie" localSheetId="2" hidden="1">{#N/A,#N/A,TRUE,"ANALYSE";#N/A,#N/A,TRUE,"PM VOLUME";#N/A,#N/A,TRUE,"PM VALEUR";#N/A,#N/A,TRUE,"AR1";#N/A,#N/A,TRUE,"AR2";#N/A,#N/A,TRUE,"RAF";#N/A,#N/A,TRUE,"BILAN";#N/A,#N/A,TRUE,"CASH FLOW";#N/A,#N/A,TRUE,"ETAT FI"}</definedName>
    <definedName name="copie" localSheetId="5" hidden="1">{#N/A,#N/A,TRUE,"ANALYSE";#N/A,#N/A,TRUE,"PM VOLUME";#N/A,#N/A,TRUE,"PM VALEUR";#N/A,#N/A,TRUE,"AR1";#N/A,#N/A,TRUE,"AR2";#N/A,#N/A,TRUE,"RAF";#N/A,#N/A,TRUE,"BILAN";#N/A,#N/A,TRUE,"CASH FLOW";#N/A,#N/A,TRUE,"ETAT FI"}</definedName>
    <definedName name="copie" hidden="1">{#N/A,#N/A,TRUE,"ANALYSE";#N/A,#N/A,TRUE,"PM VOLUME";#N/A,#N/A,TRUE,"PM VALEUR";#N/A,#N/A,TRUE,"AR1";#N/A,#N/A,TRUE,"AR2";#N/A,#N/A,TRUE,"RAF";#N/A,#N/A,TRUE,"BILAN";#N/A,#N/A,TRUE,"CASH FLOW";#N/A,#N/A,TRUE,"ETAT FI"}</definedName>
    <definedName name="D" localSheetId="2" hidden="1">{#N/A,#N/A,FALSE,"RIEP"}</definedName>
    <definedName name="D" localSheetId="5" hidden="1">{#N/A,#N/A,FALSE,"RIEP"}</definedName>
    <definedName name="D" hidden="1">{#N/A,#N/A,FALSE,"RIEP"}</definedName>
    <definedName name="DAFreofè0eirfh" localSheetId="2" hidden="1">{"SPM1",#N/A,FALSE,"RIEP"}</definedName>
    <definedName name="DAFreofè0eirfh" localSheetId="5" hidden="1">{"SPM1",#N/A,FALSE,"RIEP"}</definedName>
    <definedName name="DAFreofè0eirfh" hidden="1">{"SPM1",#N/A,FALSE,"RIEP"}</definedName>
    <definedName name="dd">#REF!</definedName>
    <definedName name="DDD" localSheetId="2" hidden="1">{#N/A,#N/A,TRUE,"EC COMM-t";#N/A,#N/A,TRUE,"EC PAR PDTS-t";#N/A,#N/A,TRUE,"EC MAT-t";#N/A,#N/A,TRUE,"SUIVI HAUSSES-t"}</definedName>
    <definedName name="DDD" localSheetId="5" hidden="1">{#N/A,#N/A,TRUE,"EC COMM-t";#N/A,#N/A,TRUE,"EC PAR PDTS-t";#N/A,#N/A,TRUE,"EC MAT-t";#N/A,#N/A,TRUE,"SUIVI HAUSSES-t"}</definedName>
    <definedName name="DDD" hidden="1">{#N/A,#N/A,TRUE,"EC COMM-t";#N/A,#N/A,TRUE,"EC PAR PDTS-t";#N/A,#N/A,TRUE,"EC MAT-t";#N/A,#N/A,TRUE,"SUIVI HAUSSES-t"}</definedName>
    <definedName name="DDDDD" localSheetId="2" hidden="1">{"SPM1",#N/A,FALSE,"RIEP"}</definedName>
    <definedName name="DDDDD" localSheetId="5" hidden="1">{"SPM1",#N/A,FALSE,"RIEP"}</definedName>
    <definedName name="DDDDD" hidden="1">{"SPM1",#N/A,FALSE,"RIEP"}</definedName>
    <definedName name="ddddddd" localSheetId="2" hidden="1">{#N/A,#N/A,FALSE,"RIEP"}</definedName>
    <definedName name="ddddddd" localSheetId="5" hidden="1">{#N/A,#N/A,FALSE,"RIEP"}</definedName>
    <definedName name="ddddddd" hidden="1">{#N/A,#N/A,FALSE,"RIEP"}</definedName>
    <definedName name="ddjdjdj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djdjdj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djdjdj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fa" localSheetId="2" hidden="1">{"SPM1",#N/A,FALSE,"RIEP"}</definedName>
    <definedName name="dfa" localSheetId="5" hidden="1">{"SPM1",#N/A,FALSE,"RIEP"}</definedName>
    <definedName name="dfa" hidden="1">{"SPM1",#N/A,FALSE,"RIEP"}</definedName>
    <definedName name="DFda" localSheetId="2" hidden="1">{#N/A,#N/A,FALSE,"RIEP"}</definedName>
    <definedName name="DFda" localSheetId="5" hidden="1">{#N/A,#N/A,FALSE,"RIEP"}</definedName>
    <definedName name="DFda" hidden="1">{#N/A,#N/A,FALSE,"RIEP"}</definedName>
    <definedName name="DFRSFG" localSheetId="2" hidden="1">{"SPM1",#N/A,FALSE,"RIEP"}</definedName>
    <definedName name="DFRSFG" localSheetId="5" hidden="1">{"SPM1",#N/A,FALSE,"RIEP"}</definedName>
    <definedName name="DFRSFG" hidden="1">{"SPM1",#N/A,FALSE,"RIEP"}</definedName>
    <definedName name="djdjdjd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jdjdjd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jdjdj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qdqdqd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qdqdqd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qdqdq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RAGAN" localSheetId="2" hidden="1">{"'domaće količine'!$K$34:$P$47"}</definedName>
    <definedName name="DRAGAN" localSheetId="5" hidden="1">{"'domaće količine'!$K$34:$P$47"}</definedName>
    <definedName name="DRAGAN" hidden="1">{"'domaće količine'!$K$34:$P$47"}</definedName>
    <definedName name="draganć" localSheetId="2" hidden="1">{"'domaće količine'!$K$34:$P$47"}</definedName>
    <definedName name="draganć" localSheetId="5" hidden="1">{"'domaće količine'!$K$34:$P$47"}</definedName>
    <definedName name="draganć" hidden="1">{"'domaće količine'!$K$34:$P$47"}</definedName>
    <definedName name="DSFSDGFG" localSheetId="2" hidden="1">{"SPM1",#N/A,FALSE,"RIEP"}</definedName>
    <definedName name="DSFSDGFG" localSheetId="5" hidden="1">{"SPM1",#N/A,FALSE,"RIEP"}</definedName>
    <definedName name="DSFSDGFG" hidden="1">{"SPM1",#N/A,FALSE,"RIEP"}</definedName>
    <definedName name="dthrrr" localSheetId="2" hidden="1">{"SPM1",#N/A,FALSE,"RIEP"}</definedName>
    <definedName name="dthrrr" localSheetId="5" hidden="1">{"SPM1",#N/A,FALSE,"RIEP"}</definedName>
    <definedName name="dthrrr" hidden="1">{"SPM1",#N/A,FALSE,"RIEP"}</definedName>
    <definedName name="ECA" localSheetId="2" hidden="1">{#N/A,#N/A,FALSE,"ANALYSE";#N/A,#N/A,FALSE,"PM VALEUR"}</definedName>
    <definedName name="ECA" localSheetId="5" hidden="1">{#N/A,#N/A,FALSE,"ANALYSE";#N/A,#N/A,FALSE,"PM VALEUR"}</definedName>
    <definedName name="ECA" hidden="1">{#N/A,#N/A,FALSE,"ANALYSE";#N/A,#N/A,FALSE,"PM VALEUR"}</definedName>
    <definedName name="ECARTBM" localSheetId="2" hidden="1">{"DETAIL",#N/A,FALSE,"REELBUDGET";"TOTAL",#N/A,FALSE,"REELBUDGET"}</definedName>
    <definedName name="ECARTBM" localSheetId="5" hidden="1">{"DETAIL",#N/A,FALSE,"REELBUDGET";"TOTAL",#N/A,FALSE,"REELBUDGET"}</definedName>
    <definedName name="ECARTBM" hidden="1">{"DETAIL",#N/A,FALSE,"REELBUDGET";"TOTAL",#N/A,FALSE,"REELBUDGET"}</definedName>
    <definedName name="eeeee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eeee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eee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erreerr" hidden="1">#REF!</definedName>
    <definedName name="efazefze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fazefze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fazefz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ethrer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ethrer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ethr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e" localSheetId="2" hidden="1">{"QQQ",#N/A,FALSE,"RIEP"}</definedName>
    <definedName name="ere" localSheetId="5" hidden="1">{"QQQ",#N/A,FALSE,"RIEP"}</definedName>
    <definedName name="ere" hidden="1">{"QQQ",#N/A,FALSE,"RIEP"}</definedName>
    <definedName name="ertetq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e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e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rt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rt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r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t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t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ssLatest">"JAN"</definedName>
    <definedName name="EssLatest_10">"JAN"</definedName>
    <definedName name="EssLatest_11">"JAN"</definedName>
    <definedName name="EssLatest_12">"JAN"</definedName>
    <definedName name="EssLatest_13">"JAN"</definedName>
    <definedName name="EssLatest_14">"JAN"</definedName>
    <definedName name="EssLatest_15">"JAN"</definedName>
    <definedName name="EssLatest_16">"JAN"</definedName>
    <definedName name="EssLatest_18">"JAN"</definedName>
    <definedName name="EssLatest_2">"JANN0"</definedName>
    <definedName name="EssLatest_20">"YTDMM01"</definedName>
    <definedName name="EssLatest_25">"YTDMM01"</definedName>
    <definedName name="EssLatest_26">"YTDMM01"</definedName>
    <definedName name="EssLatest_3">"JANN0"</definedName>
    <definedName name="EssLatest_38">"JAN"</definedName>
    <definedName name="EssLatest_39">"JAN"</definedName>
    <definedName name="EssLatest_4">"JANN0"</definedName>
    <definedName name="EssLatest_47">"JAN"</definedName>
    <definedName name="EssLatest_48">"JAN"</definedName>
    <definedName name="EssLatest_5">"JANN0"</definedName>
    <definedName name="EssLatest_6">"YTDMM01"</definedName>
    <definedName name="EssLatest_7">"YTDMM01"</definedName>
    <definedName name="EssLatest_8">"YTDMM01"</definedName>
    <definedName name="EssLatest_9">"JAN"</definedName>
    <definedName name="EssOptions_10">"A3000001100130001011001101020_01 00"</definedName>
    <definedName name="EssOptions_11">"A3000001100130001011001101020_01 00"</definedName>
    <definedName name="EssOptions_12">"A3000001100130001011001101020_01 00"</definedName>
    <definedName name="EssOptions_13">"A3000001100130001011001101020_01 00"</definedName>
    <definedName name="EssOptions_14">"A3000001100130001011001101020_01 00"</definedName>
    <definedName name="EssOptions_15">"A3000001100130001011001101020_01 00"</definedName>
    <definedName name="EssOptions_16">"A3000001100130001011001101020_01 00"</definedName>
    <definedName name="EssOptions_18">"A3000001100130001011001101020_01 00"</definedName>
    <definedName name="EssOptions_2">"A1100000010121000011001111120_01000"</definedName>
    <definedName name="EssOptions_20">"A3100000000110001011011111020_01000"</definedName>
    <definedName name="EssOptions_25">"A3100000000130000000011100020_01000"</definedName>
    <definedName name="EssOptions_26">"A3100000000110001011011111020_01000"</definedName>
    <definedName name="EssOptions_3">"A1100000010121000011001111120_01000"</definedName>
    <definedName name="EssOptions_38">"A1100000000131000011001101020_01000"</definedName>
    <definedName name="EssOptions_39">"A1100000000131000011001101020_01000"</definedName>
    <definedName name="EssOptions_4">"A1100000010121000011001111120_01000"</definedName>
    <definedName name="EssOptions_47">"A1100000000131000011001101020_01000"</definedName>
    <definedName name="EssOptions_48">"A1100000000131000011001101020_01000"</definedName>
    <definedName name="EssOptions_5">"A1100000010121000011001111120_01000"</definedName>
    <definedName name="EssOptions_6">"A3100000000110001011011111020_01000"</definedName>
    <definedName name="EssOptions_7">"A3100001100110001011011111020_01000"</definedName>
    <definedName name="EssOptions_8">"A3100000000110001011011111020_01000"</definedName>
    <definedName name="EssOptions_9">"A3000001100130001011001101020_01 00"</definedName>
    <definedName name="EST_salida_salado">'Estándar técnico'!$B$4</definedName>
    <definedName name="ESTEROPARAFF">#REF!</definedName>
    <definedName name="ESTEROPLAST">#REF!</definedName>
    <definedName name="ExactAddinConnection" hidden="1">"900"</definedName>
    <definedName name="ExactAddinConnection.900" hidden="1">"SRVSQLCZ;900;skubistova;1"</definedName>
    <definedName name="ExactAddinReports" hidden="1">1</definedName>
    <definedName name="EXCEL" localSheetId="2" hidden="1">{"'domaće količine'!$K$34:$P$47"}</definedName>
    <definedName name="EXCEL" localSheetId="5" hidden="1">{"'domaće količine'!$K$34:$P$47"}</definedName>
    <definedName name="EXCEL" hidden="1">{"'domaće količine'!$K$34:$P$47"}</definedName>
    <definedName name="ezfzef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zfzef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z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azefzef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azefzef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aze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DDSFDSGF" localSheetId="2" hidden="1">{#N/A,#N/A,FALSE,"RIEP"}</definedName>
    <definedName name="FDDSFDSGF" localSheetId="5" hidden="1">{#N/A,#N/A,FALSE,"RIEP"}</definedName>
    <definedName name="FDDSFDSGF" hidden="1">{#N/A,#N/A,FALSE,"RIEP"}</definedName>
    <definedName name="fdsdsgfsggd" localSheetId="2" hidden="1">{#N/A,#N/A,FALSE,"DIVISION";#N/A,#N/A,FALSE,"ED CAT";#N/A,#N/A,FALSE,"ED CAREL";#N/A,#N/A,FALSE,"ED JORT";#N/A,#N/A,FALSE,"ED VEYS";#N/A,#N/A,FALSE,"ED ORBEC";#N/A,#N/A,FALSE,"ED CLECY"}</definedName>
    <definedName name="fdsdsgfsggd" localSheetId="5" hidden="1">{#N/A,#N/A,FALSE,"DIVISION";#N/A,#N/A,FALSE,"ED CAT";#N/A,#N/A,FALSE,"ED CAREL";#N/A,#N/A,FALSE,"ED JORT";#N/A,#N/A,FALSE,"ED VEYS";#N/A,#N/A,FALSE,"ED ORBEC";#N/A,#N/A,FALSE,"ED CLECY"}</definedName>
    <definedName name="fdsdsgfsggd" hidden="1">{#N/A,#N/A,FALSE,"DIVISION";#N/A,#N/A,FALSE,"ED CAT";#N/A,#N/A,FALSE,"ED CAREL";#N/A,#N/A,FALSE,"ED JORT";#N/A,#N/A,FALSE,"ED VEYS";#N/A,#N/A,FALSE,"ED ORBEC";#N/A,#N/A,FALSE,"ED CLECY"}</definedName>
    <definedName name="fdzfzefzef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dzfzefzef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dzfze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azefzaef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azefzaef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azefza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e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e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w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w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ffffff" localSheetId="2" hidden="1">{"QQQ",#N/A,FALSE,"RIEP"}</definedName>
    <definedName name="ffffffffff" localSheetId="5" hidden="1">{"QQQ",#N/A,FALSE,"RIEP"}</definedName>
    <definedName name="ffffffffff" hidden="1">{"QQQ",#N/A,FALSE,"RIEP"}</definedName>
    <definedName name="fg" localSheetId="2" hidden="1">{#N/A,#N/A,FALSE,"RIEP"}</definedName>
    <definedName name="fg" localSheetId="5" hidden="1">{#N/A,#N/A,FALSE,"RIEP"}</definedName>
    <definedName name="fg" hidden="1">{#N/A,#N/A,FALSE,"RIEP"}</definedName>
    <definedName name="fgffg" localSheetId="2" hidden="1">{#N/A,#N/A,FALSE,"RIEP"}</definedName>
    <definedName name="fgffg" localSheetId="5" hidden="1">{#N/A,#N/A,FALSE,"RIEP"}</definedName>
    <definedName name="fgffg" hidden="1">{#N/A,#N/A,FALSE,"RIEP"}</definedName>
    <definedName name="FSDG" localSheetId="2" hidden="1">{#N/A,#N/A,FALSE,"RIEP"}</definedName>
    <definedName name="FSDG" localSheetId="5" hidden="1">{#N/A,#N/A,FALSE,"RIEP"}</definedName>
    <definedName name="FSDG" hidden="1">{#N/A,#N/A,FALSE,"RIEP"}</definedName>
    <definedName name="fterearez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terearez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tereare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zfzfef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zfzfef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zfzf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BP">'[6]Nrj présentat°'!$AR$2</definedName>
    <definedName name="gegege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egege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egeg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F" hidden="1">[7]ACTIVITE!#REF!</definedName>
    <definedName name="gfhkkmh" localSheetId="2" hidden="1">{#N/A,#N/A,FALSE,"RIEP"}</definedName>
    <definedName name="gfhkkmh" localSheetId="5" hidden="1">{#N/A,#N/A,FALSE,"RIEP"}</definedName>
    <definedName name="gfhkkmh" hidden="1">{#N/A,#N/A,FALSE,"RIEP"}</definedName>
    <definedName name="GG" hidden="1">[7]ACTIVITE!#REF!</definedName>
    <definedName name="GGGG" localSheetId="2" hidden="1">{"SPM1",#N/A,FALSE,"RIEP"}</definedName>
    <definedName name="GGGG" localSheetId="5" hidden="1">{"SPM1",#N/A,FALSE,"RIEP"}</definedName>
    <definedName name="GGGG" hidden="1">{"SPM1",#N/A,FALSE,"RIEP"}</definedName>
    <definedName name="ggggg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gggg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ggg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gggggggggg" localSheetId="2" hidden="1">{"QQQ",#N/A,FALSE,"RIEP"}</definedName>
    <definedName name="ggggggggggg" localSheetId="5" hidden="1">{"QQQ",#N/A,FALSE,"RIEP"}</definedName>
    <definedName name="ggggggggggg" hidden="1">{"QQQ",#N/A,FALSE,"RIEP"}</definedName>
    <definedName name="GHJ" localSheetId="2" hidden="1">{"SPM1",#N/A,FALSE,"RIEP"}</definedName>
    <definedName name="GHJ" localSheetId="5" hidden="1">{"SPM1",#N/A,FALSE,"RIEP"}</definedName>
    <definedName name="GHJ" hidden="1">{"SPM1",#N/A,FALSE,"RIEP"}</definedName>
    <definedName name="gsdgsd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sdgsd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sdgs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gtrg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gtrg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gtr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ztrgr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ztrgr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ztrg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tzgz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tzgz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tzg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gt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gt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rtrg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rtrg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rtr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zgt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zgt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bhajx" localSheetId="2" hidden="1">{"SPM1",#N/A,FALSE,"RIEP"}</definedName>
    <definedName name="hbhajx" localSheetId="5" hidden="1">{"SPM1",#N/A,FALSE,"RIEP"}</definedName>
    <definedName name="hbhajx" hidden="1">{"SPM1",#N/A,FALSE,"RIEP"}</definedName>
    <definedName name="hfderfPOURE" localSheetId="2" hidden="1">{#N/A,#N/A,FALSE,"RIEP"}</definedName>
    <definedName name="hfderfPOURE" localSheetId="5" hidden="1">{#N/A,#N/A,FALSE,"RIEP"}</definedName>
    <definedName name="hfderfPOURE" hidden="1">{#N/A,#N/A,FALSE,"RIEP"}</definedName>
    <definedName name="hfhfth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fhfth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fhft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g" localSheetId="2" hidden="1">{"QQQ",#N/A,FALSE,"RIEP"}</definedName>
    <definedName name="hg" localSheetId="5" hidden="1">{"QQQ",#N/A,FALSE,"RIEP"}</definedName>
    <definedName name="hg" hidden="1">{"QQQ",#N/A,FALSE,"RIEP"}</definedName>
    <definedName name="hhfxhxfh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hfxhxfh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hfxhxf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hhh" localSheetId="2" hidden="1">{"QQQ",#N/A,FALSE,"RIEP"}</definedName>
    <definedName name="hhhh" localSheetId="5" hidden="1">{"QQQ",#N/A,FALSE,"RIEP"}</definedName>
    <definedName name="hhhh" hidden="1">{"QQQ",#N/A,FALSE,"RIEP"}</definedName>
    <definedName name="hhhhhhh" localSheetId="2" hidden="1">{"SPM1",#N/A,FALSE,"RIEP"}</definedName>
    <definedName name="hhhhhhh" localSheetId="5" hidden="1">{"SPM1",#N/A,FALSE,"RIEP"}</definedName>
    <definedName name="hhhhhhh" hidden="1">{"SPM1",#N/A,FALSE,"RIEP"}</definedName>
    <definedName name="HTML_CodePage" hidden="1">1250</definedName>
    <definedName name="HTML_Control" localSheetId="2" hidden="1">{"'domaće količine'!$K$34:$P$47"}</definedName>
    <definedName name="HTML_Control" localSheetId="5" hidden="1">{"'domaće količine'!$K$34:$P$47"}</definedName>
    <definedName name="HTML_Control" hidden="1">{"'domaće količine'!$K$34:$P$47"}</definedName>
    <definedName name="HTML_Description" hidden="1">""</definedName>
    <definedName name="HTML_Email" hidden="1">""</definedName>
    <definedName name="HTML_Header" hidden="1">"domaće količine"</definedName>
    <definedName name="HTML_LastUpdate" hidden="1">"27.03.2001"</definedName>
    <definedName name="HTML_LineAfter" hidden="1">FALSE</definedName>
    <definedName name="HTML_LineBefore" hidden="1">FALSE</definedName>
    <definedName name="HTML_Name" hidden="1">"Informatika"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"Moja PRODAJA  II VELJAČA '2001"</definedName>
    <definedName name="hzthzhr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zthzhr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zthzh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ii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ii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i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RI_WorkspaceId" hidden="1">"bc7b7ef8a7ba454b9c6b30466fcd76e0"</definedName>
    <definedName name="ITAPLASPIC">#REF!</definedName>
    <definedName name="IZVQ01" localSheetId="2" hidden="1">{"'domaće količine'!$K$34:$P$47"}</definedName>
    <definedName name="IZVQ01" localSheetId="5" hidden="1">{"'domaće količine'!$K$34:$P$47"}</definedName>
    <definedName name="IZVQ01" hidden="1">{"'domaće količine'!$K$34:$P$47"}</definedName>
    <definedName name="j" localSheetId="2" hidden="1">{"SPM1",#N/A,FALSE,"RIEP"}</definedName>
    <definedName name="j" localSheetId="5" hidden="1">{"SPM1",#N/A,FALSE,"RIEP"}</definedName>
    <definedName name="j" hidden="1">{"SPM1",#N/A,FALSE,"RIEP"}</definedName>
    <definedName name="jcjfjfjjf" localSheetId="2" hidden="1">{#N/A,#N/A,FALSE,"RIEP"}</definedName>
    <definedName name="jcjfjfjjf" localSheetId="5" hidden="1">{#N/A,#N/A,FALSE,"RIEP"}</definedName>
    <definedName name="jcjfjfjjf" hidden="1">{#N/A,#N/A,FALSE,"RIEP"}</definedName>
    <definedName name="jdjdjdj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jdjdjdj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jdjdjdj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jej" localSheetId="2" hidden="1">{#N/A,#N/A,TRUE,"EC COMM-t";#N/A,#N/A,TRUE,"EC PAR PDTS-t";#N/A,#N/A,TRUE,"EC MAT-t";#N/A,#N/A,TRUE,"SUIVI HAUSSES-t"}</definedName>
    <definedName name="jej" localSheetId="5" hidden="1">{#N/A,#N/A,TRUE,"EC COMM-t";#N/A,#N/A,TRUE,"EC PAR PDTS-t";#N/A,#N/A,TRUE,"EC MAT-t";#N/A,#N/A,TRUE,"SUIVI HAUSSES-t"}</definedName>
    <definedName name="jej" hidden="1">{#N/A,#N/A,TRUE,"EC COMM-t";#N/A,#N/A,TRUE,"EC PAR PDTS-t";#N/A,#N/A,TRUE,"EC MAT-t";#N/A,#N/A,TRUE,"SUIVI HAUSSES-t"}</definedName>
    <definedName name="jjfhfh" localSheetId="2" hidden="1">{"QQQ",#N/A,FALSE,"RIEP"}</definedName>
    <definedName name="jjfhfh" localSheetId="5" hidden="1">{"QQQ",#N/A,FALSE,"RIEP"}</definedName>
    <definedName name="jjfhfh" hidden="1">{"QQQ",#N/A,FALSE,"RIEP"}</definedName>
    <definedName name="jjj" localSheetId="2" hidden="1">{"SPM1",#N/A,FALSE,"RIEP"}</definedName>
    <definedName name="jjj" localSheetId="5" hidden="1">{"SPM1",#N/A,FALSE,"RIEP"}</definedName>
    <definedName name="jjj" hidden="1">{"SPM1",#N/A,FALSE,"RIEP"}</definedName>
    <definedName name="jjjjj" localSheetId="2" hidden="1">{"SPM1",#N/A,FALSE,"RIEP"}</definedName>
    <definedName name="jjjjj" localSheetId="5" hidden="1">{"SPM1",#N/A,FALSE,"RIEP"}</definedName>
    <definedName name="jjjjj" hidden="1">{"SPM1",#N/A,FALSE,"RIEP"}</definedName>
    <definedName name="kfkfkfk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fkfkfk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fkfkf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fkfkfkfkkf" localSheetId="2" hidden="1">{#N/A,#N/A,FALSE,"RIEP"}</definedName>
    <definedName name="kfkfkfkfkkf" localSheetId="5" hidden="1">{#N/A,#N/A,FALSE,"RIEP"}</definedName>
    <definedName name="kfkfkfkfkkf" hidden="1">{#N/A,#N/A,FALSE,"RIEP"}</definedName>
    <definedName name="khkhkhk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hkhk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hkh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k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k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irirtir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irirtir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irirti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jfsoyiupo6rhtgz" localSheetId="2" hidden="1">{#N/A,#N/A,FALSE,"RIEP"}</definedName>
    <definedName name="kjfsoyiupo6rhtgz" localSheetId="5" hidden="1">{#N/A,#N/A,FALSE,"RIEP"}</definedName>
    <definedName name="kjfsoyiupo6rhtgz" hidden="1">{#N/A,#N/A,FALSE,"RIEP"}</definedName>
    <definedName name="kjhjhkjh" localSheetId="2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kjhjhkjh" localSheetId="5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kjhjhkjh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kk" localSheetId="2" hidden="1">{#N/A,#N/A,FALSE,"RIEP"}</definedName>
    <definedName name="kk" localSheetId="5" hidden="1">{#N/A,#N/A,FALSE,"RIEP"}</definedName>
    <definedName name="kk" hidden="1">{#N/A,#N/A,FALSE,"RIEP"}</definedName>
    <definedName name="kkkkk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kkkk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kk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LLL" localSheetId="2" hidden="1">{"QQQ",#N/A,FALSE,"RIEP"}</definedName>
    <definedName name="LLL" localSheetId="5" hidden="1">{"QQQ",#N/A,FALSE,"RIEP"}</definedName>
    <definedName name="LLL" hidden="1">{"QQQ",#N/A,FALSE,"RIEP"}</definedName>
    <definedName name="m" localSheetId="2" hidden="1">{"'domaće količine'!$K$34:$P$47"}</definedName>
    <definedName name="m" localSheetId="5" hidden="1">{"'domaće količine'!$K$34:$P$47"}</definedName>
    <definedName name="m" hidden="1">{"'domaće količine'!$K$34:$P$47"}</definedName>
    <definedName name="MARTESANA">#REF!</definedName>
    <definedName name="MG_salida_salado">'Estándar técnico'!$B$5</definedName>
    <definedName name="minnii" localSheetId="2" hidden="1">{"SPM1",#N/A,FALSE,"RIEP"}</definedName>
    <definedName name="minnii" localSheetId="5" hidden="1">{"SPM1",#N/A,FALSE,"RIEP"}</definedName>
    <definedName name="minnii" hidden="1">{"SPM1",#N/A,FALSE,"RIEP"}</definedName>
    <definedName name="MOIS">[8]Grille!$B$3:$C$14</definedName>
    <definedName name="Month_No.">7</definedName>
    <definedName name="nico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ico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ico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1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1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ñ" hidden="1">#REF!</definedName>
    <definedName name="ño" localSheetId="2" hidden="1">{"SPM1",#N/A,FALSE,"RIEP"}</definedName>
    <definedName name="ño" localSheetId="5" hidden="1">{"SPM1",#N/A,FALSE,"RIEP"}</definedName>
    <definedName name="ño" hidden="1">{"SPM1",#N/A,FALSE,"RIEP"}</definedName>
    <definedName name="ODRŽ." localSheetId="2" hidden="1">{"'domaće količine'!$K$34:$P$47"}</definedName>
    <definedName name="ODRŽ." localSheetId="5" hidden="1">{"'domaće količine'!$K$34:$P$47"}</definedName>
    <definedName name="ODRŽ." hidden="1">{"'domaće količine'!$K$34:$P$47"}</definedName>
    <definedName name="òflfgfppfpf" localSheetId="2" hidden="1">{"SPM1",#N/A,FALSE,"RIEP"}</definedName>
    <definedName name="òflfgfppfpf" localSheetId="5" hidden="1">{"SPM1",#N/A,FALSE,"RIEP"}</definedName>
    <definedName name="òflfgfppfpf" hidden="1">{"SPM1",#N/A,FALSE,"RIEP"}</definedName>
    <definedName name="OIOIIUIUG" localSheetId="2" hidden="1">{"SPM1",#N/A,FALSE,"RIEP"}</definedName>
    <definedName name="OIOIIUIUG" localSheetId="5" hidden="1">{"SPM1",#N/A,FALSE,"RIEP"}</definedName>
    <definedName name="OIOIIUIUG" hidden="1">{"SPM1",#N/A,FALSE,"RIEP"}</definedName>
    <definedName name="ooo" localSheetId="2" hidden="1">{"QQQ",#N/A,FALSE,"RIEP"}</definedName>
    <definedName name="ooo" localSheetId="5" hidden="1">{"QQQ",#N/A,FALSE,"RIEP"}</definedName>
    <definedName name="ooo" hidden="1">{"QQQ",#N/A,FALSE,"RIEP"}</definedName>
    <definedName name="oooooo" localSheetId="2" hidden="1">{#N/A,#N/A,FALSE,"RIEP"}</definedName>
    <definedName name="oooooo" localSheetId="5" hidden="1">{#N/A,#N/A,FALSE,"RIEP"}</definedName>
    <definedName name="oooooo" hidden="1">{#N/A,#N/A,FALSE,"RIEP"}</definedName>
    <definedName name="P_HostName">#REF!</definedName>
    <definedName name="P_ServerName">#REF!</definedName>
    <definedName name="pippo" localSheetId="2" hidden="1">{#N/A,#N/A,FALSE,"RIEP"}</definedName>
    <definedName name="pippo" localSheetId="5" hidden="1">{#N/A,#N/A,FALSE,"RIEP"}</definedName>
    <definedName name="pippo" hidden="1">{#N/A,#N/A,FALSE,"RIEP"}</definedName>
    <definedName name="pluto" localSheetId="2" hidden="1">{"SPM1",#N/A,FALSE,"RIEP"}</definedName>
    <definedName name="pluto" localSheetId="5" hidden="1">{"SPM1",#N/A,FALSE,"RIEP"}</definedName>
    <definedName name="pluto" hidden="1">{"SPM1",#N/A,FALSE,"RIEP"}</definedName>
    <definedName name="PO" localSheetId="2" hidden="1">{"QQQ",#N/A,FALSE,"RIEP"}</definedName>
    <definedName name="PO" localSheetId="5" hidden="1">{"QQQ",#N/A,FALSE,"RIEP"}</definedName>
    <definedName name="PO" hidden="1">{"QQQ",#N/A,FALSE,"RIEP"}</definedName>
    <definedName name="poùH" localSheetId="2" hidden="1">{#N/A,#N/A,FALSE,"RIEP"}</definedName>
    <definedName name="poùH" localSheetId="5" hidden="1">{#N/A,#N/A,FALSE,"RIEP"}</definedName>
    <definedName name="poùH" hidden="1">{#N/A,#N/A,FALSE,"RIEP"}</definedName>
    <definedName name="ppp" localSheetId="2" hidden="1">{"QQQ",#N/A,FALSE,"RIEP"}</definedName>
    <definedName name="ppp" localSheetId="5" hidden="1">{"QQQ",#N/A,FALSE,"RIEP"}</definedName>
    <definedName name="ppp" hidden="1">{"QQQ",#N/A,FALSE,"RIEP"}</definedName>
    <definedName name="PROD." localSheetId="2" hidden="1">{"'domaće količine'!$K$34:$P$47"}</definedName>
    <definedName name="PROD." localSheetId="5" hidden="1">{"'domaće količine'!$K$34:$P$47"}</definedName>
    <definedName name="PROD." hidden="1">{"'domaće količine'!$K$34:$P$47"}</definedName>
    <definedName name="prw" localSheetId="2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prw" localSheetId="5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prw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QQQQQQQQQQQQ" localSheetId="2" hidden="1">{#N/A,#N/A,FALSE,"RIEP"}</definedName>
    <definedName name="QQQQQQQQQQQQ" localSheetId="5" hidden="1">{#N/A,#N/A,FALSE,"RIEP"}</definedName>
    <definedName name="QQQQQQQQQQQQ" hidden="1">{#N/A,#N/A,FALSE,"RIEP"}</definedName>
    <definedName name="qw" localSheetId="2" hidden="1">{#N/A,#N/A,FALSE,"RIEP"}</definedName>
    <definedName name="qw" localSheetId="5" hidden="1">{#N/A,#N/A,FALSE,"RIEP"}</definedName>
    <definedName name="qw" hidden="1">{#N/A,#N/A,FALSE,"RIEP"}</definedName>
    <definedName name="reter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eter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et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geegeqg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geegeqg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geegeq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rrrrr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rrrrr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rrrr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eqtq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eqtq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eqt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gtgrzg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gtgrzg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gtgrz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herrh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herrh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herr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q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q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a" hidden="1">#REF!</definedName>
    <definedName name="SAPBEXrevision" hidden="1">3</definedName>
    <definedName name="SAPBEXsysID" hidden="1">"BPP"</definedName>
    <definedName name="SAPBEXwbID" hidden="1">"4GNIIN8XAB6OYSDJFHQ7XQLUA"</definedName>
    <definedName name="sd" localSheetId="2" hidden="1">{"SPM1",#N/A,FALSE,"RIEP"}</definedName>
    <definedName name="sd" localSheetId="5" hidden="1">{"SPM1",#N/A,FALSE,"RIEP"}</definedName>
    <definedName name="sd" hidden="1">{"SPM1",#N/A,FALSE,"RIEP"}</definedName>
    <definedName name="SDFDSJF" localSheetId="2" hidden="1">{#N/A,#N/A,FALSE,"RIEP"}</definedName>
    <definedName name="SDFDSJF" localSheetId="5" hidden="1">{#N/A,#N/A,FALSE,"RIEP"}</definedName>
    <definedName name="SDFDSJF" hidden="1">{#N/A,#N/A,FALSE,"RIEP"}</definedName>
    <definedName name="sdsd" localSheetId="2" hidden="1">{"SPM1",#N/A,FALSE,"RIEP"}</definedName>
    <definedName name="sdsd" localSheetId="5" hidden="1">{"SPM1",#N/A,FALSE,"RIEP"}</definedName>
    <definedName name="sdsd" hidden="1">{"SPM1",#N/A,FALSE,"RIEP"}</definedName>
    <definedName name="SEDSDS" localSheetId="2" hidden="1">{#N/A,#N/A,FALSE,"RIEP"}</definedName>
    <definedName name="SEDSDS" localSheetId="5" hidden="1">{#N/A,#N/A,FALSE,"RIEP"}</definedName>
    <definedName name="SEDSDS" hidden="1">{#N/A,#N/A,FALSE,"RIEP"}</definedName>
    <definedName name="sencount" hidden="1">1</definedName>
    <definedName name="SSSADADSF" localSheetId="2" hidden="1">{"SPM1",#N/A,FALSE,"RIEP"}</definedName>
    <definedName name="SSSADADSF" localSheetId="5" hidden="1">{"SPM1",#N/A,FALSE,"RIEP"}</definedName>
    <definedName name="SSSADADSF" hidden="1">{"SPM1",#N/A,FALSE,"RIEP"}</definedName>
    <definedName name="ssss" hidden="1">#REF!</definedName>
    <definedName name="sssssss" localSheetId="2" hidden="1">{#N/A,#N/A,FALSE,"RIEP"}</definedName>
    <definedName name="sssssss" localSheetId="5" hidden="1">{#N/A,#N/A,FALSE,"RIEP"}</definedName>
    <definedName name="sssssss" hidden="1">{#N/A,#N/A,FALSE,"RIEP"}</definedName>
    <definedName name="ssssssssssssssssssssssssss" localSheetId="2" hidden="1">{"QQQ",#N/A,FALSE,"RIEP"}</definedName>
    <definedName name="ssssssssssssssssssssssssss" localSheetId="5" hidden="1">{"QQQ",#N/A,FALSE,"RIEP"}</definedName>
    <definedName name="ssssssssssssssssssssssssss" hidden="1">{"QQQ",#N/A,FALSE,"RIEP"}</definedName>
    <definedName name="stsrhs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tsrhs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tsrhs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weden" localSheetId="2" hidden="1">{#N/A,#N/A,FALSE,"RIEP"}</definedName>
    <definedName name="Sweden" localSheetId="5" hidden="1">{#N/A,#N/A,FALSE,"RIEP"}</definedName>
    <definedName name="Sweden" hidden="1">{#N/A,#N/A,FALSE,"RIEP"}</definedName>
    <definedName name="t" localSheetId="2" hidden="1">{"QQQ",#N/A,FALSE,"RIEP"}</definedName>
    <definedName name="t" localSheetId="5" hidden="1">{"QQQ",#N/A,FALSE,"RIEP"}</definedName>
    <definedName name="t" hidden="1">{"QQQ",#N/A,FALSE,"RIEP"}</definedName>
    <definedName name="T04CC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04CC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04CC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79oto97t" localSheetId="2" hidden="1">{#N/A,#N/A,FALSE,"RIEP"}</definedName>
    <definedName name="t79oto97t" localSheetId="5" hidden="1">{#N/A,#N/A,FALSE,"RIEP"}</definedName>
    <definedName name="t79oto97t" hidden="1">{#N/A,#N/A,FALSE,"RIEP"}</definedName>
    <definedName name="t7u74u" localSheetId="2" hidden="1">{"QQQ",#N/A,FALSE,"RIEP"}</definedName>
    <definedName name="t7u74u" localSheetId="5" hidden="1">{"QQQ",#N/A,FALSE,"RIEP"}</definedName>
    <definedName name="t7u74u" hidden="1">{"QQQ",#N/A,FALSE,"RIEP"}</definedName>
    <definedName name="t7u75" localSheetId="2" hidden="1">{"SPM1",#N/A,FALSE,"RIEP"}</definedName>
    <definedName name="t7u75" localSheetId="5" hidden="1">{"SPM1",#N/A,FALSE,"RIEP"}</definedName>
    <definedName name="t7u75" hidden="1">{"SPM1",#N/A,FALSE,"RIEP"}</definedName>
    <definedName name="t7ur7u" localSheetId="2" hidden="1">{#N/A,#N/A,FALSE,"RIEP"}</definedName>
    <definedName name="t7ur7u" localSheetId="5" hidden="1">{#N/A,#N/A,FALSE,"RIEP"}</definedName>
    <definedName name="t7ur7u" hidden="1">{#N/A,#N/A,FALSE,"RIEP"}</definedName>
    <definedName name="tgfcvds" localSheetId="2" hidden="1">{#N/A,#N/A,FALSE,"RIEP"}</definedName>
    <definedName name="tgfcvds" localSheetId="5" hidden="1">{#N/A,#N/A,FALSE,"RIEP"}</definedName>
    <definedName name="tgfcvds" hidden="1">{#N/A,#N/A,FALSE,"RIEP"}</definedName>
    <definedName name="tgrgg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rgg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rg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zgtgrrz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zgtgrrz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zgtgrr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ertherth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ertherth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erthert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zsrhrzhtz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zsrhrzhtz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zsrhrzht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ikl679o679o" localSheetId="2" hidden="1">{#N/A,#N/A,FALSE,"RIEP"}</definedName>
    <definedName name="tikl679o679o" localSheetId="5" hidden="1">{#N/A,#N/A,FALSE,"RIEP"}</definedName>
    <definedName name="tikl679o679o" hidden="1">{#N/A,#N/A,FALSE,"RIEP"}</definedName>
    <definedName name="TM1REBUILDOPTION">0</definedName>
    <definedName name="toma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oma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om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rjk5i57" localSheetId="2" hidden="1">{"SPM1",#N/A,FALSE,"RIEP"}</definedName>
    <definedName name="trjk5i57" localSheetId="5" hidden="1">{"SPM1",#N/A,FALSE,"RIEP"}</definedName>
    <definedName name="trjk5i57" hidden="1">{"SPM1",#N/A,FALSE,"RIEP"}</definedName>
    <definedName name="tt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t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t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yiltu9ol" localSheetId="2" hidden="1">{"QQQ",#N/A,FALSE,"RIEP"}</definedName>
    <definedName name="tyiltu9ol" localSheetId="5" hidden="1">{"QQQ",#N/A,FALSE,"RIEP"}</definedName>
    <definedName name="tyiltu9ol" hidden="1">{"QQQ",#N/A,FALSE,"RIEP"}</definedName>
    <definedName name="ugkj" localSheetId="2" hidden="1">{"QQQ",#N/A,FALSE,"RIEP"}</definedName>
    <definedName name="ugkj" localSheetId="5" hidden="1">{"QQQ",#N/A,FALSE,"RIEP"}</definedName>
    <definedName name="ugkj" hidden="1">{"QQQ",#N/A,FALSE,"RIEP"}</definedName>
    <definedName name="ukkkk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kkkk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kk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SD">'[6]Nrj présentat°'!$AR$3</definedName>
    <definedName name="uttkjg" localSheetId="2" hidden="1">{"QQQ",#N/A,FALSE,"RIEP"}</definedName>
    <definedName name="uttkjg" localSheetId="5" hidden="1">{"QQQ",#N/A,FALSE,"RIEP"}</definedName>
    <definedName name="uttkjg" hidden="1">{"QQQ",#N/A,FALSE,"RIEP"}</definedName>
    <definedName name="uuuu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uu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uu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6uyjyu" localSheetId="2" hidden="1">{#N/A,#N/A,FALSE,"RIEP"}</definedName>
    <definedName name="v6uyjyu" localSheetId="5" hidden="1">{#N/A,#N/A,FALSE,"RIEP"}</definedName>
    <definedName name="v6uyjyu" hidden="1">{#N/A,#N/A,FALSE,"RIEP"}</definedName>
    <definedName name="vcbbxb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cbbxb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cbbxb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vvv" localSheetId="2" hidden="1">{"QQQ",#N/A,FALSE,"RIEP"}</definedName>
    <definedName name="vvvv" localSheetId="5" hidden="1">{"QQQ",#N/A,FALSE,"RIEP"}</definedName>
    <definedName name="vvvv" hidden="1">{"QQQ",#N/A,FALSE,"RIEP"}</definedName>
    <definedName name="vvvvbbbb" localSheetId="2" hidden="1">{#N/A,#N/A,FALSE,"RIEP"}</definedName>
    <definedName name="vvvvbbbb" localSheetId="5" hidden="1">{#N/A,#N/A,FALSE,"RIEP"}</definedName>
    <definedName name="vvvvbbbb" hidden="1">{#N/A,#N/A,FALSE,"RIEP"}</definedName>
    <definedName name="vvvvvv" localSheetId="2" hidden="1">{#N/A,#N/A,FALSE,"RIEP"}</definedName>
    <definedName name="vvvvvv" localSheetId="5" hidden="1">{#N/A,#N/A,FALSE,"RIEP"}</definedName>
    <definedName name="vvvvvv" hidden="1">{#N/A,#N/A,FALSE,"RIEP"}</definedName>
    <definedName name="vvvvvvvv" localSheetId="2" hidden="1">{"SPM1",#N/A,FALSE,"RIEP"}</definedName>
    <definedName name="vvvvvvvv" localSheetId="5" hidden="1">{"SPM1",#N/A,FALSE,"RIEP"}</definedName>
    <definedName name="vvvvvvvv" hidden="1">{"SPM1",#N/A,FALSE,"RIEP"}</definedName>
    <definedName name="w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e" localSheetId="2" hidden="1">{"SPM1",#N/A,FALSE,"RIEP"}</definedName>
    <definedName name="we" localSheetId="5" hidden="1">{"SPM1",#N/A,FALSE,"RIEP"}</definedName>
    <definedName name="we" hidden="1">{"SPM1",#N/A,FALSE,"RIEP"}</definedName>
    <definedName name="wer" localSheetId="2" hidden="1">{#N/A,#N/A,FALSE,"ANALYSE";#N/A,#N/A,FALSE,"PM VALEUR"}</definedName>
    <definedName name="wer" localSheetId="5" hidden="1">{#N/A,#N/A,FALSE,"ANALYSE";#N/A,#N/A,FALSE,"PM VALEUR"}</definedName>
    <definedName name="wer" hidden="1">{#N/A,#N/A,FALSE,"ANALYSE";#N/A,#N/A,FALSE,"PM VALEUR"}</definedName>
    <definedName name="wetrwrt" localSheetId="2" hidden="1">{"QQQ",#N/A,FALSE,"RIEP"}</definedName>
    <definedName name="wetrwrt" localSheetId="5" hidden="1">{"QQQ",#N/A,FALSE,"RIEP"}</definedName>
    <definedName name="wetrwrt" hidden="1">{"QQQ",#N/A,FALSE,"RIEP"}</definedName>
    <definedName name="wewe" localSheetId="2" hidden="1">{"SPM1",#N/A,FALSE,"RIEP"}</definedName>
    <definedName name="wewe" localSheetId="5" hidden="1">{"SPM1",#N/A,FALSE,"RIEP"}</definedName>
    <definedName name="wewe" hidden="1">{"SPM1",#N/A,FALSE,"RIEP"}</definedName>
    <definedName name="wrn.CCC." localSheetId="2" hidden="1">{"QQQ",#N/A,FALSE,"RIEP"}</definedName>
    <definedName name="wrn.CCC." localSheetId="5" hidden="1">{"QQQ",#N/A,FALSE,"RIEP"}</definedName>
    <definedName name="wrn.CCC." hidden="1">{"QQQ",#N/A,FALSE,"RIEP"}</definedName>
    <definedName name="wrn.Charges." localSheetId="2" hidden="1">{"Analyse charges",#N/A,FALSE,"Feuil1 (2)"}</definedName>
    <definedName name="wrn.Charges." localSheetId="5" hidden="1">{"Analyse charges",#N/A,FALSE,"Feuil1 (2)"}</definedName>
    <definedName name="wrn.Charges." hidden="1">{"Analyse charges",#N/A,FALSE,"Feuil1 (2)"}</definedName>
    <definedName name="wrn.Charges._.Clécy." localSheetId="2" hidden="1">{#N/A,#N/A,FALSE,"Evol98";#N/A,#N/A,FALSE,"Saisie98"}</definedName>
    <definedName name="wrn.Charges._.Clécy." localSheetId="5" hidden="1">{#N/A,#N/A,FALSE,"Evol98";#N/A,#N/A,FALSE,"Saisie98"}</definedName>
    <definedName name="wrn.Charges._.Clécy." hidden="1">{#N/A,#N/A,FALSE,"Evol98";#N/A,#N/A,FALSE,"Saisie98"}</definedName>
    <definedName name="wrn.CLECY." localSheetId="2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wrn.CLECY." localSheetId="5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wrn.CLECY.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wrn.CNQGLOBAL." localSheetId="2" hidden="1">{#N/A,#N/A,FALSE,"RODEZ";#N/A,#N/A,FALSE,"BLEU CAUSSES";#N/A,#N/A,FALSE,"BLOC PAST";#N/A,#N/A,FALSE,"PENA";#N/A,#N/A,FALSE,"BUCHES";"RONDELEBASE",#N/A,FALSE,"RONDELE";"LONS",#N/A,FALSE,"RONDELE";#N/A,#N/A,FALSE,"UHT";#N/A,#N/A,FALSE,"POUDRE LAIT";#N/A,#N/A,FALSE,"POUDRE SER"}</definedName>
    <definedName name="wrn.CNQGLOBAL." localSheetId="5" hidden="1">{#N/A,#N/A,FALSE,"RODEZ";#N/A,#N/A,FALSE,"BLEU CAUSSES";#N/A,#N/A,FALSE,"BLOC PAST";#N/A,#N/A,FALSE,"PENA";#N/A,#N/A,FALSE,"BUCHES";"RONDELEBASE",#N/A,FALSE,"RONDELE";"LONS",#N/A,FALSE,"RONDELE";#N/A,#N/A,FALSE,"UHT";#N/A,#N/A,FALSE,"POUDRE LAIT";#N/A,#N/A,FALSE,"POUDRE SER"}</definedName>
    <definedName name="wrn.CNQGLOBAL." hidden="1">{#N/A,#N/A,FALSE,"RODEZ";#N/A,#N/A,FALSE,"BLEU CAUSSES";#N/A,#N/A,FALSE,"BLOC PAST";#N/A,#N/A,FALSE,"PENA";#N/A,#N/A,FALSE,"BUCHES";"RONDELEBASE",#N/A,FALSE,"RONDELE";"LONS",#N/A,FALSE,"RONDELE";#N/A,#N/A,FALSE,"UHT";#N/A,#N/A,FALSE,"POUDRE LAIT";#N/A,#N/A,FALSE,"POUDRE SER"}</definedName>
    <definedName name="wrn.COMMENTAIRES." localSheetId="2" hidden="1">{#N/A,#N/A,FALSE,"EC COMM-c";#N/A,#N/A,FALSE,"EC PAR PDTS-c";#N/A,#N/A,FALSE,"EC MAT-c";#N/A,#N/A,FALSE,"SUIVI HAUSSES-c"}</definedName>
    <definedName name="wrn.COMMENTAIRES." localSheetId="5" hidden="1">{#N/A,#N/A,FALSE,"EC COMM-c";#N/A,#N/A,FALSE,"EC PAR PDTS-c";#N/A,#N/A,FALSE,"EC MAT-c";#N/A,#N/A,FALSE,"SUIVI HAUSSES-c"}</definedName>
    <definedName name="wrn.COMMENTAIRES." hidden="1">{#N/A,#N/A,FALSE,"EC COMM-c";#N/A,#N/A,FALSE,"EC PAR PDTS-c";#N/A,#N/A,FALSE,"EC MAT-c";#N/A,#N/A,FALSE,"SUIVI HAUSSES-c"}</definedName>
    <definedName name="wrn.Complet." localSheetId="2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wrn.Complet." localSheetId="5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wrn.Complet.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wrn.CUMUL." localSheetId="2" hidden="1">{#N/A,#N/A,FALSE,"recap";#N/A,#N/A,FALSE,"matNeuf";#N/A,#N/A,FALSE,"matNdie";#N/A,#N/A,FALSE,"incNeuf";#N/A,#N/A,FALSE,"incNdie";#N/A,#N/A,FALSE,"volume";#N/A,#N/A,FALSE,"emballage";#N/A,#N/A,FALSE,"charge"}</definedName>
    <definedName name="wrn.CUMUL." localSheetId="5" hidden="1">{#N/A,#N/A,FALSE,"recap";#N/A,#N/A,FALSE,"matNeuf";#N/A,#N/A,FALSE,"matNdie";#N/A,#N/A,FALSE,"incNeuf";#N/A,#N/A,FALSE,"incNdie";#N/A,#N/A,FALSE,"volume";#N/A,#N/A,FALSE,"emballage";#N/A,#N/A,FALSE,"charge"}</definedName>
    <definedName name="wrn.CUMUL." hidden="1">{#N/A,#N/A,FALSE,"recap";#N/A,#N/A,FALSE,"matNeuf";#N/A,#N/A,FALSE,"matNdie";#N/A,#N/A,FALSE,"incNeuf";#N/A,#N/A,FALSE,"incNdie";#N/A,#N/A,FALSE,"volume";#N/A,#N/A,FALSE,"emballage";#N/A,#N/A,FALSE,"charge"}</definedName>
    <definedName name="wrn.EDITION." localSheetId="2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wrn.EDITION." localSheetId="5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wrn.EDITION.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wrn.ex." localSheetId="2" hidden="1">{#N/A,#N/A,FALSE,"ANALYSE";#N/A,#N/A,FALSE,"PM VALEUR"}</definedName>
    <definedName name="wrn.ex." localSheetId="5" hidden="1">{#N/A,#N/A,FALSE,"ANALYSE";#N/A,#N/A,FALSE,"PM VALEUR"}</definedName>
    <definedName name="wrn.ex." hidden="1">{#N/A,#N/A,FALSE,"ANALYSE";#N/A,#N/A,FALSE,"PM VALEUR"}</definedName>
    <definedName name="wrn.Impression._.totale." localSheetId="2" hidden="1">{"Analyse charges",#N/A,FALSE,"Feuil1 (2)";"Ratios activités",#N/A,FALSE,"Feuil1 (2)";"Indicateurs",#N/A,FALSE,"Feuil1 (2)"}</definedName>
    <definedName name="wrn.Impression._.totale." localSheetId="5" hidden="1">{"Analyse charges",#N/A,FALSE,"Feuil1 (2)";"Ratios activités",#N/A,FALSE,"Feuil1 (2)";"Indicateurs",#N/A,FALSE,"Feuil1 (2)"}</definedName>
    <definedName name="wrn.Impression._.totale." hidden="1">{"Analyse charges",#N/A,FALSE,"Feuil1 (2)";"Ratios activités",#N/A,FALSE,"Feuil1 (2)";"Indicateurs",#N/A,FALSE,"Feuil1 (2)"}</definedName>
    <definedName name="wrn.Indicateurs." localSheetId="2" hidden="1">{"Indicateurs",#N/A,FALSE,"Feuil1 (2)"}</definedName>
    <definedName name="wrn.Indicateurs." localSheetId="5" hidden="1">{"Indicateurs",#N/A,FALSE,"Feuil1 (2)"}</definedName>
    <definedName name="wrn.Indicateurs." hidden="1">{"Indicateurs",#N/A,FALSE,"Feuil1 (2)"}</definedName>
    <definedName name="wrn.MENSUEL." localSheetId="2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wrn.MENSUEL." localSheetId="5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wrn.MENSUEL.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wrn.MOYENNE." localSheetId="2" hidden="1">{#N/A,#N/A,FALSE,"recap";#N/A,#N/A,FALSE,"matNeuf";#N/A,#N/A,FALSE,"matNdie";#N/A,#N/A,FALSE,"incNeuf";#N/A,#N/A,FALSE,"incNdie";#N/A,#N/A,FALSE,"volume";#N/A,#N/A,FALSE,"emballage";#N/A,#N/A,FALSE,"charge"}</definedName>
    <definedName name="wrn.MOYENNE." localSheetId="5" hidden="1">{#N/A,#N/A,FALSE,"recap";#N/A,#N/A,FALSE,"matNeuf";#N/A,#N/A,FALSE,"matNdie";#N/A,#N/A,FALSE,"incNeuf";#N/A,#N/A,FALSE,"incNdie";#N/A,#N/A,FALSE,"volume";#N/A,#N/A,FALSE,"emballage";#N/A,#N/A,FALSE,"charge"}</definedName>
    <definedName name="wrn.MOYENNE." hidden="1">{#N/A,#N/A,FALSE,"recap";#N/A,#N/A,FALSE,"matNeuf";#N/A,#N/A,FALSE,"matNdie";#N/A,#N/A,FALSE,"incNeuf";#N/A,#N/A,FALSE,"incNdie";#N/A,#N/A,FALSE,"volume";#N/A,#N/A,FALSE,"emballage";#N/A,#N/A,FALSE,"charge"}</definedName>
    <definedName name="wrn.novgl.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rn.novgl.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rn.novgl.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rn.Ratios." localSheetId="2" hidden="1">{"Ratios activités",#N/A,FALSE,"Feuil1 (2)"}</definedName>
    <definedName name="wrn.Ratios." localSheetId="5" hidden="1">{"Ratios activités",#N/A,FALSE,"Feuil1 (2)"}</definedName>
    <definedName name="wrn.Ratios." hidden="1">{"Ratios activités",#N/A,FALSE,"Feuil1 (2)"}</definedName>
    <definedName name="wrn.REELBUD." localSheetId="2" hidden="1">{"DETAIL",#N/A,FALSE,"REELBUDGET";"TOTAL",#N/A,FALSE,"REELBUDGET"}</definedName>
    <definedName name="wrn.REELBUD." localSheetId="5" hidden="1">{"DETAIL",#N/A,FALSE,"REELBUDGET";"TOTAL",#N/A,FALSE,"REELBUDGET"}</definedName>
    <definedName name="wrn.REELBUD." hidden="1">{"DETAIL",#N/A,FALSE,"REELBUDGET";"TOTAL",#N/A,FALSE,"REELBUDGET"}</definedName>
    <definedName name="wrn.Résultat." localSheetId="2" hidden="1">{"Struct",#N/A,FALSE,"Récap Struct";"Struct",#N/A,FALSE,"Récap Struct";"Chges Total",#N/A,FALSE,"Chges Récap";"Chges Détail",#N/A,FALSE,"Chges Récap";"Struct",#N/A,FALSE,"Récap Struct";"Chges Total",#N/A,FALSE,"Chges Récap";"Chges Détail",#N/A,FALSE,"Chges Récap";"Détail",#N/A,FALSE,"Chges Détail"}</definedName>
    <definedName name="wrn.Résultat." localSheetId="5" hidden="1">{"Struct",#N/A,FALSE,"Récap Struct";"Struct",#N/A,FALSE,"Récap Struct";"Chges Total",#N/A,FALSE,"Chges Récap";"Chges Détail",#N/A,FALSE,"Chges Récap";"Struct",#N/A,FALSE,"Récap Struct";"Chges Total",#N/A,FALSE,"Chges Récap";"Chges Détail",#N/A,FALSE,"Chges Récap";"Détail",#N/A,FALSE,"Chges Détail"}</definedName>
    <definedName name="wrn.Résultat." hidden="1">{"Struct",#N/A,FALSE,"Récap Struct";"Struct",#N/A,FALSE,"Récap Struct";"Chges Total",#N/A,FALSE,"Chges Récap";"Chges Détail",#N/A,FALSE,"Chges Récap";"Struct",#N/A,FALSE,"Récap Struct";"Chges Total",#N/A,FALSE,"Chges Récap";"Chges Détail",#N/A,FALSE,"Chges Récap";"Détail",#N/A,FALSE,"Chges Détail"}</definedName>
    <definedName name="wrn.SPA1." localSheetId="2" hidden="1">{#N/A,#N/A,FALSE,"RIEP"}</definedName>
    <definedName name="wrn.SPA1." localSheetId="5" hidden="1">{#N/A,#N/A,FALSE,"RIEP"}</definedName>
    <definedName name="wrn.SPA1." hidden="1">{#N/A,#N/A,FALSE,"RIEP"}</definedName>
    <definedName name="wrn.SPM1." localSheetId="2" hidden="1">{"SPM1",#N/A,FALSE,"RIEP"}</definedName>
    <definedName name="wrn.SPM1." localSheetId="5" hidden="1">{"SPM1",#N/A,FALSE,"RIEP"}</definedName>
    <definedName name="wrn.SPM1." hidden="1">{"SPM1",#N/A,FALSE,"RIEP"}</definedName>
    <definedName name="wrn.SYNTHESE." localSheetId="2" hidden="1">{#N/A,#N/A,TRUE,"ANALYSE";#N/A,#N/A,TRUE,"PM VOLUME";#N/A,#N/A,TRUE,"PM VALEUR";#N/A,#N/A,TRUE,"AR1";#N/A,#N/A,TRUE,"AR2";#N/A,#N/A,TRUE,"RAF";#N/A,#N/A,TRUE,"BILAN";#N/A,#N/A,TRUE,"CASH FLOW";#N/A,#N/A,TRUE,"ETAT FI"}</definedName>
    <definedName name="wrn.SYNTHESE." localSheetId="5" hidden="1">{#N/A,#N/A,TRUE,"ANALYSE";#N/A,#N/A,TRUE,"PM VOLUME";#N/A,#N/A,TRUE,"PM VALEUR";#N/A,#N/A,TRUE,"AR1";#N/A,#N/A,TRUE,"AR2";#N/A,#N/A,TRUE,"RAF";#N/A,#N/A,TRUE,"BILAN";#N/A,#N/A,TRUE,"CASH FLOW";#N/A,#N/A,TRUE,"ETAT FI"}</definedName>
    <definedName name="wrn.SYNTHESE." hidden="1">{#N/A,#N/A,TRUE,"ANALYSE";#N/A,#N/A,TRUE,"PM VOLUME";#N/A,#N/A,TRUE,"PM VALEUR";#N/A,#N/A,TRUE,"AR1";#N/A,#N/A,TRUE,"AR2";#N/A,#N/A,TRUE,"RAF";#N/A,#N/A,TRUE,"BILAN";#N/A,#N/A,TRUE,"CASH FLOW";#N/A,#N/A,TRUE,"ETAT FI"}</definedName>
    <definedName name="wrn.TABLEAUX." localSheetId="2" hidden="1">{#N/A,#N/A,TRUE,"EC COMM-t";#N/A,#N/A,TRUE,"EC PAR PDTS-t";#N/A,#N/A,TRUE,"EC MAT-t";#N/A,#N/A,TRUE,"SUIVI HAUSSES-t"}</definedName>
    <definedName name="wrn.TABLEAUX." localSheetId="5" hidden="1">{#N/A,#N/A,TRUE,"EC COMM-t";#N/A,#N/A,TRUE,"EC PAR PDTS-t";#N/A,#N/A,TRUE,"EC MAT-t";#N/A,#N/A,TRUE,"SUIVI HAUSSES-t"}</definedName>
    <definedName name="wrn.TABLEAUX." hidden="1">{#N/A,#N/A,TRUE,"EC COMM-t";#N/A,#N/A,TRUE,"EC PAR PDTS-t";#N/A,#N/A,TRUE,"EC MAT-t";#N/A,#N/A,TRUE,"SUIVI HAUSSES-t"}</definedName>
    <definedName name="wrn1.CCC." localSheetId="2" hidden="1">{"QQQ",#N/A,FALSE,"RIEP"}</definedName>
    <definedName name="wrn1.CCC." localSheetId="5" hidden="1">{"QQQ",#N/A,FALSE,"RIEP"}</definedName>
    <definedName name="wrn1.CCC." hidden="1">{"QQQ",#N/A,FALSE,"RIEP"}</definedName>
    <definedName name="wwww" localSheetId="2" hidden="1">{#N/A,#N/A,FALSE,"RIEP"}</definedName>
    <definedName name="wwww" localSheetId="5" hidden="1">{#N/A,#N/A,FALSE,"RIEP"}</definedName>
    <definedName name="wwww" hidden="1">{#N/A,#N/A,FALSE,"RIEP"}</definedName>
    <definedName name="wwwwww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www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ww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wwwwwwwww" localSheetId="2" hidden="1">{"QQQ",#N/A,FALSE,"RIEP"}</definedName>
    <definedName name="wwwwwwwwwwww" localSheetId="5" hidden="1">{"QQQ",#N/A,FALSE,"RIEP"}</definedName>
    <definedName name="wwwwwwwwwwww" hidden="1">{"QQQ",#N/A,FALSE,"RIEP"}</definedName>
    <definedName name="ybukkbyitkituk" localSheetId="2" hidden="1">{#N/A,#N/A,FALSE,"RIEP"}</definedName>
    <definedName name="ybukkbyitkituk" localSheetId="5" hidden="1">{#N/A,#N/A,FALSE,"RIEP"}</definedName>
    <definedName name="ybukkbyitkituk" hidden="1">{#N/A,#N/A,FALSE,"RIEP"}</definedName>
    <definedName name="yertyyyy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rtyyyy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rt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yyyy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yyyy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rnukuilky8u" localSheetId="2" hidden="1">{"QQQ",#N/A,FALSE,"RIEP"}</definedName>
    <definedName name="yrnukuilky8u" localSheetId="5" hidden="1">{"QQQ",#N/A,FALSE,"RIEP"}</definedName>
    <definedName name="yrnukuilky8u" hidden="1">{"QQQ",#N/A,FALSE,"RIEP"}</definedName>
    <definedName name="YY" localSheetId="2" hidden="1">{#N/A,#N/A,FALSE,"RIEP"}</definedName>
    <definedName name="YY" localSheetId="5" hidden="1">{#N/A,#N/A,FALSE,"RIEP"}</definedName>
    <definedName name="YY" hidden="1">{#N/A,#N/A,FALSE,"RIEP"}</definedName>
    <definedName name="yyqeyqy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qeyqy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qeyq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y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y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aefze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aefze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aefz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erfzef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erfzef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er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gtrgzgt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gtrgzgt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gtr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" hidden="1">#REF!</definedName>
    <definedName name="zzfzafz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fzafz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fzaf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" hidden="1">#REF!</definedName>
    <definedName name="zzzzz" hidden="1">#REF!</definedName>
    <definedName name="zzzzzz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" localSheetId="2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" localSheetId="5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zzz" localSheetId="2" hidden="1">{#N/A,#N/A,FALSE,"RIEP"}</definedName>
    <definedName name="zzzzzzzzzz" localSheetId="5" hidden="1">{#N/A,#N/A,FALSE,"RIEP"}</definedName>
    <definedName name="zzzzzzzzzz" hidden="1">{#N/A,#N/A,FALSE,"RIEP"}</definedName>
    <definedName name="zzzzzzzzzzzzz" localSheetId="2" hidden="1">{#N/A,#N/A,FALSE,"RIEP"}</definedName>
    <definedName name="zzzzzzzzzzzzz" localSheetId="5" hidden="1">{#N/A,#N/A,FALSE,"RIEP"}</definedName>
    <definedName name="zzzzzzzzzzzzz" hidden="1">{#N/A,#N/A,FALSE,"RIEP"}</definedName>
    <definedName name="zzzzzzzzzzzzzz" localSheetId="2" hidden="1">{"QQQ",#N/A,FALSE,"RIEP"}</definedName>
    <definedName name="zzzzzzzzzzzzzz" localSheetId="5" hidden="1">{"QQQ",#N/A,FALSE,"RIEP"}</definedName>
    <definedName name="zzzzzzzzzzzzzz" hidden="1">{"QQQ",#N/A,FALSE,"RIEP"}</definedName>
    <definedName name="zzzzzzzzzzzzzzzzzz" localSheetId="2" hidden="1">{"QQQ",#N/A,FALSE,"RIEP"}</definedName>
    <definedName name="zzzzzzzzzzzzzzzzzz" localSheetId="5" hidden="1">{"QQQ",#N/A,FALSE,"RIEP"}</definedName>
    <definedName name="zzzzzzzzzzzzzzzzzz" hidden="1">{"QQQ",#N/A,FALSE,"RIEP"}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8" l="1"/>
  <c r="B8" i="16"/>
  <c r="B10" i="16" s="1"/>
  <c r="C15" i="9" s="1"/>
  <c r="B7" i="16"/>
  <c r="B9" i="16" s="1"/>
  <c r="C14" i="9" s="1"/>
  <c r="E24" i="17"/>
  <c r="E23" i="17"/>
  <c r="F26" i="17"/>
  <c r="F25" i="17"/>
  <c r="F24" i="17"/>
  <c r="F23" i="17"/>
  <c r="E22" i="17"/>
  <c r="F22" i="17" s="1"/>
  <c r="E21" i="17"/>
  <c r="F21" i="17" s="1"/>
  <c r="B16" i="17"/>
  <c r="B15" i="17"/>
  <c r="B14" i="17"/>
  <c r="B17" i="17" s="1"/>
  <c r="C7" i="8"/>
  <c r="C9" i="8" s="1"/>
  <c r="B7" i="8"/>
  <c r="B9" i="8" s="1"/>
  <c r="C25" i="8"/>
  <c r="C21" i="8"/>
  <c r="C11" i="9"/>
  <c r="C16" i="9"/>
  <c r="B14" i="16"/>
  <c r="C4" i="9"/>
  <c r="C3" i="9"/>
  <c r="C2" i="9"/>
  <c r="B23" i="10"/>
  <c r="B22" i="10"/>
  <c r="B12" i="9"/>
  <c r="B18" i="9" s="1"/>
  <c r="B4" i="9"/>
  <c r="B3" i="9"/>
  <c r="B23" i="9"/>
  <c r="B13" i="9"/>
  <c r="B19" i="9" s="1"/>
  <c r="G15" i="14"/>
  <c r="F15" i="14"/>
  <c r="E15" i="14"/>
  <c r="D15" i="14"/>
  <c r="C15" i="14"/>
  <c r="G8" i="14"/>
  <c r="F8" i="14"/>
  <c r="E8" i="14"/>
  <c r="D8" i="14"/>
  <c r="C8" i="14"/>
  <c r="G7" i="14"/>
  <c r="F7" i="14"/>
  <c r="E7" i="14"/>
  <c r="D7" i="14"/>
  <c r="C7" i="14"/>
  <c r="G6" i="14"/>
  <c r="G16" i="14" s="1"/>
  <c r="F6" i="14"/>
  <c r="F16" i="14" s="1"/>
  <c r="E6" i="14"/>
  <c r="E16" i="14" s="1"/>
  <c r="D6" i="14"/>
  <c r="D16" i="14" s="1"/>
  <c r="C6" i="14"/>
  <c r="C16" i="14" s="1"/>
  <c r="B20" i="10" s="1"/>
  <c r="J6" i="10"/>
  <c r="B32" i="17" l="1"/>
  <c r="B31" i="17"/>
  <c r="B30" i="17"/>
  <c r="C17" i="8"/>
  <c r="C16" i="8"/>
  <c r="C28" i="8"/>
  <c r="G17" i="14"/>
  <c r="G21" i="14"/>
  <c r="G22" i="14"/>
  <c r="F17" i="14"/>
  <c r="F21" i="14"/>
  <c r="F22" i="14"/>
  <c r="E17" i="14"/>
  <c r="E21" i="14"/>
  <c r="E22" i="14"/>
  <c r="D21" i="14"/>
  <c r="D22" i="14"/>
  <c r="D17" i="14"/>
  <c r="C17" i="14"/>
  <c r="C21" i="14"/>
  <c r="C22" i="14"/>
  <c r="B33" i="17" l="1"/>
  <c r="C27" i="8"/>
  <c r="C10" i="8" s="1"/>
  <c r="C20" i="8"/>
  <c r="C34" i="9"/>
  <c r="C11" i="8"/>
  <c r="C35" i="9"/>
  <c r="G18" i="14"/>
  <c r="G19" i="14"/>
  <c r="G20" i="14" s="1"/>
  <c r="F18" i="14"/>
  <c r="F19" i="14"/>
  <c r="F20" i="14" s="1"/>
  <c r="E18" i="14"/>
  <c r="E19" i="14"/>
  <c r="E20" i="14" s="1"/>
  <c r="D18" i="14"/>
  <c r="D19" i="14"/>
  <c r="D20" i="14" s="1"/>
  <c r="C18" i="14"/>
  <c r="B22" i="9" s="1"/>
  <c r="C19" i="14"/>
  <c r="C20" i="14" s="1"/>
  <c r="B21" i="8"/>
  <c r="B25" i="8"/>
  <c r="B46" i="9" l="1"/>
  <c r="B45" i="9"/>
  <c r="B17" i="8"/>
  <c r="B19" i="10"/>
  <c r="B16" i="8"/>
  <c r="J7" i="13"/>
  <c r="I7" i="13"/>
  <c r="H7" i="13"/>
  <c r="G7" i="13"/>
  <c r="F7" i="13"/>
  <c r="E7" i="13"/>
  <c r="C7" i="13"/>
  <c r="D7" i="13"/>
  <c r="B9" i="10"/>
  <c r="B8" i="10"/>
  <c r="B7" i="13"/>
  <c r="C31" i="9" l="1"/>
  <c r="B20" i="8"/>
  <c r="D9" i="10"/>
  <c r="D8" i="10"/>
  <c r="B7" i="10"/>
  <c r="C39" i="9"/>
  <c r="C32" i="9" l="1"/>
  <c r="D7" i="10"/>
  <c r="B6" i="10"/>
  <c r="B28" i="8"/>
  <c r="C5" i="9"/>
  <c r="C22" i="9"/>
  <c r="D47" i="9" s="1"/>
  <c r="C18" i="9"/>
  <c r="C12" i="9"/>
  <c r="C8" i="9"/>
  <c r="C6" i="9"/>
  <c r="C13" i="9"/>
  <c r="C17" i="9"/>
  <c r="C26" i="9"/>
  <c r="C7" i="9"/>
  <c r="C40" i="9"/>
  <c r="B34" i="9" l="1"/>
  <c r="B35" i="9"/>
  <c r="E35" i="9" s="1"/>
  <c r="F35" i="9" s="1"/>
  <c r="C19" i="9"/>
  <c r="B10" i="8"/>
  <c r="B11" i="8"/>
  <c r="D6" i="10"/>
  <c r="B5" i="10"/>
  <c r="C23" i="9"/>
  <c r="C9" i="9"/>
  <c r="C10" i="9" s="1"/>
  <c r="E47" i="9" l="1"/>
  <c r="F47" i="9" s="1"/>
  <c r="E34" i="9"/>
  <c r="C6" i="10"/>
  <c r="B10" i="10"/>
  <c r="C9" i="10"/>
  <c r="C5" i="10"/>
  <c r="C7" i="10"/>
  <c r="C8" i="10"/>
  <c r="C21" i="9"/>
  <c r="E36" i="9" l="1"/>
  <c r="F36" i="9" s="1"/>
  <c r="F34" i="9"/>
  <c r="C14" i="10"/>
  <c r="C12" i="10"/>
  <c r="C10" i="10"/>
  <c r="C20" i="9"/>
  <c r="C24" i="9" l="1"/>
  <c r="C27" i="9" l="1"/>
  <c r="C28" i="9" s="1"/>
  <c r="C25" i="9"/>
  <c r="C46" i="9"/>
  <c r="B24" i="10" l="1"/>
  <c r="B25" i="10" s="1"/>
  <c r="B8" i="9"/>
  <c r="B6" i="9"/>
  <c r="B7" i="9"/>
  <c r="B5" i="9"/>
  <c r="D52" i="9" s="1"/>
  <c r="E52" i="9" s="1"/>
  <c r="F52" i="9" s="1"/>
  <c r="B26" i="10"/>
  <c r="C51" i="9" l="1"/>
  <c r="B9" i="9"/>
  <c r="B10" i="9" s="1"/>
  <c r="B21" i="10" l="1"/>
  <c r="D12" i="10" l="1"/>
  <c r="E5" i="10" l="1"/>
  <c r="E9" i="10"/>
  <c r="G9" i="10" s="1"/>
  <c r="K9" i="10" s="1"/>
  <c r="E8" i="10"/>
  <c r="G8" i="10" s="1"/>
  <c r="K8" i="10" s="1"/>
  <c r="E6" i="10"/>
  <c r="F23" i="10" l="1"/>
  <c r="H23" i="10" s="1"/>
  <c r="G6" i="10"/>
  <c r="I6" i="10" s="1"/>
  <c r="I10" i="10" s="1"/>
  <c r="I5" i="10" s="1"/>
  <c r="G5" i="10"/>
  <c r="E7" i="10"/>
  <c r="O6" i="10"/>
  <c r="F27" i="10"/>
  <c r="O8" i="10"/>
  <c r="M8" i="10"/>
  <c r="O9" i="10"/>
  <c r="M9" i="10"/>
  <c r="E10" i="10" l="1"/>
  <c r="G10" i="10" s="1"/>
  <c r="H18" i="10" s="1"/>
  <c r="G7" i="10"/>
  <c r="H6" i="10" s="1"/>
  <c r="F7" i="10"/>
  <c r="F26" i="10"/>
  <c r="F28" i="10" s="1"/>
  <c r="F5" i="10"/>
  <c r="F12" i="10" s="1"/>
  <c r="F8" i="10"/>
  <c r="F22" i="10"/>
  <c r="H22" i="10" s="1"/>
  <c r="F6" i="10"/>
  <c r="O7" i="10"/>
  <c r="F9" i="10"/>
  <c r="B14" i="9"/>
  <c r="C45" i="9"/>
  <c r="D46" i="9"/>
  <c r="E46" i="9" s="1"/>
  <c r="F46" i="9" s="1"/>
  <c r="C50" i="9"/>
  <c r="E57" i="9"/>
  <c r="B51" i="9"/>
  <c r="D51" i="9" s="1"/>
  <c r="E51" i="9" s="1"/>
  <c r="F51" i="9" s="1"/>
  <c r="B15" i="9"/>
  <c r="B50" i="9"/>
  <c r="B21" i="9"/>
  <c r="F57" i="9" l="1"/>
  <c r="E56" i="9"/>
  <c r="F56" i="9" s="1"/>
  <c r="B31" i="9"/>
  <c r="D31" i="9" s="1"/>
  <c r="B11" i="9"/>
  <c r="B32" i="9"/>
  <c r="D32" i="9" s="1"/>
  <c r="E32" i="9" s="1"/>
  <c r="F32" i="9" s="1"/>
  <c r="B20" i="9"/>
  <c r="F29" i="10"/>
  <c r="F30" i="10" s="1"/>
  <c r="H8" i="10"/>
  <c r="H9" i="10"/>
  <c r="K6" i="10"/>
  <c r="M6" i="10" s="1"/>
  <c r="H7" i="10"/>
  <c r="K7" i="10"/>
  <c r="M7" i="10" s="1"/>
  <c r="O10" i="10"/>
  <c r="H5" i="10"/>
  <c r="F24" i="10"/>
  <c r="F13" i="10"/>
  <c r="F14" i="10"/>
  <c r="F15" i="10"/>
  <c r="F10" i="10"/>
  <c r="D45" i="9"/>
  <c r="B39" i="9"/>
  <c r="D39" i="9" s="1"/>
  <c r="E39" i="9" s="1"/>
  <c r="F39" i="9" s="1"/>
  <c r="B17" i="9"/>
  <c r="D50" i="9"/>
  <c r="B40" i="9"/>
  <c r="D40" i="9" s="1"/>
  <c r="E40" i="9" s="1"/>
  <c r="F40" i="9" s="1"/>
  <c r="F41" i="9" l="1"/>
  <c r="E45" i="9"/>
  <c r="F45" i="9" s="1"/>
  <c r="D48" i="9"/>
  <c r="E50" i="9"/>
  <c r="D53" i="9"/>
  <c r="B24" i="9"/>
  <c r="H14" i="10"/>
  <c r="H15" i="10"/>
  <c r="H12" i="10"/>
  <c r="H13" i="10" s="1"/>
  <c r="H10" i="10"/>
  <c r="O5" i="10"/>
  <c r="P5" i="10" s="1"/>
  <c r="P9" i="10"/>
  <c r="P6" i="10"/>
  <c r="P8" i="10"/>
  <c r="P7" i="10"/>
  <c r="B16" i="9"/>
  <c r="E53" i="9" l="1"/>
  <c r="F53" i="9" s="1"/>
  <c r="F50" i="9"/>
  <c r="E48" i="9"/>
  <c r="F48" i="9" s="1"/>
  <c r="E55" i="9"/>
  <c r="F55" i="9" s="1"/>
  <c r="B25" i="9"/>
  <c r="B27" i="9"/>
  <c r="B28" i="9" s="1"/>
  <c r="P12" i="10"/>
  <c r="P13" i="10" s="1"/>
  <c r="P10" i="10"/>
  <c r="P15" i="10"/>
  <c r="P14" i="10"/>
  <c r="F54" i="9" l="1"/>
  <c r="E31" i="9"/>
  <c r="E41" i="9"/>
  <c r="E33" i="9" l="1"/>
  <c r="F31" i="9"/>
  <c r="F33" i="9" s="1"/>
  <c r="E54" i="9"/>
  <c r="E58" i="9" s="1"/>
  <c r="K5" i="10" l="1"/>
  <c r="L5" i="10" l="1"/>
  <c r="L9" i="10"/>
  <c r="L8" i="10"/>
  <c r="L7" i="10"/>
  <c r="L6" i="10"/>
  <c r="M5" i="10"/>
  <c r="L14" i="10" l="1"/>
  <c r="J7" i="10"/>
  <c r="J9" i="10"/>
  <c r="K10" i="10"/>
  <c r="J8" i="10"/>
  <c r="N6" i="10"/>
  <c r="N5" i="10"/>
  <c r="N8" i="10"/>
  <c r="N9" i="10"/>
  <c r="N7" i="10"/>
  <c r="M10" i="10"/>
  <c r="L12" i="10"/>
  <c r="L13" i="10" s="1"/>
  <c r="L15" i="10"/>
  <c r="L10" i="10"/>
  <c r="N14" i="10" l="1"/>
  <c r="J5" i="10"/>
  <c r="N12" i="10"/>
  <c r="N13" i="10" s="1"/>
  <c r="N15" i="10"/>
  <c r="N10" i="10"/>
  <c r="J14" i="10"/>
  <c r="J15" i="10" l="1"/>
  <c r="J12" i="10"/>
  <c r="J13" i="10" s="1"/>
  <c r="J10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Riera</author>
  </authors>
  <commentList>
    <comment ref="B18" authorId="0" shapeId="0" xr:uid="{C11932D5-1449-49F5-B7A4-FAFD31A7A8D4}">
      <text>
        <r>
          <rPr>
            <b/>
            <sz val="9"/>
            <color indexed="81"/>
            <rFont val="Tahoma"/>
            <family val="2"/>
          </rPr>
          <t>Juan Riera:</t>
        </r>
        <r>
          <rPr>
            <sz val="9"/>
            <color indexed="81"/>
            <rFont val="Tahoma"/>
            <family val="2"/>
          </rPr>
          <t xml:space="preserve">
Sustituir por 1 L o 1000 L poara ver las cantidades estándar
</t>
        </r>
      </text>
    </comment>
    <comment ref="H19" authorId="0" shapeId="0" xr:uid="{3AF2A67E-FCF6-4A4D-A5CB-4BD70DE7E7ED}">
      <text>
        <r>
          <rPr>
            <b/>
            <sz val="9"/>
            <color indexed="81"/>
            <rFont val="Tahoma"/>
            <family val="2"/>
          </rPr>
          <t>Juan Riera:</t>
        </r>
        <r>
          <rPr>
            <sz val="9"/>
            <color indexed="81"/>
            <rFont val="Tahoma"/>
            <family val="2"/>
          </rPr>
          <t xml:space="preserve">
en verde datos que introducimos nosotros
</t>
        </r>
      </text>
    </comment>
  </commentList>
</comments>
</file>

<file path=xl/sharedStrings.xml><?xml version="1.0" encoding="utf-8"?>
<sst xmlns="http://schemas.openxmlformats.org/spreadsheetml/2006/main" count="273" uniqueCount="218">
  <si>
    <t>Total explicado</t>
  </si>
  <si>
    <t>Recup MP</t>
  </si>
  <si>
    <t>ESM</t>
  </si>
  <si>
    <t>MG</t>
  </si>
  <si>
    <t>Real</t>
  </si>
  <si>
    <t>Consumo MP/kg queso</t>
  </si>
  <si>
    <t>MG teórica en cuba g/L</t>
  </si>
  <si>
    <t>g MG/L leche en cuba</t>
  </si>
  <si>
    <t>Litraje unitario (L/Kg)</t>
  </si>
  <si>
    <t>Recup MG</t>
  </si>
  <si>
    <t>G/ES</t>
  </si>
  <si>
    <t>HFD</t>
  </si>
  <si>
    <t>EST</t>
  </si>
  <si>
    <t>Fabricación, KG</t>
  </si>
  <si>
    <t>KMG puestos en fabricacion (cuba)</t>
  </si>
  <si>
    <t>KMP puestos en fabricacion (cuba)</t>
  </si>
  <si>
    <t>g MP/L  leche en cuba</t>
  </si>
  <si>
    <t>MG pérdida bruta (g/L)</t>
  </si>
  <si>
    <t>MG pérdida bruta %</t>
  </si>
  <si>
    <t>MG pérdida neta g/L</t>
  </si>
  <si>
    <t>MG pérdida neta %</t>
  </si>
  <si>
    <t>gr MG queso/kg queso</t>
  </si>
  <si>
    <t>g ESM queso/kg queso</t>
  </si>
  <si>
    <t>Litros leche puestos en fab (cuba)</t>
  </si>
  <si>
    <t>MG suero recuperada puesta en fab g/L</t>
  </si>
  <si>
    <t>KMG Nata suero recuperada puesta en fab</t>
  </si>
  <si>
    <t>factor MG/MP queso</t>
  </si>
  <si>
    <t>factor MG/MP leche cubas</t>
  </si>
  <si>
    <t xml:space="preserve">HFD </t>
  </si>
  <si>
    <t>Composición leche en cuba MG (g/L)</t>
  </si>
  <si>
    <t>Composición leche en cuba MP (g/L)</t>
  </si>
  <si>
    <t xml:space="preserve">MG </t>
  </si>
  <si>
    <t>Efecto rendimiento (recup MG)</t>
  </si>
  <si>
    <t>Efecto  rendimiento (recup MP)</t>
  </si>
  <si>
    <t>Litraje unitario</t>
  </si>
  <si>
    <t>MG teórica en la cuba (g/L)</t>
  </si>
  <si>
    <t>EST a salida de sal (%)</t>
  </si>
  <si>
    <t>Datos de materia prima</t>
  </si>
  <si>
    <t>Composición leche (g/L)</t>
  </si>
  <si>
    <t>Efecto EST (composición MG)</t>
  </si>
  <si>
    <t>Efecto EST (composición ESM)</t>
  </si>
  <si>
    <t>Std</t>
  </si>
  <si>
    <t>Dif</t>
  </si>
  <si>
    <t>EST (MG + ESM)</t>
  </si>
  <si>
    <t>Otros efectos no explicados</t>
  </si>
  <si>
    <t>MP leche cuba</t>
  </si>
  <si>
    <t>MG leche cuba</t>
  </si>
  <si>
    <t>Componente</t>
  </si>
  <si>
    <t>Agua</t>
  </si>
  <si>
    <t>Materia grasa</t>
  </si>
  <si>
    <t>Proteinas totales</t>
  </si>
  <si>
    <t>Lactosa</t>
  </si>
  <si>
    <t>Sales minerales y otros</t>
  </si>
  <si>
    <t>Cálculos del std técnico</t>
  </si>
  <si>
    <t>% suero obtenido</t>
  </si>
  <si>
    <t>% agua eliminada secado suero</t>
  </si>
  <si>
    <t>L/kg</t>
  </si>
  <si>
    <t>Kg con vol std</t>
  </si>
  <si>
    <t>Kg ESM</t>
  </si>
  <si>
    <t>Kg MG</t>
  </si>
  <si>
    <t>Recup ESM</t>
  </si>
  <si>
    <t>Densidad (g/L)</t>
  </si>
  <si>
    <t>Volumen (L)</t>
  </si>
  <si>
    <t>Temperatura</t>
  </si>
  <si>
    <t>Mat grasa (% m/m)</t>
  </si>
  <si>
    <t xml:space="preserve">leche
(% m/m) 
</t>
  </si>
  <si>
    <t xml:space="preserve">leche
(% m/v) 
</t>
  </si>
  <si>
    <t>densidad</t>
  </si>
  <si>
    <t>La masse volumique du lait et de crèmes de 65°C à l40°C (archives-ouvertes.fr)</t>
  </si>
  <si>
    <t>Queso a salida de sal</t>
  </si>
  <si>
    <t>Lactosa (% m/m)</t>
  </si>
  <si>
    <t>Sales minerales (% m/m)</t>
  </si>
  <si>
    <t>Coste de la leche en fabrica</t>
  </si>
  <si>
    <t>Total euros/L</t>
  </si>
  <si>
    <t>Estándar</t>
  </si>
  <si>
    <t>Ejemplo para cálculo de la densidad en función de la MG y la Tª</t>
  </si>
  <si>
    <t>Fuente:</t>
  </si>
  <si>
    <t>queso salida de sal
(% m/m)</t>
  </si>
  <si>
    <t>suero desnatado
(% m/m)</t>
  </si>
  <si>
    <t>suero polvo
(% m/m)</t>
  </si>
  <si>
    <t>queso
curado
(% m/m)</t>
  </si>
  <si>
    <t>Peso total (kg)</t>
  </si>
  <si>
    <t>leche
(kg)</t>
  </si>
  <si>
    <t>queso
 salida de sal
(kg)</t>
  </si>
  <si>
    <t>suero desnatado
(kg)</t>
  </si>
  <si>
    <t>suero polvo
(kg)</t>
  </si>
  <si>
    <t>queso
curado
(kg)</t>
  </si>
  <si>
    <t>merma maduración</t>
  </si>
  <si>
    <t>suero entero
(kg)</t>
  </si>
  <si>
    <t>suero entero
(% m/m)</t>
  </si>
  <si>
    <t>Nata de suero obtenida
(kg)</t>
  </si>
  <si>
    <t>Nata de suero obtenida
(% m/m)</t>
  </si>
  <si>
    <t>Descomposición del proceso de fabricación de queso y coproductos obtenidos</t>
  </si>
  <si>
    <t>L/kg (obtenidos del coef de recup de ESM)</t>
  </si>
  <si>
    <t>Eficiencia del desnatado en MG</t>
  </si>
  <si>
    <t>Composición en MG nata obtenida en desnatado</t>
  </si>
  <si>
    <t>Fabricación</t>
  </si>
  <si>
    <t>Composición leche (% m/m)</t>
  </si>
  <si>
    <t>MG (g/L)</t>
  </si>
  <si>
    <t>MP (g/L)</t>
  </si>
  <si>
    <t>MG (% m/m)</t>
  </si>
  <si>
    <t>Valoración materia prima</t>
  </si>
  <si>
    <t>Estándar de producto</t>
  </si>
  <si>
    <t>Fórmulas</t>
  </si>
  <si>
    <t>Vaca</t>
  </si>
  <si>
    <t>Mezcla</t>
  </si>
  <si>
    <t>Oveja</t>
  </si>
  <si>
    <t>Bajo en MG</t>
  </si>
  <si>
    <t>Mozza</t>
  </si>
  <si>
    <t>1. Características del queso</t>
  </si>
  <si>
    <t>EST salida salado</t>
  </si>
  <si>
    <t>MG salida salado</t>
  </si>
  <si>
    <t>=B4-B5</t>
  </si>
  <si>
    <t>=(1-B4)/(1-B5)</t>
  </si>
  <si>
    <t>=B5/B4</t>
  </si>
  <si>
    <t>2. Composición de la leche de fabricación</t>
  </si>
  <si>
    <t>Leche en cuba MG (g/L)</t>
  </si>
  <si>
    <t>Leche en cuba MP (g/L)</t>
  </si>
  <si>
    <t>3. Datos tecnológicos</t>
  </si>
  <si>
    <t>Recup MP (dato real de la fabricación)</t>
  </si>
  <si>
    <t>4. Cálculos</t>
  </si>
  <si>
    <t>ESM queso obtenido a partir de MP leche (g/L)</t>
  </si>
  <si>
    <t>=B13*B11</t>
  </si>
  <si>
    <t>=B6*1000/B15</t>
  </si>
  <si>
    <t>=B5*1000/B16</t>
  </si>
  <si>
    <t>=B17/B10</t>
  </si>
  <si>
    <t>MG pérdida bruta en suero (g/L)</t>
  </si>
  <si>
    <t>=B17-B10</t>
  </si>
  <si>
    <t>MG pérdida bruta en suero %</t>
  </si>
  <si>
    <t>=B19/B10</t>
  </si>
  <si>
    <t>Consumo MG/kg queso</t>
  </si>
  <si>
    <t>=B10*B16</t>
  </si>
  <si>
    <t>=B11*B16</t>
  </si>
  <si>
    <t>MG a salida de sal (%)</t>
  </si>
  <si>
    <t>Composición leche MG (g/L)</t>
  </si>
  <si>
    <t>Composición leche MP (g/L)</t>
  </si>
  <si>
    <t>Datos de la fabricación real</t>
  </si>
  <si>
    <t>Utilización de nata de suero</t>
  </si>
  <si>
    <t>Precio resultante de la materia</t>
  </si>
  <si>
    <t>⁰C medida</t>
  </si>
  <si>
    <t>Consumo g MP/kg queso</t>
  </si>
  <si>
    <t>Coste MG (euros/kg)</t>
  </si>
  <si>
    <t>Coste MP (euros/kg)</t>
  </si>
  <si>
    <t>Desviaciones por componente de materia prima</t>
  </si>
  <si>
    <t>Análisis de desviaciones</t>
  </si>
  <si>
    <t>Total MG</t>
  </si>
  <si>
    <t>Total MP</t>
  </si>
  <si>
    <t>Desv kg</t>
  </si>
  <si>
    <t>Desviaciones por composición queso + tecnología</t>
  </si>
  <si>
    <t>Total explicado por composición queso + tecnología</t>
  </si>
  <si>
    <t>Recuperación materia (MG+MP)</t>
  </si>
  <si>
    <t>Densidad nata a 20 °C (kg/L)</t>
  </si>
  <si>
    <t>Presupuesto</t>
  </si>
  <si>
    <t>Consumos y desviaciones por consumo y precio</t>
  </si>
  <si>
    <t>Total desviaciones por consumo</t>
  </si>
  <si>
    <t>Total desviaciones por precio</t>
  </si>
  <si>
    <t xml:space="preserve"> Calidad real                </t>
  </si>
  <si>
    <t xml:space="preserve"> 3   décimas (4,10 vs 3,80)  </t>
  </si>
  <si>
    <t xml:space="preserve"> 1,5 décimas (3,45 vs 3,30)  </t>
  </si>
  <si>
    <t xml:space="preserve">                             </t>
  </si>
  <si>
    <t xml:space="preserve"> Bienestar animal </t>
  </si>
  <si>
    <t xml:space="preserve"> certificacion Welfair/AENOR </t>
  </si>
  <si>
    <t xml:space="preserve"> Letra Q          </t>
  </si>
  <si>
    <t>Grasa (MG)</t>
  </si>
  <si>
    <t>Proteína (MP)</t>
  </si>
  <si>
    <t>Recuento de células somáticas (RCS)</t>
  </si>
  <si>
    <t>Recuento de bacterias totales (RB)</t>
  </si>
  <si>
    <t>Límite prima</t>
  </si>
  <si>
    <t xml:space="preserve"> Bonificación
(€/L)</t>
  </si>
  <si>
    <t>Resultado analítico</t>
  </si>
  <si>
    <t>Sí</t>
  </si>
  <si>
    <t>1. Datos presupuesto</t>
  </si>
  <si>
    <t>2. Liquidación real mensual</t>
  </si>
  <si>
    <t xml:space="preserve">Precio base </t>
  </si>
  <si>
    <t xml:space="preserve">Primas Calidad (MG + MP) </t>
  </si>
  <si>
    <t>Higiene (RCS + RB)</t>
  </si>
  <si>
    <t>Sostenibilidad (BA + Letra Q)</t>
  </si>
  <si>
    <t>Precio neto final</t>
  </si>
  <si>
    <t>MG &gt; 3,80%</t>
  </si>
  <si>
    <t>MP &gt; 3,30%</t>
  </si>
  <si>
    <t>RCS &lt; 200.000</t>
  </si>
  <si>
    <t>RB &lt; 50.000</t>
  </si>
  <si>
    <t>Ejemplo simplificado de liquidación mensual de precio de leche de vaca</t>
  </si>
  <si>
    <t>Prima</t>
  </si>
  <si>
    <t>Calidad real
(diferencia entre resultado y límite prima)</t>
  </si>
  <si>
    <t>Concepto</t>
  </si>
  <si>
    <t>Consumo g MG/kg queso</t>
  </si>
  <si>
    <t xml:space="preserve">Desv total
€ </t>
  </si>
  <si>
    <t>Desv
kg</t>
  </si>
  <si>
    <t>Desv
€ /kg</t>
  </si>
  <si>
    <t>Prima
(€/L)</t>
  </si>
  <si>
    <t>+ 0,008</t>
  </si>
  <si>
    <t>+ 0,005</t>
  </si>
  <si>
    <t>+ 0,007</t>
  </si>
  <si>
    <t>+ 0,010</t>
  </si>
  <si>
    <t>Precio
pagado</t>
  </si>
  <si>
    <t>Parámetro para pago por calidad
(valores presupuestados)</t>
  </si>
  <si>
    <t>Parámetro para pago por calidad
Mes de ABRIL</t>
  </si>
  <si>
    <t>1. Precio base</t>
  </si>
  <si>
    <t>2. Primas calidad (MG/MP)</t>
  </si>
  <si>
    <t>3. Primas higiene</t>
  </si>
  <si>
    <t>4. Prima sostenibilidad</t>
  </si>
  <si>
    <t>5. Total precio al ganadero</t>
  </si>
  <si>
    <t>6. Coste transporte + otros recogida</t>
  </si>
  <si>
    <t>7. Materia grasa</t>
  </si>
  <si>
    <t>8. Proteína</t>
  </si>
  <si>
    <t>9. Materia grasa</t>
  </si>
  <si>
    <t>10. Proteinas totales</t>
  </si>
  <si>
    <t>11. Materia grasa</t>
  </si>
  <si>
    <t>12. Proteinas totales</t>
  </si>
  <si>
    <t>13. Lactosa</t>
  </si>
  <si>
    <t>14. Sales minerales y otros</t>
  </si>
  <si>
    <t>15. Agua</t>
  </si>
  <si>
    <t>16. Densidad</t>
  </si>
  <si>
    <t>17. Valoración MG</t>
  </si>
  <si>
    <t>18. Valoración MP</t>
  </si>
  <si>
    <t>19. Precio MG (euros/kg)</t>
  </si>
  <si>
    <t>20. Precio MP (euros/kg)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</si>
</sst>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#,##0_ ;[Red]\-#,##0\ "/>
    <numFmt numFmtId="165" formatCode="#,##0.000_ ;[Red]\-#,##0.000\ "/>
    <numFmt numFmtId="166" formatCode="0.0%"/>
    <numFmt numFmtId="167" formatCode="0.000"/>
    <numFmt numFmtId="168" formatCode="_-* #,##0.00\ _€_-;\-* #,##0.00\ _€_-;_-* &quot;-&quot;??\ _€_-;_-@_-"/>
    <numFmt numFmtId="169" formatCode="#,##0.00_ ;[Red]\-#,##0.00\ "/>
    <numFmt numFmtId="170" formatCode="0.0"/>
    <numFmt numFmtId="171" formatCode="0.0000"/>
    <numFmt numFmtId="172" formatCode="0.0000_ ;[Red]\-0.0000\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18">
    <xf numFmtId="0" fontId="0" fillId="0" borderId="0" xfId="0"/>
    <xf numFmtId="164" fontId="0" fillId="0" borderId="1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0" xfId="0" applyNumberFormat="1"/>
    <xf numFmtId="164" fontId="0" fillId="0" borderId="8" xfId="0" applyNumberFormat="1" applyBorder="1"/>
    <xf numFmtId="167" fontId="0" fillId="0" borderId="12" xfId="0" applyNumberFormat="1" applyBorder="1"/>
    <xf numFmtId="164" fontId="0" fillId="0" borderId="11" xfId="0" applyNumberFormat="1" applyBorder="1" applyAlignment="1">
      <alignment horizontal="left"/>
    </xf>
    <xf numFmtId="167" fontId="0" fillId="0" borderId="8" xfId="0" applyNumberFormat="1" applyBorder="1"/>
    <xf numFmtId="164" fontId="0" fillId="0" borderId="8" xfId="0" applyNumberFormat="1" applyBorder="1" applyAlignment="1">
      <alignment horizontal="left"/>
    </xf>
    <xf numFmtId="2" fontId="0" fillId="0" borderId="12" xfId="0" applyNumberFormat="1" applyBorder="1"/>
    <xf numFmtId="2" fontId="0" fillId="0" borderId="11" xfId="0" applyNumberFormat="1" applyBorder="1"/>
    <xf numFmtId="2" fontId="0" fillId="0" borderId="10" xfId="0" applyNumberFormat="1" applyBorder="1"/>
    <xf numFmtId="2" fontId="0" fillId="0" borderId="8" xfId="0" applyNumberFormat="1" applyBorder="1"/>
    <xf numFmtId="164" fontId="0" fillId="0" borderId="3" xfId="0" applyNumberFormat="1" applyBorder="1" applyAlignment="1">
      <alignment horizontal="left"/>
    </xf>
    <xf numFmtId="10" fontId="0" fillId="0" borderId="5" xfId="1" applyNumberFormat="1" applyFont="1" applyFill="1" applyBorder="1"/>
    <xf numFmtId="167" fontId="0" fillId="0" borderId="5" xfId="0" applyNumberFormat="1" applyBorder="1"/>
    <xf numFmtId="164" fontId="0" fillId="0" borderId="5" xfId="0" applyNumberFormat="1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10" fontId="1" fillId="0" borderId="5" xfId="1" applyNumberFormat="1" applyFont="1" applyFill="1" applyBorder="1"/>
    <xf numFmtId="0" fontId="0" fillId="0" borderId="8" xfId="0" applyBorder="1"/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10" fontId="0" fillId="0" borderId="11" xfId="0" applyNumberFormat="1" applyBorder="1"/>
    <xf numFmtId="165" fontId="0" fillId="0" borderId="11" xfId="0" applyNumberFormat="1" applyBorder="1"/>
    <xf numFmtId="10" fontId="0" fillId="0" borderId="0" xfId="0" applyNumberFormat="1"/>
    <xf numFmtId="164" fontId="0" fillId="0" borderId="5" xfId="0" applyNumberFormat="1" applyBorder="1" applyAlignment="1">
      <alignment horizontal="left" indent="1"/>
    </xf>
    <xf numFmtId="2" fontId="0" fillId="0" borderId="0" xfId="0" applyNumberFormat="1"/>
    <xf numFmtId="10" fontId="0" fillId="0" borderId="11" xfId="1" applyNumberFormat="1" applyFont="1" applyFill="1" applyBorder="1"/>
    <xf numFmtId="10" fontId="0" fillId="4" borderId="5" xfId="1" applyNumberFormat="1" applyFont="1" applyFill="1" applyBorder="1"/>
    <xf numFmtId="0" fontId="0" fillId="0" borderId="6" xfId="0" applyBorder="1" applyAlignment="1">
      <alignment horizontal="left" indent="1"/>
    </xf>
    <xf numFmtId="0" fontId="2" fillId="0" borderId="9" xfId="0" applyFont="1" applyBorder="1"/>
    <xf numFmtId="10" fontId="0" fillId="0" borderId="0" xfId="1" applyNumberFormat="1" applyFont="1"/>
    <xf numFmtId="164" fontId="0" fillId="4" borderId="5" xfId="0" applyNumberFormat="1" applyFill="1" applyBorder="1"/>
    <xf numFmtId="169" fontId="0" fillId="0" borderId="5" xfId="0" applyNumberFormat="1" applyBorder="1"/>
    <xf numFmtId="166" fontId="0" fillId="0" borderId="0" xfId="1" applyNumberFormat="1" applyFont="1"/>
    <xf numFmtId="9" fontId="0" fillId="0" borderId="0" xfId="0" applyNumberFormat="1"/>
    <xf numFmtId="0" fontId="0" fillId="0" borderId="6" xfId="0" applyBorder="1" applyAlignment="1">
      <alignment horizontal="left" indent="2"/>
    </xf>
    <xf numFmtId="0" fontId="5" fillId="0" borderId="0" xfId="0" applyFont="1"/>
    <xf numFmtId="164" fontId="0" fillId="0" borderId="6" xfId="0" applyNumberFormat="1" applyBorder="1" applyAlignment="1">
      <alignment horizontal="left" indent="1"/>
    </xf>
    <xf numFmtId="164" fontId="0" fillId="0" borderId="15" xfId="0" applyNumberFormat="1" applyBorder="1" applyAlignment="1">
      <alignment horizontal="left" indent="1"/>
    </xf>
    <xf numFmtId="10" fontId="0" fillId="4" borderId="11" xfId="1" applyNumberFormat="1" applyFont="1" applyFill="1" applyBorder="1"/>
    <xf numFmtId="0" fontId="0" fillId="4" borderId="5" xfId="0" applyFill="1" applyBorder="1"/>
    <xf numFmtId="164" fontId="0" fillId="0" borderId="11" xfId="0" applyNumberFormat="1" applyBorder="1" applyAlignment="1">
      <alignment horizontal="left" indent="1"/>
    </xf>
    <xf numFmtId="164" fontId="6" fillId="0" borderId="8" xfId="0" applyNumberFormat="1" applyFont="1" applyBorder="1" applyAlignment="1">
      <alignment horizontal="left"/>
    </xf>
    <xf numFmtId="164" fontId="0" fillId="0" borderId="5" xfId="0" applyNumberFormat="1" applyBorder="1" applyAlignment="1">
      <alignment horizontal="left" indent="2"/>
    </xf>
    <xf numFmtId="0" fontId="0" fillId="0" borderId="15" xfId="0" applyBorder="1" applyAlignment="1">
      <alignment horizontal="left" indent="1"/>
    </xf>
    <xf numFmtId="165" fontId="0" fillId="4" borderId="11" xfId="0" applyNumberFormat="1" applyFill="1" applyBorder="1"/>
    <xf numFmtId="164" fontId="0" fillId="2" borderId="8" xfId="0" applyNumberFormat="1" applyFill="1" applyBorder="1"/>
    <xf numFmtId="10" fontId="0" fillId="2" borderId="8" xfId="1" applyNumberFormat="1" applyFont="1" applyFill="1" applyBorder="1"/>
    <xf numFmtId="10" fontId="0" fillId="2" borderId="5" xfId="1" applyNumberFormat="1" applyFont="1" applyFill="1" applyBorder="1"/>
    <xf numFmtId="165" fontId="0" fillId="0" borderId="0" xfId="0" applyNumberFormat="1"/>
    <xf numFmtId="0" fontId="0" fillId="0" borderId="9" xfId="0" applyBorder="1" applyAlignment="1">
      <alignment horizontal="left" indent="1"/>
    </xf>
    <xf numFmtId="164" fontId="0" fillId="0" borderId="6" xfId="0" applyNumberFormat="1" applyBorder="1" applyAlignment="1">
      <alignment horizontal="left" indent="2"/>
    </xf>
    <xf numFmtId="0" fontId="2" fillId="7" borderId="8" xfId="0" applyFont="1" applyFill="1" applyBorder="1" applyAlignment="1">
      <alignment horizontal="center" vertical="center"/>
    </xf>
    <xf numFmtId="170" fontId="0" fillId="0" borderId="0" xfId="0" applyNumberFormat="1"/>
    <xf numFmtId="0" fontId="0" fillId="0" borderId="0" xfId="0" applyAlignment="1">
      <alignment horizontal="right" indent="1"/>
    </xf>
    <xf numFmtId="164" fontId="2" fillId="0" borderId="0" xfId="0" applyNumberFormat="1" applyFont="1"/>
    <xf numFmtId="167" fontId="0" fillId="0" borderId="0" xfId="0" applyNumberFormat="1"/>
    <xf numFmtId="0" fontId="4" fillId="0" borderId="14" xfId="0" quotePrefix="1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2" fontId="0" fillId="0" borderId="6" xfId="0" applyNumberFormat="1" applyBorder="1"/>
    <xf numFmtId="10" fontId="0" fillId="0" borderId="4" xfId="1" applyNumberFormat="1" applyFont="1" applyBorder="1"/>
    <xf numFmtId="170" fontId="0" fillId="0" borderId="6" xfId="0" applyNumberFormat="1" applyBorder="1"/>
    <xf numFmtId="166" fontId="0" fillId="0" borderId="4" xfId="1" applyNumberFormat="1" applyFont="1" applyBorder="1"/>
    <xf numFmtId="169" fontId="0" fillId="0" borderId="6" xfId="0" applyNumberFormat="1" applyBorder="1"/>
    <xf numFmtId="0" fontId="2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166" fontId="0" fillId="0" borderId="0" xfId="1" applyNumberFormat="1" applyFont="1" applyBorder="1"/>
    <xf numFmtId="10" fontId="0" fillId="0" borderId="0" xfId="1" applyNumberFormat="1" applyFont="1" applyBorder="1"/>
    <xf numFmtId="2" fontId="0" fillId="0" borderId="5" xfId="0" applyNumberFormat="1" applyBorder="1"/>
    <xf numFmtId="0" fontId="7" fillId="0" borderId="0" xfId="3"/>
    <xf numFmtId="164" fontId="10" fillId="9" borderId="0" xfId="0" applyNumberFormat="1" applyFont="1" applyFill="1"/>
    <xf numFmtId="10" fontId="0" fillId="8" borderId="0" xfId="0" applyNumberFormat="1" applyFill="1"/>
    <xf numFmtId="0" fontId="2" fillId="0" borderId="0" xfId="0" applyFont="1"/>
    <xf numFmtId="164" fontId="0" fillId="0" borderId="9" xfId="0" applyNumberFormat="1" applyBorder="1" applyAlignment="1">
      <alignment horizontal="left" indent="1"/>
    </xf>
    <xf numFmtId="167" fontId="0" fillId="0" borderId="11" xfId="0" applyNumberFormat="1" applyBorder="1"/>
    <xf numFmtId="0" fontId="0" fillId="5" borderId="0" xfId="0" applyFill="1"/>
    <xf numFmtId="2" fontId="0" fillId="5" borderId="0" xfId="0" applyNumberFormat="1" applyFill="1"/>
    <xf numFmtId="165" fontId="2" fillId="0" borderId="1" xfId="0" applyNumberFormat="1" applyFont="1" applyBorder="1"/>
    <xf numFmtId="0" fontId="11" fillId="0" borderId="0" xfId="0" applyFont="1"/>
    <xf numFmtId="169" fontId="0" fillId="4" borderId="5" xfId="0" applyNumberFormat="1" applyFill="1" applyBorder="1"/>
    <xf numFmtId="165" fontId="0" fillId="4" borderId="5" xfId="0" applyNumberFormat="1" applyFill="1" applyBorder="1"/>
    <xf numFmtId="165" fontId="0" fillId="2" borderId="8" xfId="0" applyNumberFormat="1" applyFill="1" applyBorder="1"/>
    <xf numFmtId="169" fontId="0" fillId="2" borderId="5" xfId="0" applyNumberFormat="1" applyFill="1" applyBorder="1"/>
    <xf numFmtId="10" fontId="0" fillId="0" borderId="7" xfId="1" applyNumberFormat="1" applyFont="1" applyBorder="1"/>
    <xf numFmtId="0" fontId="12" fillId="0" borderId="0" xfId="0" applyFont="1"/>
    <xf numFmtId="0" fontId="2" fillId="0" borderId="1" xfId="0" applyFont="1" applyBorder="1" applyAlignment="1">
      <alignment horizontal="center" vertical="center"/>
    </xf>
    <xf numFmtId="164" fontId="0" fillId="0" borderId="2" xfId="0" applyNumberFormat="1" applyBorder="1"/>
    <xf numFmtId="166" fontId="0" fillId="0" borderId="13" xfId="0" applyNumberFormat="1" applyBorder="1"/>
    <xf numFmtId="166" fontId="0" fillId="0" borderId="3" xfId="0" applyNumberFormat="1" applyBorder="1"/>
    <xf numFmtId="2" fontId="0" fillId="0" borderId="2" xfId="0" applyNumberFormat="1" applyBorder="1"/>
    <xf numFmtId="10" fontId="0" fillId="0" borderId="13" xfId="0" applyNumberFormat="1" applyBorder="1"/>
    <xf numFmtId="10" fontId="0" fillId="0" borderId="3" xfId="0" applyNumberFormat="1" applyBorder="1"/>
    <xf numFmtId="10" fontId="0" fillId="0" borderId="13" xfId="1" applyNumberFormat="1" applyFont="1" applyBorder="1"/>
    <xf numFmtId="170" fontId="0" fillId="0" borderId="2" xfId="0" applyNumberFormat="1" applyBorder="1"/>
    <xf numFmtId="167" fontId="0" fillId="0" borderId="6" xfId="0" applyNumberFormat="1" applyBorder="1"/>
    <xf numFmtId="164" fontId="2" fillId="0" borderId="8" xfId="0" applyNumberFormat="1" applyFont="1" applyBorder="1" applyAlignment="1">
      <alignment horizontal="left"/>
    </xf>
    <xf numFmtId="164" fontId="2" fillId="0" borderId="5" xfId="0" applyNumberFormat="1" applyFont="1" applyBorder="1" applyAlignment="1">
      <alignment horizontal="left"/>
    </xf>
    <xf numFmtId="9" fontId="0" fillId="4" borderId="5" xfId="1" applyFont="1" applyFill="1" applyBorder="1"/>
    <xf numFmtId="164" fontId="0" fillId="0" borderId="11" xfId="0" applyNumberFormat="1" applyBorder="1" applyAlignment="1">
      <alignment horizontal="left" indent="4"/>
    </xf>
    <xf numFmtId="164" fontId="2" fillId="0" borderId="6" xfId="0" applyNumberFormat="1" applyFont="1" applyBorder="1" applyAlignment="1">
      <alignment horizontal="left"/>
    </xf>
    <xf numFmtId="9" fontId="0" fillId="0" borderId="5" xfId="1" applyFont="1" applyBorder="1"/>
    <xf numFmtId="1" fontId="0" fillId="0" borderId="11" xfId="0" applyNumberFormat="1" applyBorder="1"/>
    <xf numFmtId="0" fontId="2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left"/>
    </xf>
    <xf numFmtId="165" fontId="0" fillId="8" borderId="1" xfId="0" applyNumberFormat="1" applyFill="1" applyBorder="1"/>
    <xf numFmtId="164" fontId="5" fillId="4" borderId="8" xfId="0" applyNumberFormat="1" applyFont="1" applyFill="1" applyBorder="1" applyAlignment="1">
      <alignment horizontal="left"/>
    </xf>
    <xf numFmtId="164" fontId="0" fillId="4" borderId="5" xfId="0" applyNumberFormat="1" applyFill="1" applyBorder="1" applyAlignment="1">
      <alignment horizontal="left" indent="1"/>
    </xf>
    <xf numFmtId="164" fontId="0" fillId="4" borderId="11" xfId="0" applyNumberFormat="1" applyFill="1" applyBorder="1" applyAlignment="1">
      <alignment horizontal="left" indent="1"/>
    </xf>
    <xf numFmtId="10" fontId="0" fillId="0" borderId="5" xfId="1" quotePrefix="1" applyNumberFormat="1" applyFont="1" applyFill="1" applyBorder="1"/>
    <xf numFmtId="10" fontId="1" fillId="0" borderId="5" xfId="1" quotePrefix="1" applyNumberFormat="1" applyFont="1" applyFill="1" applyBorder="1"/>
    <xf numFmtId="10" fontId="0" fillId="0" borderId="11" xfId="0" quotePrefix="1" applyNumberFormat="1" applyBorder="1"/>
    <xf numFmtId="164" fontId="5" fillId="2" borderId="8" xfId="0" applyNumberFormat="1" applyFont="1" applyFill="1" applyBorder="1" applyAlignment="1">
      <alignment horizontal="left"/>
    </xf>
    <xf numFmtId="10" fontId="0" fillId="2" borderId="8" xfId="0" applyNumberFormat="1" applyFill="1" applyBorder="1"/>
    <xf numFmtId="164" fontId="0" fillId="2" borderId="5" xfId="0" applyNumberFormat="1" applyFill="1" applyBorder="1" applyAlignment="1">
      <alignment horizontal="left" indent="1"/>
    </xf>
    <xf numFmtId="164" fontId="0" fillId="2" borderId="11" xfId="0" applyNumberFormat="1" applyFill="1" applyBorder="1" applyAlignment="1">
      <alignment horizontal="left" indent="1"/>
    </xf>
    <xf numFmtId="169" fontId="0" fillId="2" borderId="11" xfId="0" applyNumberFormat="1" applyFill="1" applyBorder="1"/>
    <xf numFmtId="164" fontId="5" fillId="6" borderId="8" xfId="0" applyNumberFormat="1" applyFont="1" applyFill="1" applyBorder="1" applyAlignment="1">
      <alignment horizontal="left"/>
    </xf>
    <xf numFmtId="169" fontId="0" fillId="6" borderId="8" xfId="0" applyNumberFormat="1" applyFill="1" applyBorder="1"/>
    <xf numFmtId="164" fontId="0" fillId="6" borderId="11" xfId="0" applyNumberFormat="1" applyFill="1" applyBorder="1" applyAlignment="1">
      <alignment horizontal="left" indent="1"/>
    </xf>
    <xf numFmtId="10" fontId="0" fillId="6" borderId="11" xfId="1" applyNumberFormat="1" applyFont="1" applyFill="1" applyBorder="1"/>
    <xf numFmtId="164" fontId="5" fillId="10" borderId="8" xfId="0" applyNumberFormat="1" applyFont="1" applyFill="1" applyBorder="1" applyAlignment="1">
      <alignment horizontal="left"/>
    </xf>
    <xf numFmtId="10" fontId="0" fillId="10" borderId="8" xfId="1" applyNumberFormat="1" applyFont="1" applyFill="1" applyBorder="1"/>
    <xf numFmtId="169" fontId="0" fillId="0" borderId="5" xfId="0" quotePrefix="1" applyNumberFormat="1" applyBorder="1"/>
    <xf numFmtId="165" fontId="0" fillId="10" borderId="5" xfId="0" quotePrefix="1" applyNumberFormat="1" applyFill="1" applyBorder="1"/>
    <xf numFmtId="165" fontId="0" fillId="10" borderId="5" xfId="0" applyNumberFormat="1" applyFill="1" applyBorder="1"/>
    <xf numFmtId="10" fontId="0" fillId="10" borderId="5" xfId="1" quotePrefix="1" applyNumberFormat="1" applyFont="1" applyFill="1" applyBorder="1"/>
    <xf numFmtId="10" fontId="0" fillId="10" borderId="5" xfId="1" applyNumberFormat="1" applyFont="1" applyFill="1" applyBorder="1"/>
    <xf numFmtId="164" fontId="0" fillId="0" borderId="8" xfId="0" applyNumberFormat="1" applyBorder="1" applyAlignment="1">
      <alignment horizontal="left" indent="1"/>
    </xf>
    <xf numFmtId="169" fontId="0" fillId="0" borderId="8" xfId="0" quotePrefix="1" applyNumberFormat="1" applyBorder="1"/>
    <xf numFmtId="169" fontId="0" fillId="0" borderId="8" xfId="0" applyNumberFormat="1" applyBorder="1"/>
    <xf numFmtId="10" fontId="0" fillId="0" borderId="11" xfId="1" quotePrefix="1" applyNumberFormat="1" applyFont="1" applyBorder="1"/>
    <xf numFmtId="10" fontId="0" fillId="0" borderId="11" xfId="1" applyNumberFormat="1" applyFont="1" applyBorder="1"/>
    <xf numFmtId="2" fontId="0" fillId="0" borderId="8" xfId="0" quotePrefix="1" applyNumberFormat="1" applyBorder="1"/>
    <xf numFmtId="2" fontId="0" fillId="0" borderId="11" xfId="0" quotePrefix="1" applyNumberFormat="1" applyBorder="1"/>
    <xf numFmtId="164" fontId="0" fillId="0" borderId="0" xfId="0" applyNumberFormat="1" applyAlignment="1">
      <alignment horizontal="left"/>
    </xf>
    <xf numFmtId="10" fontId="0" fillId="0" borderId="0" xfId="1" applyNumberFormat="1" applyFont="1" applyFill="1" applyBorder="1"/>
    <xf numFmtId="167" fontId="0" fillId="0" borderId="9" xfId="0" applyNumberFormat="1" applyBorder="1"/>
    <xf numFmtId="165" fontId="0" fillId="0" borderId="8" xfId="0" applyNumberFormat="1" applyBorder="1"/>
    <xf numFmtId="169" fontId="0" fillId="0" borderId="0" xfId="0" applyNumberFormat="1"/>
    <xf numFmtId="0" fontId="0" fillId="0" borderId="11" xfId="0" applyBorder="1"/>
    <xf numFmtId="0" fontId="0" fillId="0" borderId="5" xfId="0" applyBorder="1" applyAlignment="1">
      <alignment horizontal="left" indent="2"/>
    </xf>
    <xf numFmtId="0" fontId="2" fillId="0" borderId="11" xfId="0" applyFont="1" applyBorder="1" applyAlignment="1">
      <alignment horizontal="left" indent="1"/>
    </xf>
    <xf numFmtId="165" fontId="0" fillId="0" borderId="6" xfId="0" applyNumberFormat="1" applyBorder="1"/>
    <xf numFmtId="165" fontId="2" fillId="0" borderId="11" xfId="0" applyNumberFormat="1" applyFont="1" applyBorder="1"/>
    <xf numFmtId="165" fontId="0" fillId="0" borderId="4" xfId="0" applyNumberFormat="1" applyBorder="1"/>
    <xf numFmtId="165" fontId="0" fillId="0" borderId="12" xfId="0" applyNumberFormat="1" applyBorder="1"/>
    <xf numFmtId="165" fontId="0" fillId="0" borderId="1" xfId="0" applyNumberFormat="1" applyBorder="1"/>
    <xf numFmtId="0" fontId="2" fillId="0" borderId="15" xfId="0" applyFont="1" applyBorder="1" applyAlignment="1">
      <alignment horizontal="left" indent="1"/>
    </xf>
    <xf numFmtId="0" fontId="2" fillId="0" borderId="9" xfId="0" applyFont="1" applyBorder="1" applyAlignment="1">
      <alignment horizontal="left" indent="1"/>
    </xf>
    <xf numFmtId="165" fontId="0" fillId="0" borderId="7" xfId="0" applyNumberFormat="1" applyBorder="1"/>
    <xf numFmtId="0" fontId="0" fillId="0" borderId="10" xfId="0" applyBorder="1"/>
    <xf numFmtId="0" fontId="0" fillId="0" borderId="2" xfId="0" applyBorder="1" applyAlignment="1">
      <alignment horizontal="left" indent="1"/>
    </xf>
    <xf numFmtId="0" fontId="0" fillId="0" borderId="3" xfId="0" applyBorder="1"/>
    <xf numFmtId="9" fontId="0" fillId="0" borderId="1" xfId="1" applyFont="1" applyBorder="1"/>
    <xf numFmtId="0" fontId="2" fillId="0" borderId="2" xfId="0" applyFont="1" applyBorder="1"/>
    <xf numFmtId="165" fontId="2" fillId="0" borderId="3" xfId="0" applyNumberFormat="1" applyFont="1" applyBorder="1"/>
    <xf numFmtId="165" fontId="2" fillId="0" borderId="2" xfId="0" applyNumberFormat="1" applyFont="1" applyBorder="1"/>
    <xf numFmtId="165" fontId="0" fillId="12" borderId="8" xfId="0" applyNumberFormat="1" applyFill="1" applyBorder="1"/>
    <xf numFmtId="165" fontId="0" fillId="12" borderId="11" xfId="0" applyNumberFormat="1" applyFill="1" applyBorder="1"/>
    <xf numFmtId="164" fontId="0" fillId="0" borderId="13" xfId="0" applyNumberFormat="1" applyBorder="1"/>
    <xf numFmtId="164" fontId="2" fillId="0" borderId="2" xfId="0" applyNumberFormat="1" applyFont="1" applyBorder="1" applyAlignment="1">
      <alignment horizontal="left"/>
    </xf>
    <xf numFmtId="0" fontId="0" fillId="0" borderId="6" xfId="0" applyBorder="1"/>
    <xf numFmtId="0" fontId="0" fillId="0" borderId="15" xfId="0" applyBorder="1"/>
    <xf numFmtId="169" fontId="0" fillId="0" borderId="6" xfId="0" applyNumberFormat="1" applyBorder="1" applyAlignment="1">
      <alignment horizontal="center"/>
    </xf>
    <xf numFmtId="169" fontId="0" fillId="0" borderId="1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0" fontId="0" fillId="0" borderId="6" xfId="1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0" borderId="8" xfId="1" applyNumberFormat="1" applyFont="1" applyBorder="1" applyAlignment="1">
      <alignment horizontal="center"/>
    </xf>
    <xf numFmtId="10" fontId="0" fillId="0" borderId="5" xfId="1" applyNumberFormat="1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172" fontId="0" fillId="0" borderId="8" xfId="0" applyNumberFormat="1" applyBorder="1"/>
    <xf numFmtId="172" fontId="0" fillId="0" borderId="5" xfId="0" applyNumberFormat="1" applyBorder="1"/>
    <xf numFmtId="172" fontId="0" fillId="0" borderId="11" xfId="0" applyNumberFormat="1" applyBorder="1"/>
    <xf numFmtId="0" fontId="3" fillId="0" borderId="0" xfId="0" applyFont="1"/>
    <xf numFmtId="10" fontId="0" fillId="0" borderId="5" xfId="0" applyNumberFormat="1" applyBorder="1"/>
    <xf numFmtId="165" fontId="0" fillId="2" borderId="5" xfId="0" applyNumberFormat="1" applyFill="1" applyBorder="1"/>
    <xf numFmtId="165" fontId="0" fillId="2" borderId="11" xfId="0" applyNumberFormat="1" applyFill="1" applyBorder="1"/>
    <xf numFmtId="165" fontId="2" fillId="7" borderId="8" xfId="0" applyNumberFormat="1" applyFont="1" applyFill="1" applyBorder="1" applyAlignment="1">
      <alignment horizontal="center" vertical="center" wrapText="1"/>
    </xf>
    <xf numFmtId="164" fontId="2" fillId="11" borderId="1" xfId="0" applyNumberFormat="1" applyFont="1" applyFill="1" applyBorder="1" applyAlignment="1">
      <alignment horizontal="left" vertical="center"/>
    </xf>
    <xf numFmtId="10" fontId="2" fillId="11" borderId="1" xfId="1" applyNumberFormat="1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horizontal="center" vertical="center"/>
    </xf>
    <xf numFmtId="165" fontId="2" fillId="7" borderId="1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/>
    <xf numFmtId="171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  <xf numFmtId="0" fontId="0" fillId="0" borderId="12" xfId="0" quotePrefix="1" applyBorder="1" applyAlignment="1">
      <alignment horizontal="center"/>
    </xf>
    <xf numFmtId="171" fontId="0" fillId="0" borderId="4" xfId="0" applyNumberFormat="1" applyBorder="1" applyAlignment="1">
      <alignment horizontal="center"/>
    </xf>
    <xf numFmtId="171" fontId="0" fillId="0" borderId="16" xfId="0" applyNumberFormat="1" applyBorder="1" applyAlignment="1">
      <alignment horizontal="center"/>
    </xf>
    <xf numFmtId="171" fontId="0" fillId="0" borderId="0" xfId="0" applyNumberFormat="1" applyAlignment="1">
      <alignment horizontal="center"/>
    </xf>
    <xf numFmtId="171" fontId="0" fillId="0" borderId="12" xfId="0" applyNumberFormat="1" applyBorder="1" applyAlignment="1">
      <alignment horizontal="center"/>
    </xf>
    <xf numFmtId="0" fontId="2" fillId="13" borderId="2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13" xfId="0" applyFont="1" applyFill="1" applyBorder="1" applyAlignment="1">
      <alignment horizontal="center" vertical="center" wrapText="1"/>
    </xf>
    <xf numFmtId="171" fontId="0" fillId="0" borderId="8" xfId="0" applyNumberFormat="1" applyBorder="1" applyAlignment="1">
      <alignment horizontal="center"/>
    </xf>
    <xf numFmtId="171" fontId="0" fillId="0" borderId="5" xfId="0" applyNumberFormat="1" applyBorder="1" applyAlignment="1">
      <alignment horizontal="center"/>
    </xf>
    <xf numFmtId="171" fontId="2" fillId="0" borderId="1" xfId="0" applyNumberFormat="1" applyFont="1" applyBorder="1" applyAlignment="1">
      <alignment horizontal="center"/>
    </xf>
    <xf numFmtId="169" fontId="2" fillId="13" borderId="1" xfId="0" applyNumberFormat="1" applyFont="1" applyFill="1" applyBorder="1" applyAlignment="1">
      <alignment horizontal="center" wrapText="1"/>
    </xf>
    <xf numFmtId="169" fontId="2" fillId="13" borderId="1" xfId="0" applyNumberFormat="1" applyFont="1" applyFill="1" applyBorder="1" applyAlignment="1">
      <alignment horizontal="center" vertical="center"/>
    </xf>
    <xf numFmtId="164" fontId="2" fillId="13" borderId="9" xfId="0" applyNumberFormat="1" applyFont="1" applyFill="1" applyBorder="1" applyAlignment="1">
      <alignment horizontal="left"/>
    </xf>
    <xf numFmtId="0" fontId="2" fillId="13" borderId="8" xfId="0" applyFont="1" applyFill="1" applyBorder="1" applyAlignment="1">
      <alignment horizontal="center"/>
    </xf>
    <xf numFmtId="172" fontId="0" fillId="2" borderId="11" xfId="0" applyNumberFormat="1" applyFill="1" applyBorder="1"/>
    <xf numFmtId="9" fontId="0" fillId="2" borderId="5" xfId="1" applyFont="1" applyFill="1" applyBorder="1"/>
    <xf numFmtId="167" fontId="2" fillId="2" borderId="5" xfId="0" applyNumberFormat="1" applyFont="1" applyFill="1" applyBorder="1"/>
    <xf numFmtId="167" fontId="2" fillId="2" borderId="11" xfId="0" applyNumberFormat="1" applyFont="1" applyFill="1" applyBorder="1"/>
    <xf numFmtId="0" fontId="2" fillId="0" borderId="6" xfId="0" applyFont="1" applyBorder="1" applyAlignment="1">
      <alignment horizontal="left"/>
    </xf>
    <xf numFmtId="172" fontId="2" fillId="0" borderId="1" xfId="0" applyNumberFormat="1" applyFont="1" applyBorder="1"/>
  </cellXfs>
  <cellStyles count="4">
    <cellStyle name="Hipervínculo" xfId="3" builtinId="8"/>
    <cellStyle name="Millares 2" xfId="2" xr:uid="{0DF497A4-B1A4-4A8E-B2C1-3A725AAFDCC2}"/>
    <cellStyle name="Normal" xfId="0" builtinId="0"/>
    <cellStyle name="Porcentaje" xfId="1" builtinId="5"/>
  </cellStyles>
  <dxfs count="0"/>
  <tableStyles count="1" defaultTableStyle="TableStyleMedium2" defaultPivotStyle="PivotStyleLight16">
    <tableStyle name="Invisible" pivot="0" table="0" count="0" xr9:uid="{C1A0B829-C718-46CC-8773-0D9C98C699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10" Type="http://schemas.openxmlformats.org/officeDocument/2006/relationships/externalLink" Target="externalLinks/externalLink3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Composición de queso y suero 
a partir de un volumen de leche</a:t>
            </a:r>
          </a:p>
        </c:rich>
      </c:tx>
      <c:layout>
        <c:manualLayout>
          <c:xMode val="edge"/>
          <c:yMode val="edge"/>
          <c:x val="0.45565266841644797"/>
          <c:y val="3.125E-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627755905511811"/>
          <c:y val="3.8115038115038115E-2"/>
          <c:w val="0.6046633858267717"/>
          <c:h val="0.7979375488927393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Proceso!$A$5</c:f>
              <c:strCache>
                <c:ptCount val="1"/>
                <c:pt idx="0">
                  <c:v>Agua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(Proceso!$B$4,Proceso!$E$4,Proceso!$K$4)</c:f>
              <c:strCache>
                <c:ptCount val="3"/>
                <c:pt idx="0">
                  <c:v>leche
(kg)</c:v>
                </c:pt>
                <c:pt idx="1">
                  <c:v>queso
 salida de sal
(kg)</c:v>
                </c:pt>
                <c:pt idx="2">
                  <c:v>suero desnatado
(kg)</c:v>
                </c:pt>
              </c:strCache>
            </c:strRef>
          </c:cat>
          <c:val>
            <c:numRef>
              <c:f>(Proceso!$B$5,Proceso!$E$5,Proceso!$K$5)</c:f>
              <c:numCache>
                <c:formatCode>0.00</c:formatCode>
                <c:ptCount val="3"/>
                <c:pt idx="0" formatCode="#,##0_ ;[Red]\-#,##0\ ">
                  <c:v>89.914599659044001</c:v>
                </c:pt>
                <c:pt idx="1">
                  <c:v>5.3713874999999982</c:v>
                </c:pt>
                <c:pt idx="2">
                  <c:v>83.440017977571969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3-48B5-B17A-5901C9628EAB}"/>
            </c:ext>
          </c:extLst>
        </c:ser>
        <c:ser>
          <c:idx val="1"/>
          <c:order val="1"/>
          <c:tx>
            <c:strRef>
              <c:f>Proceso!$A$6</c:f>
              <c:strCache>
                <c:ptCount val="1"/>
                <c:pt idx="0">
                  <c:v>Materia grasa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(Proceso!$B$4,Proceso!$E$4,Proceso!$K$4)</c:f>
              <c:strCache>
                <c:ptCount val="3"/>
                <c:pt idx="0">
                  <c:v>leche
(kg)</c:v>
                </c:pt>
                <c:pt idx="1">
                  <c:v>queso
 salida de sal
(kg)</c:v>
                </c:pt>
                <c:pt idx="2">
                  <c:v>suero desnatado
(kg)</c:v>
                </c:pt>
              </c:strCache>
            </c:strRef>
          </c:cat>
          <c:val>
            <c:numRef>
              <c:f>(Proceso!$B$6,Proceso!$E$6,Proceso!$K$6)</c:f>
              <c:numCache>
                <c:formatCode>0.00</c:formatCode>
                <c:ptCount val="3"/>
                <c:pt idx="0" formatCode="#,##0.00_ ;[Red]\-#,##0.00\ ">
                  <c:v>4.2403446035919998</c:v>
                </c:pt>
                <c:pt idx="1">
                  <c:v>3.3421966666666663</c:v>
                </c:pt>
                <c:pt idx="2">
                  <c:v>0.1526851492773067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F3-48B5-B17A-5901C9628EAB}"/>
            </c:ext>
          </c:extLst>
        </c:ser>
        <c:ser>
          <c:idx val="2"/>
          <c:order val="2"/>
          <c:tx>
            <c:strRef>
              <c:f>Proceso!$A$7</c:f>
              <c:strCache>
                <c:ptCount val="1"/>
                <c:pt idx="0">
                  <c:v>Proteinas totales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(Proceso!$B$4,Proceso!$E$4,Proceso!$K$4)</c:f>
              <c:strCache>
                <c:ptCount val="3"/>
                <c:pt idx="0">
                  <c:v>leche
(kg)</c:v>
                </c:pt>
                <c:pt idx="1">
                  <c:v>queso
 salida de sal
(kg)</c:v>
                </c:pt>
                <c:pt idx="2">
                  <c:v>suero desnatado
(kg)</c:v>
                </c:pt>
              </c:strCache>
            </c:strRef>
          </c:cat>
          <c:val>
            <c:numRef>
              <c:f>(Proceso!$B$7,Proceso!$E$7,Proceso!$K$7)</c:f>
              <c:numCache>
                <c:formatCode>0.00</c:formatCode>
                <c:ptCount val="3"/>
                <c:pt idx="0" formatCode="#,##0.00_ ;[Red]\-#,##0.00\ ">
                  <c:v>3.5680948493639999</c:v>
                </c:pt>
                <c:pt idx="1">
                  <c:v>2.8862255499999998</c:v>
                </c:pt>
                <c:pt idx="2">
                  <c:v>0.67686929936400009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F3-48B5-B17A-5901C9628EAB}"/>
            </c:ext>
          </c:extLst>
        </c:ser>
        <c:ser>
          <c:idx val="3"/>
          <c:order val="3"/>
          <c:tx>
            <c:strRef>
              <c:f>Proceso!$A$8</c:f>
              <c:strCache>
                <c:ptCount val="1"/>
                <c:pt idx="0">
                  <c:v>Lactosa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(Proceso!$B$4,Proceso!$E$4,Proceso!$K$4)</c:f>
              <c:strCache>
                <c:ptCount val="3"/>
                <c:pt idx="0">
                  <c:v>leche
(kg)</c:v>
                </c:pt>
                <c:pt idx="1">
                  <c:v>queso
 salida de sal
(kg)</c:v>
                </c:pt>
                <c:pt idx="2">
                  <c:v>suero desnatado
(kg)</c:v>
                </c:pt>
              </c:strCache>
            </c:strRef>
          </c:cat>
          <c:val>
            <c:numRef>
              <c:f>(Proceso!$B$8,Proceso!$E$8,Proceso!$K$8)</c:f>
              <c:numCache>
                <c:formatCode>0.00</c:formatCode>
                <c:ptCount val="3"/>
                <c:pt idx="0" formatCode="#,##0.00_ ;[Red]\-#,##0.00\ ">
                  <c:v>4.8</c:v>
                </c:pt>
                <c:pt idx="1">
                  <c:v>0.15278613333333332</c:v>
                </c:pt>
                <c:pt idx="2">
                  <c:v>4.6422138666666664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F3-48B5-B17A-5901C9628EAB}"/>
            </c:ext>
          </c:extLst>
        </c:ser>
        <c:ser>
          <c:idx val="4"/>
          <c:order val="4"/>
          <c:tx>
            <c:strRef>
              <c:f>Proceso!$A$9</c:f>
              <c:strCache>
                <c:ptCount val="1"/>
                <c:pt idx="0">
                  <c:v>Sales minerales y otros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(Proceso!$B$4,Proceso!$E$4,Proceso!$K$4)</c:f>
              <c:strCache>
                <c:ptCount val="3"/>
                <c:pt idx="0">
                  <c:v>leche
(kg)</c:v>
                </c:pt>
                <c:pt idx="1">
                  <c:v>queso
 salida de sal
(kg)</c:v>
                </c:pt>
                <c:pt idx="2">
                  <c:v>suero desnatado
(kg)</c:v>
                </c:pt>
              </c:strCache>
            </c:strRef>
          </c:cat>
          <c:val>
            <c:numRef>
              <c:f>(Proceso!$B$9,Proceso!$E$9,Proceso!$K$9)</c:f>
              <c:numCache>
                <c:formatCode>0.00</c:formatCode>
                <c:ptCount val="3"/>
                <c:pt idx="0" formatCode="#,##0.00_ ;[Red]\-#,##0.00\ ">
                  <c:v>0.89999999999999991</c:v>
                </c:pt>
                <c:pt idx="1">
                  <c:v>0.18382081666666664</c:v>
                </c:pt>
                <c:pt idx="2">
                  <c:v>0.7111791833333333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F3-48B5-B17A-5901C9628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61321872"/>
        <c:axId val="61322288"/>
      </c:barChart>
      <c:catAx>
        <c:axId val="6132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322288"/>
        <c:crosses val="autoZero"/>
        <c:auto val="1"/>
        <c:lblAlgn val="ctr"/>
        <c:lblOffset val="100"/>
        <c:noMultiLvlLbl val="0"/>
      </c:catAx>
      <c:valAx>
        <c:axId val="6132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[Red]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32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132786526684173"/>
          <c:y val="0.35381914318922192"/>
          <c:w val="0.20200546806649169"/>
          <c:h val="0.515620567011369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7122703412073491E-2"/>
          <c:y val="5.0925925925925923E-2"/>
          <c:w val="0.67031627296587926"/>
          <c:h val="0.76659967053667843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Proceso!$A$5</c:f>
              <c:strCache>
                <c:ptCount val="1"/>
                <c:pt idx="0">
                  <c:v>Agua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(Proceso!$B$4,Proceso!$E$4,Proceso!$K$4)</c:f>
              <c:strCache>
                <c:ptCount val="3"/>
                <c:pt idx="0">
                  <c:v>leche
(kg)</c:v>
                </c:pt>
                <c:pt idx="1">
                  <c:v>queso
 salida de sal
(kg)</c:v>
                </c:pt>
                <c:pt idx="2">
                  <c:v>suero desnatado
(kg)</c:v>
                </c:pt>
              </c:strCache>
            </c:strRef>
          </c:cat>
          <c:val>
            <c:numRef>
              <c:f>(Proceso!$B$5,Proceso!$E$5,Proceso!$K$5)</c:f>
              <c:numCache>
                <c:formatCode>0.00</c:formatCode>
                <c:ptCount val="3"/>
                <c:pt idx="0" formatCode="#,##0_ ;[Red]\-#,##0\ ">
                  <c:v>89.914599659044001</c:v>
                </c:pt>
                <c:pt idx="1">
                  <c:v>5.3713874999999982</c:v>
                </c:pt>
                <c:pt idx="2">
                  <c:v>83.440017977571969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DB-4C1C-BB0E-2A99308F1CA4}"/>
            </c:ext>
          </c:extLst>
        </c:ser>
        <c:ser>
          <c:idx val="1"/>
          <c:order val="1"/>
          <c:tx>
            <c:strRef>
              <c:f>Proceso!$A$6</c:f>
              <c:strCache>
                <c:ptCount val="1"/>
                <c:pt idx="0">
                  <c:v>Materia grasa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(Proceso!$B$4,Proceso!$E$4,Proceso!$K$4)</c:f>
              <c:strCache>
                <c:ptCount val="3"/>
                <c:pt idx="0">
                  <c:v>leche
(kg)</c:v>
                </c:pt>
                <c:pt idx="1">
                  <c:v>queso
 salida de sal
(kg)</c:v>
                </c:pt>
                <c:pt idx="2">
                  <c:v>suero desnatado
(kg)</c:v>
                </c:pt>
              </c:strCache>
            </c:strRef>
          </c:cat>
          <c:val>
            <c:numRef>
              <c:f>(Proceso!$B$6,Proceso!$E$6,Proceso!$K$6)</c:f>
              <c:numCache>
                <c:formatCode>0.00</c:formatCode>
                <c:ptCount val="3"/>
                <c:pt idx="0" formatCode="#,##0.00_ ;[Red]\-#,##0.00\ ">
                  <c:v>4.2403446035919998</c:v>
                </c:pt>
                <c:pt idx="1">
                  <c:v>3.3421966666666663</c:v>
                </c:pt>
                <c:pt idx="2">
                  <c:v>0.1526851492773067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DB-4C1C-BB0E-2A99308F1CA4}"/>
            </c:ext>
          </c:extLst>
        </c:ser>
        <c:ser>
          <c:idx val="2"/>
          <c:order val="2"/>
          <c:tx>
            <c:strRef>
              <c:f>Proceso!$A$7</c:f>
              <c:strCache>
                <c:ptCount val="1"/>
                <c:pt idx="0">
                  <c:v>Proteinas totales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(Proceso!$B$4,Proceso!$E$4,Proceso!$K$4)</c:f>
              <c:strCache>
                <c:ptCount val="3"/>
                <c:pt idx="0">
                  <c:v>leche
(kg)</c:v>
                </c:pt>
                <c:pt idx="1">
                  <c:v>queso
 salida de sal
(kg)</c:v>
                </c:pt>
                <c:pt idx="2">
                  <c:v>suero desnatado
(kg)</c:v>
                </c:pt>
              </c:strCache>
            </c:strRef>
          </c:cat>
          <c:val>
            <c:numRef>
              <c:f>(Proceso!$B$7,Proceso!$E$7,Proceso!$K$7)</c:f>
              <c:numCache>
                <c:formatCode>0.00</c:formatCode>
                <c:ptCount val="3"/>
                <c:pt idx="0" formatCode="#,##0.00_ ;[Red]\-#,##0.00\ ">
                  <c:v>3.5680948493639999</c:v>
                </c:pt>
                <c:pt idx="1">
                  <c:v>2.8862255499999998</c:v>
                </c:pt>
                <c:pt idx="2">
                  <c:v>0.67686929936400009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DB-4C1C-BB0E-2A99308F1CA4}"/>
            </c:ext>
          </c:extLst>
        </c:ser>
        <c:ser>
          <c:idx val="3"/>
          <c:order val="3"/>
          <c:tx>
            <c:strRef>
              <c:f>Proceso!$A$8</c:f>
              <c:strCache>
                <c:ptCount val="1"/>
                <c:pt idx="0">
                  <c:v>Lactosa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(Proceso!$B$4,Proceso!$E$4,Proceso!$K$4)</c:f>
              <c:strCache>
                <c:ptCount val="3"/>
                <c:pt idx="0">
                  <c:v>leche
(kg)</c:v>
                </c:pt>
                <c:pt idx="1">
                  <c:v>queso
 salida de sal
(kg)</c:v>
                </c:pt>
                <c:pt idx="2">
                  <c:v>suero desnatado
(kg)</c:v>
                </c:pt>
              </c:strCache>
            </c:strRef>
          </c:cat>
          <c:val>
            <c:numRef>
              <c:f>(Proceso!$B$8,Proceso!$E$8,Proceso!$K$8)</c:f>
              <c:numCache>
                <c:formatCode>0.00</c:formatCode>
                <c:ptCount val="3"/>
                <c:pt idx="0" formatCode="#,##0.00_ ;[Red]\-#,##0.00\ ">
                  <c:v>4.8</c:v>
                </c:pt>
                <c:pt idx="1">
                  <c:v>0.15278613333333332</c:v>
                </c:pt>
                <c:pt idx="2">
                  <c:v>4.6422138666666664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DB-4C1C-BB0E-2A99308F1CA4}"/>
            </c:ext>
          </c:extLst>
        </c:ser>
        <c:ser>
          <c:idx val="4"/>
          <c:order val="4"/>
          <c:tx>
            <c:strRef>
              <c:f>Proceso!$A$9</c:f>
              <c:strCache>
                <c:ptCount val="1"/>
                <c:pt idx="0">
                  <c:v>Sales minerales y otros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(Proceso!$B$4,Proceso!$E$4,Proceso!$K$4)</c:f>
              <c:strCache>
                <c:ptCount val="3"/>
                <c:pt idx="0">
                  <c:v>leche
(kg)</c:v>
                </c:pt>
                <c:pt idx="1">
                  <c:v>queso
 salida de sal
(kg)</c:v>
                </c:pt>
                <c:pt idx="2">
                  <c:v>suero desnatado
(kg)</c:v>
                </c:pt>
              </c:strCache>
            </c:strRef>
          </c:cat>
          <c:val>
            <c:numRef>
              <c:f>(Proceso!$B$9,Proceso!$E$9,Proceso!$K$9)</c:f>
              <c:numCache>
                <c:formatCode>0.00</c:formatCode>
                <c:ptCount val="3"/>
                <c:pt idx="0" formatCode="#,##0.00_ ;[Red]\-#,##0.00\ ">
                  <c:v>0.89999999999999991</c:v>
                </c:pt>
                <c:pt idx="1">
                  <c:v>0.18382081666666664</c:v>
                </c:pt>
                <c:pt idx="2">
                  <c:v>0.7111791833333333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DB-4C1C-BB0E-2A99308F1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307226832"/>
        <c:axId val="307228912"/>
      </c:barChart>
      <c:catAx>
        <c:axId val="30722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7228912"/>
        <c:crosses val="autoZero"/>
        <c:auto val="1"/>
        <c:lblAlgn val="ctr"/>
        <c:lblOffset val="100"/>
        <c:noMultiLvlLbl val="0"/>
      </c:catAx>
      <c:valAx>
        <c:axId val="30722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722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688342082239726"/>
          <c:y val="0.3046861329833771"/>
          <c:w val="0.19644991251093613"/>
          <c:h val="0.538775882181393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Proceso!$A$5</c:f>
              <c:strCache>
                <c:ptCount val="1"/>
                <c:pt idx="0">
                  <c:v>Agua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(Proceso!$E$4,Proceso!$O$4)</c:f>
              <c:strCache>
                <c:ptCount val="2"/>
                <c:pt idx="0">
                  <c:v>queso
 salida de sal
(kg)</c:v>
                </c:pt>
                <c:pt idx="1">
                  <c:v>queso
curado
(kg)</c:v>
                </c:pt>
              </c:strCache>
            </c:strRef>
          </c:cat>
          <c:val>
            <c:numRef>
              <c:f>(Proceso!$E$5,Proceso!$O$5)</c:f>
              <c:numCache>
                <c:formatCode>0.0</c:formatCode>
                <c:ptCount val="2"/>
                <c:pt idx="0" formatCode="0.00">
                  <c:v>5.3713874999999982</c:v>
                </c:pt>
                <c:pt idx="1">
                  <c:v>3.9390174999999976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A-4A13-8DD8-AAC8C429FDCB}"/>
            </c:ext>
          </c:extLst>
        </c:ser>
        <c:ser>
          <c:idx val="0"/>
          <c:order val="1"/>
          <c:tx>
            <c:strRef>
              <c:f>Proceso!$A$6</c:f>
              <c:strCache>
                <c:ptCount val="1"/>
                <c:pt idx="0">
                  <c:v>Materia grasa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(Proceso!$E$4,Proceso!$O$4)</c:f>
              <c:strCache>
                <c:ptCount val="2"/>
                <c:pt idx="0">
                  <c:v>queso
 salida de sal
(kg)</c:v>
                </c:pt>
                <c:pt idx="1">
                  <c:v>queso
curado
(kg)</c:v>
                </c:pt>
              </c:strCache>
            </c:strRef>
          </c:cat>
          <c:val>
            <c:numRef>
              <c:f>(Proceso!$E$6,Proceso!$O$6)</c:f>
              <c:numCache>
                <c:formatCode>0.0</c:formatCode>
                <c:ptCount val="2"/>
                <c:pt idx="0" formatCode="0.00">
                  <c:v>3.3421966666666663</c:v>
                </c:pt>
                <c:pt idx="1">
                  <c:v>3.3421966666666663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A-4A13-8DD8-AAC8C429FDCB}"/>
            </c:ext>
          </c:extLst>
        </c:ser>
        <c:ser>
          <c:idx val="2"/>
          <c:order val="2"/>
          <c:tx>
            <c:strRef>
              <c:f>Proceso!$A$7</c:f>
              <c:strCache>
                <c:ptCount val="1"/>
                <c:pt idx="0">
                  <c:v>Proteinas totales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(Proceso!$E$4,Proceso!$O$4)</c:f>
              <c:strCache>
                <c:ptCount val="2"/>
                <c:pt idx="0">
                  <c:v>queso
 salida de sal
(kg)</c:v>
                </c:pt>
                <c:pt idx="1">
                  <c:v>queso
curado
(kg)</c:v>
                </c:pt>
              </c:strCache>
            </c:strRef>
          </c:cat>
          <c:val>
            <c:numRef>
              <c:f>(Proceso!$E$7,Proceso!$O$7)</c:f>
              <c:numCache>
                <c:formatCode>0.0</c:formatCode>
                <c:ptCount val="2"/>
                <c:pt idx="0" formatCode="0.00">
                  <c:v>2.8862255499999998</c:v>
                </c:pt>
                <c:pt idx="1">
                  <c:v>2.8862255499999998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6A-4A13-8DD8-AAC8C429FDCB}"/>
            </c:ext>
          </c:extLst>
        </c:ser>
        <c:ser>
          <c:idx val="3"/>
          <c:order val="3"/>
          <c:tx>
            <c:strRef>
              <c:f>Proceso!$A$8</c:f>
              <c:strCache>
                <c:ptCount val="1"/>
                <c:pt idx="0">
                  <c:v>Lactosa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(Proceso!$E$4,Proceso!$O$4)</c:f>
              <c:strCache>
                <c:ptCount val="2"/>
                <c:pt idx="0">
                  <c:v>queso
 salida de sal
(kg)</c:v>
                </c:pt>
                <c:pt idx="1">
                  <c:v>queso
curado
(kg)</c:v>
                </c:pt>
              </c:strCache>
            </c:strRef>
          </c:cat>
          <c:val>
            <c:numRef>
              <c:f>(Proceso!$E$8,Proceso!$O$8)</c:f>
              <c:numCache>
                <c:formatCode>0.0</c:formatCode>
                <c:ptCount val="2"/>
                <c:pt idx="0" formatCode="0.00">
                  <c:v>0.15278613333333332</c:v>
                </c:pt>
                <c:pt idx="1">
                  <c:v>0.15278613333333332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6A-4A13-8DD8-AAC8C429FDCB}"/>
            </c:ext>
          </c:extLst>
        </c:ser>
        <c:ser>
          <c:idx val="4"/>
          <c:order val="4"/>
          <c:tx>
            <c:strRef>
              <c:f>Proceso!$A$9</c:f>
              <c:strCache>
                <c:ptCount val="1"/>
                <c:pt idx="0">
                  <c:v>Sales minerales y otros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(Proceso!$E$4,Proceso!$O$4)</c:f>
              <c:strCache>
                <c:ptCount val="2"/>
                <c:pt idx="0">
                  <c:v>queso
 salida de sal
(kg)</c:v>
                </c:pt>
                <c:pt idx="1">
                  <c:v>queso
curado
(kg)</c:v>
                </c:pt>
              </c:strCache>
            </c:strRef>
          </c:cat>
          <c:val>
            <c:numRef>
              <c:f>(Proceso!$E$9,Proceso!$O$9)</c:f>
              <c:numCache>
                <c:formatCode>0.0</c:formatCode>
                <c:ptCount val="2"/>
                <c:pt idx="0" formatCode="0.00">
                  <c:v>0.18382081666666664</c:v>
                </c:pt>
                <c:pt idx="1">
                  <c:v>0.18382081666666664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6A-4A13-8DD8-AAC8C429F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6816976"/>
        <c:axId val="786815728"/>
      </c:barChart>
      <c:catAx>
        <c:axId val="78681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86815728"/>
        <c:crosses val="autoZero"/>
        <c:auto val="1"/>
        <c:lblAlgn val="ctr"/>
        <c:lblOffset val="100"/>
        <c:noMultiLvlLbl val="0"/>
      </c:catAx>
      <c:valAx>
        <c:axId val="78681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8681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43815</xdr:colOff>
      <xdr:row>15</xdr:row>
      <xdr:rowOff>51435</xdr:rowOff>
    </xdr:from>
    <xdr:to>
      <xdr:col>16</xdr:col>
      <xdr:colOff>586740</xdr:colOff>
      <xdr:row>31</xdr:row>
      <xdr:rowOff>36195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CDE8A2-2789-4D80-BD3D-9901F4B8B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641985</xdr:colOff>
      <xdr:row>15</xdr:row>
      <xdr:rowOff>38099</xdr:rowOff>
    </xdr:from>
    <xdr:to>
      <xdr:col>22</xdr:col>
      <xdr:colOff>474345</xdr:colOff>
      <xdr:row>31</xdr:row>
      <xdr:rowOff>47624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187476F-764B-4FDE-8509-BDADD24818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211455</xdr:colOff>
      <xdr:row>2</xdr:row>
      <xdr:rowOff>171450</xdr:rowOff>
    </xdr:from>
    <xdr:to>
      <xdr:col>19</xdr:col>
      <xdr:colOff>382905</xdr:colOff>
      <xdr:row>13</xdr:row>
      <xdr:rowOff>118110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BB52FC2-8952-4EA5-96D2-E084789AE8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s001688/Lactalis%20Industrial/Presupuesto%202017/VR/B11%20BVR%2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mercial\Cheddar\Analysis\2009\01-%20Janary%202009\Performance%20Metrics%20Jan%20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naigeeg.UK\Local%20Settings\Temporary%20Internet%20Files\OLK4\BR%20Variance%20analysis%20Cust%20Clas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GEST\BDG%2005\ScTempi\TempiFusi2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ommercial\2007\09%20September\Variance%20analysis%20by%20Cust%20Class%20Mar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dcdg\indcdg\Usines%20Industriel\Budget%202013\0-Synth&#232;se\Analyses%20transversales\Synth&#232;se%20comp%20usine%20budget%20201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Precdg/INDUSTRIEL/Budget%20Industriel/BUDGET%20INDUSTRIEL%202009/BOUVRON/Precdg/INDUSTRIEL/PCI/CREATIONS%20DE%20PCI/PPC%20&amp;%20PPNC/BOUVRON%20PPC/071029%20-%20Mozza%20Galbani/071030%20-%20B08%20BVR%20-%20Mozza%20R&#226;p&#233;%20Galbani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IntInd\Res%20Mens\0CONSO\RECAPVOLUME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T (2)"/>
      <sheetName val="VERIF"/>
      <sheetName val="Atterrissage PPNC"/>
      <sheetName val="Atterrissage PPC"/>
      <sheetName val="Synthèse Usine PPC"/>
      <sheetName val="Synthèse Usine PPNC"/>
      <sheetName val="SYNT"/>
      <sheetName val="PE"/>
      <sheetName val="U1"/>
      <sheetName val="DI"/>
      <sheetName val="SIG"/>
      <sheetName val="VOL"/>
      <sheetName val="ACTIVITE"/>
      <sheetName val="FR22"/>
      <sheetName val="MIXM"/>
      <sheetName val="RDT"/>
      <sheetName val="FACON"/>
      <sheetName val="PRODté"/>
      <sheetName val="PCI PPNC"/>
      <sheetName val="PCI PPC"/>
      <sheetName val="Nvx Codes apres Bud"/>
      <sheetName val="INTERFACE"/>
    </sheetNames>
    <sheetDataSet>
      <sheetData sheetId="0" refreshError="1"/>
      <sheetData sheetId="1">
        <row r="10">
          <cell r="B10" t="str">
            <v>2010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O6">
            <v>29.297000000000001</v>
          </cell>
        </row>
      </sheetData>
      <sheetData sheetId="12">
        <row r="73">
          <cell r="G73">
            <v>1.54</v>
          </cell>
        </row>
      </sheetData>
      <sheetData sheetId="13" refreshError="1"/>
      <sheetData sheetId="14">
        <row r="258">
          <cell r="F258">
            <v>2.2000000000000002</v>
          </cell>
        </row>
      </sheetData>
      <sheetData sheetId="15"/>
      <sheetData sheetId="16">
        <row r="270">
          <cell r="C270" t="str">
            <v>E1</v>
          </cell>
        </row>
      </sheetData>
      <sheetData sheetId="17" refreshError="1"/>
      <sheetData sheetId="18" refreshError="1"/>
      <sheetData sheetId="19">
        <row r="9">
          <cell r="AD9">
            <v>4.3841000000000001</v>
          </cell>
        </row>
      </sheetData>
      <sheetData sheetId="20" refreshError="1"/>
      <sheetData sheetId="21">
        <row r="3">
          <cell r="E3" t="str">
            <v>JAN2010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Cover"/>
      <sheetName val="Contents"/>
      <sheetName val="Summary Superfamily"/>
      <sheetName val="_pcSlicerSheet13"/>
      <sheetName val="_pcHiddenSheet93"/>
      <sheetName val="Customer Continental"/>
      <sheetName val="Customer Cheddar"/>
      <sheetName val="_pcSlicerSheet14"/>
      <sheetName val="_pcHiddenSheet96"/>
      <sheetName val="_pcSlicerSheet15"/>
      <sheetName val="_pcHiddenSheet97"/>
      <sheetName val="_pcSlicerSheet16"/>
      <sheetName val="_pcHiddenSheet98"/>
      <sheetName val="_pcSlicerSheet1"/>
      <sheetName val="_pcHiddenSheet13"/>
      <sheetName val="_pcSlicerSheet4"/>
      <sheetName val="_pcHiddenSheet14"/>
      <sheetName val="Product Analysis"/>
      <sheetName val="_pcSlicerSheet"/>
      <sheetName val="_pcHiddenSheet12"/>
      <sheetName val="Promotions"/>
      <sheetName val="Brand Analysis"/>
      <sheetName val="Ratios"/>
      <sheetName val="Wastage"/>
      <sheetName val="1. Summary DB"/>
      <sheetName val="_pcHiddenSheet95"/>
      <sheetName val="2. Customer Analysis DB"/>
      <sheetName val="Glasgow"/>
      <sheetName val="_pcSlicerSheet57"/>
      <sheetName val="_pcHiddenSheet87"/>
      <sheetName val="_pcSlicerSheet3"/>
      <sheetName val="_pcHiddenSheet47"/>
      <sheetName val="_pcSlicerSheet2"/>
      <sheetName val="_pcHiddenSheet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0"/>
      <sheetData sheetId="11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2"/>
      <sheetData sheetId="13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4"/>
      <sheetData sheetId="15"/>
      <sheetData sheetId="16"/>
      <sheetData sheetId="17" refreshError="1">
        <row r="2">
          <cell r="A2" t="str">
            <v>December 2008</v>
          </cell>
        </row>
        <row r="3">
          <cell r="A3" t="str">
            <v>January 2009</v>
          </cell>
        </row>
        <row r="4">
          <cell r="A4" t="str">
            <v>February 2009</v>
          </cell>
        </row>
        <row r="5">
          <cell r="A5" t="str">
            <v>March 2009</v>
          </cell>
        </row>
        <row r="6">
          <cell r="A6" t="str">
            <v>April 2009</v>
          </cell>
        </row>
        <row r="7">
          <cell r="A7" t="str">
            <v>May 2009</v>
          </cell>
        </row>
        <row r="8">
          <cell r="A8" t="str">
            <v>June 2009</v>
          </cell>
        </row>
        <row r="9">
          <cell r="A9" t="str">
            <v>July 2009</v>
          </cell>
        </row>
        <row r="10">
          <cell r="A10" t="str">
            <v>August 2009</v>
          </cell>
        </row>
        <row r="11">
          <cell r="A11" t="str">
            <v>September 2009</v>
          </cell>
        </row>
        <row r="12">
          <cell r="A12" t="str">
            <v>October 2009</v>
          </cell>
        </row>
        <row r="13">
          <cell r="A13" t="str">
            <v>November 2009</v>
          </cell>
        </row>
        <row r="14">
          <cell r="A14" t="str">
            <v>December 2009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SlicerSheet"/>
      <sheetName val="_pcHiddenSheet1"/>
      <sheetName val="Vol and GP Report"/>
      <sheetName val="CUST LOOKUP"/>
      <sheetName val="_pcSlicerSheet1"/>
      <sheetName val="_pcHiddenSheet2"/>
      <sheetName val="TRADING REPORT"/>
      <sheetName val="Jnl breakdown"/>
      <sheetName val="_pcHiddenSheet3"/>
      <sheetName val="PROMOTION VOLS"/>
    </sheetNames>
    <sheetDataSet>
      <sheetData sheetId="0"/>
      <sheetData sheetId="1" refreshError="1">
        <row r="4">
          <cell r="A4" t="str">
            <v>__Amount_for_Monthly_1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HAN"/>
      <sheetName val="2409_10"/>
      <sheetName val="2410_10"/>
      <sheetName val="2410_10 xRAI"/>
      <sheetName val="2410_ K1 (2)"/>
      <sheetName val="CBP +_K1 (2)"/>
      <sheetName val="SALSA 4F_ K1  (2)"/>
      <sheetName val="TIRAMISU"/>
      <sheetName val="PROCESSATO"/>
      <sheetName val="FABB_ K1"/>
      <sheetName val="Invest Wolf"/>
      <sheetName val="2411_10"/>
      <sheetName val="2430_10"/>
      <sheetName val="2458_10"/>
      <sheetName val="2462_10"/>
      <sheetName val="Mellin x 6 IPO 4H"/>
      <sheetName val="Mellin x 6 IPO 8H"/>
      <sheetName val="2465_10"/>
      <sheetName val="2476_60"/>
      <sheetName val="2510_10"/>
      <sheetName val="2512_10"/>
      <sheetName val="2530_10"/>
      <sheetName val="2580_10"/>
      <sheetName val="Foglio1"/>
      <sheetName val="Foglio1 (2)"/>
      <sheetName val="FILONE MOZZARELLA K2"/>
      <sheetName val="FILONE MOZZARELLA K1,2 UK"/>
      <sheetName val="FILONE MOZZARELLA K4"/>
      <sheetName val="RAPE"/>
      <sheetName val="CUBETTATO"/>
      <sheetName val="TRASPORTI"/>
      <sheetName val="LABCHIM"/>
      <sheetName val="CAPIREP"/>
      <sheetName val="PROGRES"/>
      <sheetName val="2410_10_xRAI"/>
      <sheetName val="2410__K1_(2)"/>
      <sheetName val="CBP_+_K1_(2)"/>
      <sheetName val="SALSA_4F__K1__(2)"/>
      <sheetName val="FABB__K1"/>
      <sheetName val="Invest_Wolf"/>
      <sheetName val="Mellin_x_6_IPO_4H"/>
      <sheetName val="Mellin_x_6_IPO_8H"/>
      <sheetName val="Foglio1_(2)"/>
      <sheetName val="FILONE_MOZZARELLA_K2"/>
      <sheetName val="FILONE_MOZZARELLA_K1,2_UK"/>
      <sheetName val="FILONE_MOZZARELLA_K4"/>
      <sheetName val="2410_10_xRAI1"/>
      <sheetName val="2410__K1_(2)1"/>
      <sheetName val="CBP_+_K1_(2)1"/>
      <sheetName val="SALSA_4F__K1__(2)1"/>
      <sheetName val="FABB__K11"/>
      <sheetName val="Invest_Wolf1"/>
      <sheetName val="Mellin_x_6_IPO_4H1"/>
      <sheetName val="Mellin_x_6_IPO_8H1"/>
      <sheetName val="Foglio1_(2)1"/>
      <sheetName val="FILONE_MOZZARELLA_K21"/>
      <sheetName val="FILONE_MOZZARELLA_K1,2_UK1"/>
      <sheetName val="FILONE_MOZZARELLA_K41"/>
      <sheetName val="Liste"/>
      <sheetName val="MENU"/>
      <sheetName val="TABLE"/>
      <sheetName val="DATA"/>
    </sheetNames>
    <sheetDataSet>
      <sheetData sheetId="0" refreshError="1">
        <row r="2">
          <cell r="B2" t="str">
            <v xml:space="preserve"> Stabilimento di</v>
          </cell>
          <cell r="H2" t="str">
            <v>SCHEDA RILEVAZIONE TEMPI</v>
          </cell>
          <cell r="O2" t="str">
            <v xml:space="preserve"> Data :</v>
          </cell>
        </row>
        <row r="3">
          <cell r="B3" t="str">
            <v xml:space="preserve"> CERTOSA </v>
          </cell>
          <cell r="D3">
            <v>220</v>
          </cell>
          <cell r="F3" t="str">
            <v>Reparto :</v>
          </cell>
          <cell r="G3" t="str">
            <v>FUSI</v>
          </cell>
          <cell r="H3">
            <v>210</v>
          </cell>
          <cell r="I3" t="str">
            <v>PREPARAZIONE IMPASTI E FUSIONE</v>
          </cell>
          <cell r="O3" t="str">
            <v xml:space="preserve"> Gennaio 2004</v>
          </cell>
        </row>
        <row r="4">
          <cell r="B4" t="str">
            <v xml:space="preserve"> PRODUZIONE :</v>
          </cell>
          <cell r="D4" t="str">
            <v xml:space="preserve">CREMA BEL PAESE  NORMALE + BIANCO + CREMOZOLA </v>
          </cell>
        </row>
        <row r="5">
          <cell r="D5" t="str">
            <v>+ FILANTE + FILANTE x PIZZA + IDEA PIZZA + FORMAGGIO PER PIZZA</v>
          </cell>
        </row>
        <row r="6">
          <cell r="F6" t="str">
            <v>Persone</v>
          </cell>
          <cell r="G6" t="str">
            <v>Tempo impiegato</v>
          </cell>
          <cell r="J6" t="str">
            <v>Quantità</v>
          </cell>
          <cell r="L6" t="str">
            <v>Tempo</v>
          </cell>
          <cell r="M6" t="str">
            <v>Prodotti destinatari</v>
          </cell>
        </row>
        <row r="7">
          <cell r="D7" t="str">
            <v>OPERAZIONI</v>
          </cell>
          <cell r="F7" t="str">
            <v>occupate</v>
          </cell>
          <cell r="G7" t="str">
            <v>Ore</v>
          </cell>
          <cell r="H7" t="str">
            <v>Ore</v>
          </cell>
          <cell r="I7" t="str">
            <v>Totale</v>
          </cell>
          <cell r="L7" t="str">
            <v>in ore</v>
          </cell>
          <cell r="M7" t="str">
            <v>C.B.P.</v>
          </cell>
          <cell r="N7" t="str">
            <v>C.B.P +.</v>
          </cell>
          <cell r="P7" t="str">
            <v>Filante</v>
          </cell>
        </row>
        <row r="8">
          <cell r="F8" t="str">
            <v>Posizioni</v>
          </cell>
          <cell r="G8" t="str">
            <v>squadra</v>
          </cell>
          <cell r="H8" t="str">
            <v>squadra</v>
          </cell>
          <cell r="I8" t="str">
            <v>ore ind</v>
          </cell>
          <cell r="J8" t="str">
            <v>Kg</v>
          </cell>
          <cell r="K8" t="str">
            <v>Kg</v>
          </cell>
          <cell r="L8" t="str">
            <v>riferito a</v>
          </cell>
          <cell r="M8" t="str">
            <v>Normale</v>
          </cell>
          <cell r="N8" t="str">
            <v>Dolc. Crem.</v>
          </cell>
          <cell r="O8" t="str">
            <v>K 1</v>
          </cell>
          <cell r="P8" t="str">
            <v>Idea Pizza</v>
          </cell>
        </row>
        <row r="9">
          <cell r="F9" t="str">
            <v>occupate</v>
          </cell>
          <cell r="G9" t="str">
            <v>in '</v>
          </cell>
          <cell r="H9" t="str">
            <v>decimali</v>
          </cell>
          <cell r="I9" t="str">
            <v>decimali</v>
          </cell>
          <cell r="J9" t="str">
            <v>settimana</v>
          </cell>
          <cell r="K9" t="str">
            <v>giorno</v>
          </cell>
          <cell r="L9" t="str">
            <v>100 Kg</v>
          </cell>
          <cell r="N9" t="str">
            <v xml:space="preserve">4 F-Proc.-Tir. </v>
          </cell>
          <cell r="P9" t="str">
            <v>Rapè - Mozz.</v>
          </cell>
        </row>
        <row r="11">
          <cell r="G11" t="str">
            <v xml:space="preserve"> x C.B.P. Normale</v>
          </cell>
          <cell r="J11" t="str">
            <v xml:space="preserve"> x C.B.P. +  e  Dolcelatte Cremoso</v>
          </cell>
          <cell r="M11" t="str">
            <v xml:space="preserve">  x Filante + Idea Pizza + Filante Rapè</v>
          </cell>
        </row>
        <row r="12">
          <cell r="C12" t="str">
            <v xml:space="preserve"> Determinazione gg./anno lavorati</v>
          </cell>
          <cell r="G12" t="str">
            <v>gg/sett.</v>
          </cell>
          <cell r="H12" t="str">
            <v>sett/anno</v>
          </cell>
          <cell r="I12" t="str">
            <v>gg/anno</v>
          </cell>
          <cell r="J12" t="str">
            <v>gg/sett.</v>
          </cell>
          <cell r="K12" t="str">
            <v>sett/anno</v>
          </cell>
          <cell r="L12" t="str">
            <v>gg/anno</v>
          </cell>
          <cell r="M12" t="str">
            <v>gg/sett.</v>
          </cell>
          <cell r="N12" t="str">
            <v>sett/anno</v>
          </cell>
          <cell r="O12" t="str">
            <v>gg/anno</v>
          </cell>
        </row>
        <row r="15">
          <cell r="G15">
            <v>5</v>
          </cell>
          <cell r="H15">
            <v>50</v>
          </cell>
          <cell r="I15">
            <v>250</v>
          </cell>
          <cell r="J15">
            <v>5</v>
          </cell>
          <cell r="K15">
            <v>50</v>
          </cell>
          <cell r="L15">
            <v>250</v>
          </cell>
          <cell r="M15">
            <v>5</v>
          </cell>
          <cell r="N15">
            <v>50</v>
          </cell>
          <cell r="O15">
            <v>250</v>
          </cell>
        </row>
        <row r="16">
          <cell r="B16" t="str">
            <v>A</v>
          </cell>
          <cell r="C16" t="str">
            <v xml:space="preserve"> OPERAZIONI PRELIMINARI</v>
          </cell>
        </row>
        <row r="17">
          <cell r="M17" t="str">
            <v xml:space="preserve">Tempo in ore riferito a 100/kg </v>
          </cell>
        </row>
        <row r="18">
          <cell r="B18">
            <v>1</v>
          </cell>
          <cell r="C18" t="str">
            <v xml:space="preserve"> Rifornimento materie prime a reparto :</v>
          </cell>
        </row>
        <row r="19">
          <cell r="C19" t="str">
            <v xml:space="preserve"> - Scarico camions, pesatura palbox e stoccaggio in cella</v>
          </cell>
        </row>
        <row r="20">
          <cell r="C20" t="str">
            <v xml:space="preserve"> - Prelievo campioni x analisi, controllo</v>
          </cell>
        </row>
        <row r="21">
          <cell r="C21" t="str">
            <v xml:space="preserve">   rimanenze celle dinamica e formaggi</v>
          </cell>
          <cell r="F21">
            <v>2</v>
          </cell>
          <cell r="G21">
            <v>8</v>
          </cell>
          <cell r="H21">
            <v>16</v>
          </cell>
          <cell r="I21">
            <v>16</v>
          </cell>
          <cell r="K21">
            <v>59868</v>
          </cell>
          <cell r="L21">
            <v>2.6725462684572727E-2</v>
          </cell>
          <cell r="M21">
            <v>2.6725462684572727E-2</v>
          </cell>
          <cell r="N21">
            <v>2.6725462684572727E-2</v>
          </cell>
          <cell r="O21">
            <v>2.6725462684572727E-2</v>
          </cell>
          <cell r="P21">
            <v>2.6725462684572727E-2</v>
          </cell>
        </row>
        <row r="22">
          <cell r="B22">
            <v>2</v>
          </cell>
          <cell r="C22" t="str">
            <v xml:space="preserve"> Trasporto materie prime a reparto</v>
          </cell>
          <cell r="F22">
            <v>2</v>
          </cell>
          <cell r="G22">
            <v>8</v>
          </cell>
          <cell r="H22">
            <v>8</v>
          </cell>
          <cell r="I22">
            <v>16</v>
          </cell>
          <cell r="K22">
            <v>59868</v>
          </cell>
          <cell r="L22">
            <v>2.6725462684572727E-2</v>
          </cell>
          <cell r="M22">
            <v>2.6725462684572727E-2</v>
          </cell>
          <cell r="N22">
            <v>2.6725462684572727E-2</v>
          </cell>
          <cell r="O22">
            <v>2.6725462684572727E-2</v>
          </cell>
          <cell r="P22">
            <v>2.6725462684572727E-2</v>
          </cell>
        </row>
        <row r="23">
          <cell r="B23">
            <v>3</v>
          </cell>
          <cell r="C23" t="str">
            <v xml:space="preserve"> Lavaggio palbox m.p. + travaso da cartonbox altri</v>
          </cell>
          <cell r="F23">
            <v>2</v>
          </cell>
          <cell r="G23">
            <v>8</v>
          </cell>
          <cell r="H23">
            <v>8</v>
          </cell>
          <cell r="I23">
            <v>16</v>
          </cell>
          <cell r="K23">
            <v>59868</v>
          </cell>
          <cell r="L23">
            <v>2.6725462684572727E-2</v>
          </cell>
          <cell r="M23">
            <v>2.6725462684572727E-2</v>
          </cell>
          <cell r="N23">
            <v>2.6725462684572727E-2</v>
          </cell>
          <cell r="O23">
            <v>2.6725462684572727E-2</v>
          </cell>
          <cell r="P23">
            <v>2.6725462684572727E-2</v>
          </cell>
        </row>
        <row r="24">
          <cell r="C24" t="str">
            <v xml:space="preserve"> Analisi materie prime</v>
          </cell>
          <cell r="G24">
            <v>8</v>
          </cell>
          <cell r="H24">
            <v>0</v>
          </cell>
          <cell r="I24">
            <v>0</v>
          </cell>
          <cell r="K24">
            <v>22660</v>
          </cell>
          <cell r="L24">
            <v>0</v>
          </cell>
          <cell r="M24">
            <v>0</v>
          </cell>
        </row>
        <row r="25">
          <cell r="B25" t="str">
            <v>B</v>
          </cell>
        </row>
        <row r="26">
          <cell r="C26" t="str">
            <v xml:space="preserve"> PREPARAZIONI IMPASTI E FUSIONE</v>
          </cell>
        </row>
        <row r="27">
          <cell r="B27">
            <v>1</v>
          </cell>
          <cell r="C27" t="str">
            <v xml:space="preserve"> Impostazione ricette + carico + analisi</v>
          </cell>
          <cell r="F27">
            <v>2</v>
          </cell>
          <cell r="G27">
            <v>8</v>
          </cell>
          <cell r="H27">
            <v>8</v>
          </cell>
          <cell r="I27">
            <v>16</v>
          </cell>
          <cell r="K27">
            <v>22660</v>
          </cell>
          <cell r="L27">
            <v>7.0609002647837593E-2</v>
          </cell>
          <cell r="M27">
            <v>7.0609002647837593E-2</v>
          </cell>
        </row>
        <row r="29">
          <cell r="B29">
            <v>2</v>
          </cell>
          <cell r="C29" t="str">
            <v xml:space="preserve"> Assistenza impianto sterilizzazione e cremificazione</v>
          </cell>
          <cell r="F29">
            <v>2</v>
          </cell>
          <cell r="G29">
            <v>8</v>
          </cell>
          <cell r="H29">
            <v>8</v>
          </cell>
          <cell r="I29">
            <v>16</v>
          </cell>
          <cell r="K29">
            <v>22660</v>
          </cell>
          <cell r="L29">
            <v>7.0609002647837593E-2</v>
          </cell>
          <cell r="M29">
            <v>7.0609002647837593E-2</v>
          </cell>
        </row>
        <row r="30">
          <cell r="C30" t="str">
            <v xml:space="preserve"> Stephan + preparazione e carico caseina</v>
          </cell>
        </row>
        <row r="31">
          <cell r="B31">
            <v>3</v>
          </cell>
          <cell r="C31" t="str">
            <v xml:space="preserve"> Carico burro, fusione burro </v>
          </cell>
          <cell r="G31">
            <v>0</v>
          </cell>
          <cell r="H31">
            <v>0</v>
          </cell>
          <cell r="I31">
            <v>0</v>
          </cell>
          <cell r="K31">
            <v>22660</v>
          </cell>
          <cell r="L31">
            <v>0</v>
          </cell>
          <cell r="M31">
            <v>0</v>
          </cell>
        </row>
        <row r="33">
          <cell r="B33">
            <v>4</v>
          </cell>
          <cell r="C33" t="str">
            <v xml:space="preserve"> Assistenza e controllo cremificazione</v>
          </cell>
          <cell r="H33">
            <v>0</v>
          </cell>
          <cell r="I33">
            <v>0</v>
          </cell>
          <cell r="K33">
            <v>22660</v>
          </cell>
          <cell r="L33">
            <v>0</v>
          </cell>
          <cell r="M33">
            <v>0</v>
          </cell>
        </row>
        <row r="34">
          <cell r="B34">
            <v>5</v>
          </cell>
          <cell r="C34" t="str">
            <v xml:space="preserve"> Cottura in 1 Ks : addetti Stephan + pesatura sali di fusione</v>
          </cell>
          <cell r="H34">
            <v>0</v>
          </cell>
          <cell r="I34">
            <v>0</v>
          </cell>
          <cell r="K34">
            <v>22660</v>
          </cell>
          <cell r="L34">
            <v>0</v>
          </cell>
        </row>
        <row r="35">
          <cell r="B35">
            <v>6</v>
          </cell>
          <cell r="C35" t="str">
            <v xml:space="preserve"> Pressatura porzioni fusi + filante</v>
          </cell>
          <cell r="H35">
            <v>0</v>
          </cell>
          <cell r="I35">
            <v>0</v>
          </cell>
          <cell r="K35">
            <v>59868</v>
          </cell>
          <cell r="L35">
            <v>0</v>
          </cell>
          <cell r="M35">
            <v>0</v>
          </cell>
        </row>
        <row r="37">
          <cell r="B37">
            <v>7</v>
          </cell>
          <cell r="C37" t="str">
            <v xml:space="preserve"> Preparazione e cottura form. prefuso settimanale</v>
          </cell>
          <cell r="H37">
            <v>0</v>
          </cell>
          <cell r="I37">
            <v>0</v>
          </cell>
          <cell r="K37">
            <v>113300</v>
          </cell>
          <cell r="L37">
            <v>0</v>
          </cell>
          <cell r="M37">
            <v>0</v>
          </cell>
        </row>
        <row r="39">
          <cell r="B39">
            <v>8</v>
          </cell>
          <cell r="C39" t="str">
            <v xml:space="preserve"> Colatura linee + trasporto pasta a Stephan</v>
          </cell>
          <cell r="F39">
            <v>2</v>
          </cell>
          <cell r="G39">
            <v>8</v>
          </cell>
          <cell r="H39">
            <v>8</v>
          </cell>
          <cell r="I39">
            <v>16</v>
          </cell>
          <cell r="K39">
            <v>29528</v>
          </cell>
          <cell r="L39">
            <v>5.4185857491194797E-2</v>
          </cell>
          <cell r="M39">
            <v>5.4185857491194797E-2</v>
          </cell>
        </row>
        <row r="41">
          <cell r="B41">
            <v>9</v>
          </cell>
          <cell r="C41" t="str">
            <v xml:space="preserve"> Lavaggio iniziale e finale Stephan</v>
          </cell>
          <cell r="F41">
            <v>1</v>
          </cell>
          <cell r="G41">
            <v>8</v>
          </cell>
          <cell r="H41">
            <v>8</v>
          </cell>
          <cell r="I41">
            <v>8</v>
          </cell>
          <cell r="K41">
            <v>22660</v>
          </cell>
          <cell r="L41">
            <v>3.5304501323918797E-2</v>
          </cell>
          <cell r="M41">
            <v>3.5304501323918797E-2</v>
          </cell>
        </row>
        <row r="43">
          <cell r="B43">
            <v>10</v>
          </cell>
          <cell r="C43" t="str">
            <v xml:space="preserve"> Lavaggio iniziale + finale Combinator e linee, preparazione</v>
          </cell>
          <cell r="G43">
            <v>8</v>
          </cell>
          <cell r="H43">
            <v>8</v>
          </cell>
          <cell r="I43">
            <v>0</v>
          </cell>
          <cell r="K43">
            <v>29528</v>
          </cell>
          <cell r="L43">
            <v>0</v>
          </cell>
          <cell r="M43">
            <v>0</v>
          </cell>
        </row>
        <row r="44">
          <cell r="C44" t="str">
            <v xml:space="preserve"> macchine formatrici e lavaggio allibert</v>
          </cell>
        </row>
        <row r="46">
          <cell r="B46">
            <v>11</v>
          </cell>
          <cell r="C46" t="str">
            <v>Lavaggio ferri</v>
          </cell>
          <cell r="F46">
            <v>1</v>
          </cell>
          <cell r="G46">
            <v>8</v>
          </cell>
          <cell r="H46">
            <v>8</v>
          </cell>
          <cell r="I46">
            <v>8</v>
          </cell>
          <cell r="K46">
            <v>29528</v>
          </cell>
          <cell r="L46">
            <v>2.7092928745597399E-2</v>
          </cell>
          <cell r="M46">
            <v>2.7092928745597399E-2</v>
          </cell>
        </row>
        <row r="48">
          <cell r="B48">
            <v>12</v>
          </cell>
          <cell r="C48" t="str">
            <v>Travaso pasta a fusione da cartonbox a palbox</v>
          </cell>
          <cell r="H48">
            <v>0</v>
          </cell>
          <cell r="I48">
            <v>0</v>
          </cell>
          <cell r="K48">
            <v>29528</v>
          </cell>
          <cell r="L48">
            <v>0</v>
          </cell>
          <cell r="M48">
            <v>0</v>
          </cell>
        </row>
        <row r="49">
          <cell r="C49" t="str">
            <v xml:space="preserve"> Addetti Ks x Dolc. Cr. / CBP +/ 4 Form. / Process./ Tiramisù</v>
          </cell>
          <cell r="F49">
            <v>2</v>
          </cell>
          <cell r="G49">
            <v>8</v>
          </cell>
          <cell r="H49">
            <v>8</v>
          </cell>
          <cell r="I49">
            <v>16</v>
          </cell>
          <cell r="K49">
            <v>6868</v>
          </cell>
          <cell r="L49">
            <v>0.23296447291788003</v>
          </cell>
          <cell r="N49">
            <v>0.23296447291788003</v>
          </cell>
        </row>
        <row r="50">
          <cell r="C50" t="str">
            <v xml:space="preserve"> Capi reparto (vedi scheda allegato 3)</v>
          </cell>
          <cell r="L50">
            <v>1.2026458208057728E-2</v>
          </cell>
          <cell r="M50">
            <v>1.2026458208057728E-2</v>
          </cell>
          <cell r="N50">
            <v>1.2026458208057728E-2</v>
          </cell>
          <cell r="O50">
            <v>1.2026458208057728E-2</v>
          </cell>
          <cell r="P50">
            <v>1.2026458208057728E-2</v>
          </cell>
        </row>
        <row r="52">
          <cell r="C52" t="str">
            <v>NB  tener conto di 1 x 8 ore Magor</v>
          </cell>
          <cell r="F52">
            <v>1</v>
          </cell>
          <cell r="G52">
            <v>8</v>
          </cell>
          <cell r="H52">
            <v>8</v>
          </cell>
          <cell r="I52">
            <v>8</v>
          </cell>
        </row>
        <row r="56">
          <cell r="C56" t="str">
            <v xml:space="preserve"> TEMPO TOTALE</v>
          </cell>
          <cell r="E56" t="str">
            <v>ORE/100 KG.</v>
          </cell>
          <cell r="I56">
            <v>136</v>
          </cell>
          <cell r="L56">
            <v>0.58296861203604211</v>
          </cell>
          <cell r="M56">
            <v>0.35000413911816208</v>
          </cell>
          <cell r="N56">
            <v>0.32516731917965591</v>
          </cell>
          <cell r="O56">
            <v>9.2202846261775911E-2</v>
          </cell>
          <cell r="P56">
            <v>9.2202846261775911E-2</v>
          </cell>
        </row>
        <row r="60">
          <cell r="C60" t="str">
            <v xml:space="preserve"> Determinanti 2004</v>
          </cell>
          <cell r="F60" t="str">
            <v>KG/ANNO</v>
          </cell>
          <cell r="G60" t="str">
            <v>GG/ANNO</v>
          </cell>
          <cell r="H60" t="str">
            <v>KG/GIORNO</v>
          </cell>
        </row>
        <row r="61">
          <cell r="C61" t="str">
            <v xml:space="preserve"> C.B.P. Normale</v>
          </cell>
          <cell r="F61">
            <v>5665000</v>
          </cell>
          <cell r="G61">
            <v>250</v>
          </cell>
          <cell r="H61">
            <v>22660</v>
          </cell>
          <cell r="K61" t="str">
            <v xml:space="preserve"> SEGUE SU SCHEDE DI CONFEZIONAMENTO</v>
          </cell>
        </row>
        <row r="62">
          <cell r="C62" t="str">
            <v xml:space="preserve"> C.B.P. +,  Dolcelatte cremoso, Crema 4 formaggi, Processato</v>
          </cell>
          <cell r="F62">
            <v>1717000</v>
          </cell>
          <cell r="G62">
            <v>250</v>
          </cell>
          <cell r="H62">
            <v>6868</v>
          </cell>
          <cell r="K62" t="str">
            <v xml:space="preserve"> - FUSI PORZIONI</v>
          </cell>
        </row>
        <row r="63">
          <cell r="H63" t="str">
            <v/>
          </cell>
          <cell r="K63" t="str">
            <v xml:space="preserve"> - FILANTE</v>
          </cell>
        </row>
        <row r="64">
          <cell r="C64" t="str">
            <v xml:space="preserve"> Filante + Idea Pizza + Fil. Rapè + Filone Mozz.</v>
          </cell>
          <cell r="F64">
            <v>7585000</v>
          </cell>
          <cell r="G64">
            <v>250</v>
          </cell>
          <cell r="H64">
            <v>30340</v>
          </cell>
          <cell r="K64" t="str">
            <v xml:space="preserve"> - FILANTE x PIZZA</v>
          </cell>
        </row>
        <row r="65">
          <cell r="K65" t="str">
            <v xml:space="preserve"> - IDEA PIZZA</v>
          </cell>
        </row>
        <row r="66">
          <cell r="K66" t="str">
            <v xml:space="preserve"> - FORMAGGIO PER PIZZA</v>
          </cell>
        </row>
        <row r="68">
          <cell r="C68" t="str">
            <v xml:space="preserve"> TOTALI</v>
          </cell>
          <cell r="F68">
            <v>14967000</v>
          </cell>
          <cell r="G68">
            <v>248</v>
          </cell>
          <cell r="H68">
            <v>59868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SlicerSheet"/>
      <sheetName val="_pcHiddenSheet1"/>
      <sheetName val="Vol and GP Report"/>
      <sheetName val="CUST LOOKUP"/>
      <sheetName val="_pcSlicerSheet1"/>
      <sheetName val="_pcHiddenSheet2"/>
      <sheetName val="TRADING REPORT"/>
      <sheetName val="_pcHiddenSheet3"/>
      <sheetName val="PROMOTION VOLS"/>
    </sheetNames>
    <sheetDataSet>
      <sheetData sheetId="0"/>
      <sheetData sheetId="1" refreshError="1">
        <row r="3">
          <cell r="A3" t="str">
            <v>_Amount_for_Monthly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synth"/>
      <sheetName val="pts attention"/>
      <sheetName val="taux de perte MP-MG"/>
      <sheetName val="perte MP-MG av quai"/>
      <sheetName val="rendements sérum"/>
      <sheetName val="dco"/>
      <sheetName val="charges"/>
      <sheetName val="Nrj ratios"/>
      <sheetName val="Prix Nrj"/>
      <sheetName val="Nrj présentat°"/>
      <sheetName val="Eau présentat°"/>
      <sheetName val="détail effectifs"/>
      <sheetName val="productivité"/>
      <sheetName val="pdvté.laval"/>
      <sheetName val="effectifs"/>
      <sheetName val="évolut° eff"/>
      <sheetName val="évolut° masse"/>
      <sheetName val="synthèse.perso"/>
      <sheetName val="eff &amp; frais perso"/>
      <sheetName val="tnp"/>
      <sheetName val="Prod chim"/>
      <sheetName val="Laboratoire"/>
      <sheetName val="analyses"/>
      <sheetName val="PTT EPI"/>
      <sheetName val="info et clean"/>
      <sheetName val="déchets"/>
      <sheetName val="stk ext"/>
      <sheetName val="Shéma palette"/>
      <sheetName val="Emballages"/>
      <sheetName val="Ecremeu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>
        <row r="2">
          <cell r="AR2">
            <v>0.83</v>
          </cell>
        </row>
        <row r="3">
          <cell r="AR3">
            <v>1.27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6">
          <cell r="H6">
            <v>82589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"/>
      <sheetName val="PE"/>
      <sheetName val="U1"/>
      <sheetName val="DI"/>
      <sheetName val="VERIF"/>
      <sheetName val="SIG"/>
      <sheetName val="VOL"/>
      <sheetName val="ACTIVITE"/>
      <sheetName val="RDT"/>
      <sheetName val="FR22"/>
      <sheetName val="MIXM"/>
      <sheetName val="PRODté"/>
      <sheetName val="FACON"/>
      <sheetName val="PCI PPNC"/>
      <sheetName val="PCI PPC"/>
      <sheetName val="RAPE GALBANI"/>
      <sheetName val="INTERFA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 Activité"/>
      <sheetName val="VOLUMES"/>
      <sheetName val="Grille"/>
    </sheetNames>
    <sheetDataSet>
      <sheetData sheetId="0"/>
      <sheetData sheetId="1"/>
      <sheetData sheetId="2" refreshError="1">
        <row r="3">
          <cell r="B3">
            <v>1</v>
          </cell>
          <cell r="C3" t="str">
            <v>JANVIER</v>
          </cell>
        </row>
        <row r="4">
          <cell r="B4">
            <v>2</v>
          </cell>
          <cell r="C4" t="str">
            <v>FÉVRIER</v>
          </cell>
        </row>
        <row r="5">
          <cell r="B5">
            <v>3</v>
          </cell>
          <cell r="C5" t="str">
            <v>MARS</v>
          </cell>
        </row>
        <row r="6">
          <cell r="B6">
            <v>4</v>
          </cell>
          <cell r="C6" t="str">
            <v>AVRIL</v>
          </cell>
        </row>
        <row r="7">
          <cell r="B7">
            <v>5</v>
          </cell>
          <cell r="C7" t="str">
            <v>MAI</v>
          </cell>
        </row>
        <row r="8">
          <cell r="B8">
            <v>6</v>
          </cell>
          <cell r="C8" t="str">
            <v>JUIN</v>
          </cell>
        </row>
        <row r="9">
          <cell r="B9">
            <v>7</v>
          </cell>
          <cell r="C9" t="str">
            <v>JUILLET</v>
          </cell>
        </row>
        <row r="10">
          <cell r="B10">
            <v>8</v>
          </cell>
          <cell r="C10" t="str">
            <v>AOÛT</v>
          </cell>
        </row>
        <row r="11">
          <cell r="B11">
            <v>9</v>
          </cell>
          <cell r="C11" t="str">
            <v>SEPTEMBRE</v>
          </cell>
        </row>
        <row r="12">
          <cell r="B12">
            <v>10</v>
          </cell>
          <cell r="C12" t="str">
            <v>OCTOBRE</v>
          </cell>
        </row>
        <row r="13">
          <cell r="B13">
            <v>11</v>
          </cell>
          <cell r="C13" t="str">
            <v>NOVEMBRE</v>
          </cell>
        </row>
        <row r="14">
          <cell r="B14">
            <v>12</v>
          </cell>
          <cell r="C14" t="str">
            <v>DÉCEMBRE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hal.archives-ouvertes.fr/hal-00928929/docu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EEE8-B5FE-4126-8C2B-2C084C635DB5}">
  <dimension ref="A1:F33"/>
  <sheetViews>
    <sheetView topLeftCell="A3" workbookViewId="0">
      <selection activeCell="H28" sqref="H28"/>
    </sheetView>
  </sheetViews>
  <sheetFormatPr baseColWidth="10" defaultRowHeight="15" x14ac:dyDescent="0.25"/>
  <cols>
    <col min="1" max="1" width="33.85546875" customWidth="1"/>
    <col min="2" max="2" width="12.7109375" customWidth="1"/>
    <col min="3" max="3" width="15.7109375" customWidth="1"/>
    <col min="5" max="5" width="28" customWidth="1"/>
    <col min="6" max="6" width="12.42578125" customWidth="1"/>
  </cols>
  <sheetData>
    <row r="1" spans="1:6" ht="21" x14ac:dyDescent="0.35">
      <c r="A1" s="181" t="s">
        <v>182</v>
      </c>
    </row>
    <row r="3" spans="1:6" ht="18.75" x14ac:dyDescent="0.3">
      <c r="A3" s="39" t="s">
        <v>171</v>
      </c>
    </row>
    <row r="4" spans="1:6" ht="30" x14ac:dyDescent="0.25">
      <c r="A4" s="201" t="s">
        <v>196</v>
      </c>
      <c r="B4" s="201" t="s">
        <v>169</v>
      </c>
      <c r="C4" s="202" t="s">
        <v>167</v>
      </c>
      <c r="D4" s="203" t="s">
        <v>190</v>
      </c>
      <c r="E4" s="202" t="s">
        <v>156</v>
      </c>
      <c r="F4" s="204" t="s">
        <v>168</v>
      </c>
    </row>
    <row r="5" spans="1:6" x14ac:dyDescent="0.25">
      <c r="A5" s="164" t="s">
        <v>163</v>
      </c>
      <c r="B5" s="170">
        <v>4.1000000000000002E-2</v>
      </c>
      <c r="C5" s="171" t="s">
        <v>178</v>
      </c>
      <c r="D5" s="194" t="s">
        <v>192</v>
      </c>
      <c r="E5" s="171" t="s">
        <v>157</v>
      </c>
      <c r="F5" s="197">
        <v>1.4999999999999999E-2</v>
      </c>
    </row>
    <row r="6" spans="1:6" x14ac:dyDescent="0.25">
      <c r="A6" s="164" t="s">
        <v>164</v>
      </c>
      <c r="B6" s="170">
        <v>3.4500000000000003E-2</v>
      </c>
      <c r="C6" s="171" t="s">
        <v>179</v>
      </c>
      <c r="D6" s="195" t="s">
        <v>191</v>
      </c>
      <c r="E6" s="171" t="s">
        <v>158</v>
      </c>
      <c r="F6" s="197">
        <v>1.2E-2</v>
      </c>
    </row>
    <row r="7" spans="1:6" x14ac:dyDescent="0.25">
      <c r="A7" s="164" t="s">
        <v>165</v>
      </c>
      <c r="B7" s="168">
        <v>180000</v>
      </c>
      <c r="C7" s="171" t="s">
        <v>180</v>
      </c>
      <c r="D7" s="195" t="s">
        <v>193</v>
      </c>
      <c r="E7" s="171" t="s">
        <v>159</v>
      </c>
      <c r="F7" s="197">
        <v>7.0000000000000001E-3</v>
      </c>
    </row>
    <row r="8" spans="1:6" x14ac:dyDescent="0.25">
      <c r="A8" s="164" t="s">
        <v>166</v>
      </c>
      <c r="B8" s="168">
        <v>20000</v>
      </c>
      <c r="C8" s="171" t="s">
        <v>181</v>
      </c>
      <c r="D8" s="195" t="s">
        <v>191</v>
      </c>
      <c r="E8" s="171" t="s">
        <v>159</v>
      </c>
      <c r="F8" s="197">
        <v>8.0000000000000002E-3</v>
      </c>
    </row>
    <row r="9" spans="1:6" x14ac:dyDescent="0.25">
      <c r="A9" s="164" t="s">
        <v>160</v>
      </c>
      <c r="B9" s="166" t="s">
        <v>170</v>
      </c>
      <c r="C9" s="18"/>
      <c r="D9" s="195" t="s">
        <v>194</v>
      </c>
      <c r="E9" s="171" t="s">
        <v>161</v>
      </c>
      <c r="F9" s="197">
        <v>0.01</v>
      </c>
    </row>
    <row r="10" spans="1:6" x14ac:dyDescent="0.25">
      <c r="A10" s="165" t="s">
        <v>162</v>
      </c>
      <c r="B10" s="167" t="s">
        <v>170</v>
      </c>
      <c r="C10" s="142"/>
      <c r="D10" s="196" t="s">
        <v>192</v>
      </c>
      <c r="E10" s="175" t="s">
        <v>159</v>
      </c>
      <c r="F10" s="198">
        <v>5.0000000000000001E-3</v>
      </c>
    </row>
    <row r="11" spans="1:6" x14ac:dyDescent="0.25">
      <c r="A11" s="164"/>
      <c r="B11" s="169"/>
      <c r="E11" s="176"/>
    </row>
    <row r="12" spans="1:6" ht="30" x14ac:dyDescent="0.25">
      <c r="A12" s="209" t="s">
        <v>185</v>
      </c>
      <c r="B12" s="208" t="s">
        <v>195</v>
      </c>
    </row>
    <row r="13" spans="1:6" x14ac:dyDescent="0.25">
      <c r="A13" s="21" t="s">
        <v>173</v>
      </c>
      <c r="B13" s="205">
        <v>0.51</v>
      </c>
    </row>
    <row r="14" spans="1:6" x14ac:dyDescent="0.25">
      <c r="A14" s="18" t="s">
        <v>174</v>
      </c>
      <c r="B14" s="206">
        <f>SUM(F5:F6)</f>
        <v>2.7E-2</v>
      </c>
    </row>
    <row r="15" spans="1:6" x14ac:dyDescent="0.25">
      <c r="A15" s="18" t="s">
        <v>175</v>
      </c>
      <c r="B15" s="206">
        <f>SUM(F7:F8)</f>
        <v>1.4999999999999999E-2</v>
      </c>
    </row>
    <row r="16" spans="1:6" x14ac:dyDescent="0.25">
      <c r="A16" s="18" t="s">
        <v>176</v>
      </c>
      <c r="B16" s="206">
        <f>SUM(F9:F10)</f>
        <v>1.4999999999999999E-2</v>
      </c>
    </row>
    <row r="17" spans="1:6" x14ac:dyDescent="0.25">
      <c r="A17" s="177" t="s">
        <v>177</v>
      </c>
      <c r="B17" s="207">
        <f>SUM(B13:B16)</f>
        <v>0.56700000000000006</v>
      </c>
    </row>
    <row r="19" spans="1:6" ht="18.75" x14ac:dyDescent="0.3">
      <c r="A19" s="39" t="s">
        <v>172</v>
      </c>
    </row>
    <row r="20" spans="1:6" ht="45" x14ac:dyDescent="0.25">
      <c r="A20" s="201" t="s">
        <v>197</v>
      </c>
      <c r="B20" s="201" t="s">
        <v>169</v>
      </c>
      <c r="C20" s="202" t="s">
        <v>167</v>
      </c>
      <c r="D20" s="203" t="s">
        <v>183</v>
      </c>
      <c r="E20" s="202" t="s">
        <v>184</v>
      </c>
      <c r="F20" s="204" t="s">
        <v>168</v>
      </c>
    </row>
    <row r="21" spans="1:6" x14ac:dyDescent="0.25">
      <c r="A21" s="164" t="s">
        <v>163</v>
      </c>
      <c r="B21" s="170">
        <v>3.95E-2</v>
      </c>
      <c r="C21" s="172">
        <v>3.7999999999999999E-2</v>
      </c>
      <c r="D21" s="199">
        <v>5.0000000000000001E-3</v>
      </c>
      <c r="E21" s="171">
        <f>(B21-C21)*1000</f>
        <v>1.5000000000000013</v>
      </c>
      <c r="F21" s="197">
        <f>D21*E21</f>
        <v>7.5000000000000067E-3</v>
      </c>
    </row>
    <row r="22" spans="1:6" x14ac:dyDescent="0.25">
      <c r="A22" s="164" t="s">
        <v>164</v>
      </c>
      <c r="B22" s="170">
        <v>3.4000000000000002E-2</v>
      </c>
      <c r="C22" s="173">
        <v>3.3000000000000002E-2</v>
      </c>
      <c r="D22" s="199">
        <v>8.0000000000000002E-3</v>
      </c>
      <c r="E22" s="171">
        <f>(B22-C22)*1000</f>
        <v>1.0000000000000009</v>
      </c>
      <c r="F22" s="197">
        <f>D22*E22</f>
        <v>8.0000000000000071E-3</v>
      </c>
    </row>
    <row r="23" spans="1:6" x14ac:dyDescent="0.25">
      <c r="A23" s="164" t="s">
        <v>165</v>
      </c>
      <c r="B23" s="168">
        <v>195000</v>
      </c>
      <c r="C23" s="174">
        <v>200000</v>
      </c>
      <c r="D23" s="199">
        <v>7.0000000000000001E-3</v>
      </c>
      <c r="E23" s="171" t="str">
        <f>IF(B23&lt;C23,"Aplica","No aplica")</f>
        <v>Aplica</v>
      </c>
      <c r="F23" s="197">
        <f>IF(B23&lt;C23,D23,0)</f>
        <v>7.0000000000000001E-3</v>
      </c>
    </row>
    <row r="24" spans="1:6" x14ac:dyDescent="0.25">
      <c r="A24" s="164" t="s">
        <v>166</v>
      </c>
      <c r="B24" s="168">
        <v>52000</v>
      </c>
      <c r="C24" s="174">
        <v>50000</v>
      </c>
      <c r="D24" s="199">
        <v>8.0000000000000002E-3</v>
      </c>
      <c r="E24" s="171" t="str">
        <f>IF(B24&lt;C24,"Aplica","No aplica")</f>
        <v>No aplica</v>
      </c>
      <c r="F24" s="197">
        <f>IF(B24&lt;C24,D24,0)</f>
        <v>0</v>
      </c>
    </row>
    <row r="25" spans="1:6" x14ac:dyDescent="0.25">
      <c r="A25" s="164" t="s">
        <v>160</v>
      </c>
      <c r="B25" s="166" t="s">
        <v>170</v>
      </c>
      <c r="C25" s="18"/>
      <c r="D25" s="199">
        <v>0.01</v>
      </c>
      <c r="E25" s="171"/>
      <c r="F25" s="197">
        <f>IF(B25="Sí",D25,0)</f>
        <v>0.01</v>
      </c>
    </row>
    <row r="26" spans="1:6" x14ac:dyDescent="0.25">
      <c r="A26" s="165" t="s">
        <v>162</v>
      </c>
      <c r="B26" s="167" t="s">
        <v>170</v>
      </c>
      <c r="C26" s="142"/>
      <c r="D26" s="200">
        <v>5.0000000000000001E-3</v>
      </c>
      <c r="E26" s="142"/>
      <c r="F26" s="198">
        <f>IF(B26="Sí",D26,0)</f>
        <v>5.0000000000000001E-3</v>
      </c>
    </row>
    <row r="28" spans="1:6" ht="30" x14ac:dyDescent="0.25">
      <c r="A28" s="209" t="s">
        <v>185</v>
      </c>
      <c r="B28" s="208" t="s">
        <v>195</v>
      </c>
    </row>
    <row r="29" spans="1:6" x14ac:dyDescent="0.25">
      <c r="A29" s="21" t="s">
        <v>173</v>
      </c>
      <c r="B29" s="205">
        <v>0.51</v>
      </c>
    </row>
    <row r="30" spans="1:6" x14ac:dyDescent="0.25">
      <c r="A30" s="18" t="s">
        <v>174</v>
      </c>
      <c r="B30" s="206">
        <f>SUM(F21:F22)</f>
        <v>1.5500000000000014E-2</v>
      </c>
    </row>
    <row r="31" spans="1:6" x14ac:dyDescent="0.25">
      <c r="A31" s="18" t="s">
        <v>175</v>
      </c>
      <c r="B31" s="206">
        <f>SUM(F23:F24)</f>
        <v>7.0000000000000001E-3</v>
      </c>
    </row>
    <row r="32" spans="1:6" x14ac:dyDescent="0.25">
      <c r="A32" s="18" t="s">
        <v>176</v>
      </c>
      <c r="B32" s="206">
        <f>SUM(F25:F26)</f>
        <v>1.4999999999999999E-2</v>
      </c>
    </row>
    <row r="33" spans="1:2" x14ac:dyDescent="0.25">
      <c r="A33" s="177" t="s">
        <v>177</v>
      </c>
      <c r="B33" s="207">
        <f>SUM(B29:B32)</f>
        <v>0.5475000000000001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A5F7-7476-41E2-B25E-833B29F6911A}">
  <dimension ref="A1:D35"/>
  <sheetViews>
    <sheetView zoomScaleNormal="100" workbookViewId="0"/>
  </sheetViews>
  <sheetFormatPr baseColWidth="10" defaultRowHeight="15" x14ac:dyDescent="0.25"/>
  <cols>
    <col min="1" max="1" width="40.28515625" customWidth="1"/>
    <col min="2" max="2" width="15.140625" customWidth="1"/>
    <col min="3" max="3" width="11.85546875" customWidth="1"/>
  </cols>
  <sheetData>
    <row r="1" spans="1:3" ht="18.75" x14ac:dyDescent="0.3">
      <c r="A1" s="39" t="s">
        <v>37</v>
      </c>
    </row>
    <row r="2" spans="1:3" x14ac:dyDescent="0.25">
      <c r="A2" s="210" t="s">
        <v>72</v>
      </c>
      <c r="B2" s="211" t="s">
        <v>152</v>
      </c>
      <c r="C2" s="211" t="s">
        <v>4</v>
      </c>
    </row>
    <row r="3" spans="1:3" x14ac:dyDescent="0.25">
      <c r="A3" s="76" t="s">
        <v>198</v>
      </c>
      <c r="B3" s="178">
        <v>0.51</v>
      </c>
      <c r="C3" s="178">
        <v>0.51</v>
      </c>
    </row>
    <row r="4" spans="1:3" x14ac:dyDescent="0.25">
      <c r="A4" s="40" t="s">
        <v>199</v>
      </c>
      <c r="B4" s="179">
        <v>2.7E-2</v>
      </c>
      <c r="C4" s="179">
        <v>1.5500000000000014E-2</v>
      </c>
    </row>
    <row r="5" spans="1:3" x14ac:dyDescent="0.25">
      <c r="A5" s="40" t="s">
        <v>200</v>
      </c>
      <c r="B5" s="179">
        <v>1.4999999999999999E-2</v>
      </c>
      <c r="C5" s="179">
        <v>7.0000000000000001E-3</v>
      </c>
    </row>
    <row r="6" spans="1:3" x14ac:dyDescent="0.25">
      <c r="A6" s="41" t="s">
        <v>201</v>
      </c>
      <c r="B6" s="180">
        <v>1.4999999999999999E-2</v>
      </c>
      <c r="C6" s="180">
        <v>1.4999999999999999E-2</v>
      </c>
    </row>
    <row r="7" spans="1:3" x14ac:dyDescent="0.25">
      <c r="A7" s="76" t="s">
        <v>202</v>
      </c>
      <c r="B7" s="178">
        <f>SUM(B3:B6)</f>
        <v>0.56700000000000006</v>
      </c>
      <c r="C7" s="178">
        <f>SUM(C3:C6)</f>
        <v>0.5475000000000001</v>
      </c>
    </row>
    <row r="8" spans="1:3" x14ac:dyDescent="0.25">
      <c r="A8" s="41" t="s">
        <v>203</v>
      </c>
      <c r="B8" s="212">
        <v>2.1000000000000001E-2</v>
      </c>
      <c r="C8" s="212">
        <v>2.5000000000000001E-2</v>
      </c>
    </row>
    <row r="9" spans="1:3" x14ac:dyDescent="0.25">
      <c r="A9" s="163" t="s">
        <v>73</v>
      </c>
      <c r="B9" s="217">
        <f>SUM(B7:B8)</f>
        <v>0.58800000000000008</v>
      </c>
      <c r="C9" s="217">
        <f>SUM(C7:C8)</f>
        <v>0.57250000000000012</v>
      </c>
    </row>
    <row r="10" spans="1:3" x14ac:dyDescent="0.25">
      <c r="A10" s="40" t="s">
        <v>204</v>
      </c>
      <c r="B10" s="179">
        <f>B27*B16/1000</f>
        <v>0.23520000000000005</v>
      </c>
      <c r="C10" s="179">
        <f>C27*C16/1000</f>
        <v>0.22900000000000006</v>
      </c>
    </row>
    <row r="11" spans="1:3" x14ac:dyDescent="0.25">
      <c r="A11" s="41" t="s">
        <v>205</v>
      </c>
      <c r="B11" s="180">
        <f>B28*B17/1000</f>
        <v>0.35280000000000006</v>
      </c>
      <c r="C11" s="180">
        <f>C28*C17/1000</f>
        <v>0.34350000000000008</v>
      </c>
    </row>
    <row r="12" spans="1:3" x14ac:dyDescent="0.25">
      <c r="A12" s="98" t="s">
        <v>97</v>
      </c>
      <c r="B12" s="21"/>
      <c r="C12" s="21"/>
    </row>
    <row r="13" spans="1:3" x14ac:dyDescent="0.25">
      <c r="A13" s="27" t="s">
        <v>206</v>
      </c>
      <c r="B13" s="182">
        <v>4.1000000000000002E-2</v>
      </c>
      <c r="C13" s="182">
        <v>3.95E-2</v>
      </c>
    </row>
    <row r="14" spans="1:3" x14ac:dyDescent="0.25">
      <c r="A14" s="44" t="s">
        <v>207</v>
      </c>
      <c r="B14" s="24">
        <v>3.4500000000000003E-2</v>
      </c>
      <c r="C14" s="24">
        <v>3.4000000000000002E-2</v>
      </c>
    </row>
    <row r="15" spans="1:3" x14ac:dyDescent="0.25">
      <c r="A15" s="99" t="s">
        <v>38</v>
      </c>
      <c r="B15" s="18"/>
      <c r="C15" s="18"/>
    </row>
    <row r="16" spans="1:3" x14ac:dyDescent="0.25">
      <c r="A16" s="27" t="s">
        <v>208</v>
      </c>
      <c r="B16" s="16">
        <f>B13*B21*1000</f>
        <v>42.403446035919998</v>
      </c>
      <c r="C16" s="16">
        <f>C13*C21*1000</f>
        <v>40.852168093780008</v>
      </c>
    </row>
    <row r="17" spans="1:4" x14ac:dyDescent="0.25">
      <c r="A17" s="27" t="s">
        <v>209</v>
      </c>
      <c r="B17" s="16">
        <f>B14*B21*1000</f>
        <v>35.680948493640003</v>
      </c>
      <c r="C17" s="16">
        <f>C14*C21*1000</f>
        <v>35.163891523760007</v>
      </c>
    </row>
    <row r="18" spans="1:4" x14ac:dyDescent="0.25">
      <c r="A18" s="27" t="s">
        <v>210</v>
      </c>
      <c r="B18" s="16">
        <v>48</v>
      </c>
      <c r="C18" s="16">
        <v>48</v>
      </c>
    </row>
    <row r="19" spans="1:4" x14ac:dyDescent="0.25">
      <c r="A19" s="27" t="s">
        <v>211</v>
      </c>
      <c r="B19" s="16">
        <v>9</v>
      </c>
      <c r="C19" s="16">
        <v>9</v>
      </c>
    </row>
    <row r="20" spans="1:4" x14ac:dyDescent="0.25">
      <c r="A20" s="27" t="s">
        <v>212</v>
      </c>
      <c r="B20" s="16">
        <f>B21*1000-SUM(B16:B19)</f>
        <v>899.14599659043995</v>
      </c>
      <c r="C20" s="16">
        <f>C21*1000-SUM(C16:C19)</f>
        <v>901.2160440224601</v>
      </c>
    </row>
    <row r="21" spans="1:4" x14ac:dyDescent="0.25">
      <c r="A21" s="27" t="s">
        <v>213</v>
      </c>
      <c r="B21" s="16">
        <f>(-0.2307*10^(-2)*B22^2-0.2655*B22+1040.51-B13*(-0.478*10^(-4)*B22^2+0.969*10^(-2)*B22+0.967))/1000</f>
        <v>1.0342303911199999</v>
      </c>
      <c r="C21" s="16">
        <f>(-0.2307*10^(-2)*C22^2-0.2655*C22+1040.51-C13*(-0.478*10^(-4)*C22^2+0.969*10^(-2)*C22+0.967))/1000</f>
        <v>1.0342321036400002</v>
      </c>
    </row>
    <row r="22" spans="1:4" x14ac:dyDescent="0.25">
      <c r="A22" s="101" t="s">
        <v>139</v>
      </c>
      <c r="B22" s="104">
        <v>20</v>
      </c>
      <c r="C22" s="104">
        <v>20</v>
      </c>
    </row>
    <row r="23" spans="1:4" x14ac:dyDescent="0.25">
      <c r="A23" s="102" t="s">
        <v>101</v>
      </c>
      <c r="B23" s="21"/>
      <c r="C23" s="21"/>
    </row>
    <row r="24" spans="1:4" x14ac:dyDescent="0.25">
      <c r="A24" s="40" t="s">
        <v>214</v>
      </c>
      <c r="B24" s="213">
        <v>0.4</v>
      </c>
      <c r="C24" s="213">
        <v>0.4</v>
      </c>
      <c r="D24" s="59"/>
    </row>
    <row r="25" spans="1:4" x14ac:dyDescent="0.25">
      <c r="A25" s="40" t="s">
        <v>215</v>
      </c>
      <c r="B25" s="103">
        <f>1-B24</f>
        <v>0.6</v>
      </c>
      <c r="C25" s="103">
        <f>1-C24</f>
        <v>0.6</v>
      </c>
      <c r="D25" s="59"/>
    </row>
    <row r="26" spans="1:4" x14ac:dyDescent="0.25">
      <c r="A26" s="216" t="s">
        <v>138</v>
      </c>
      <c r="B26" s="18"/>
      <c r="C26" s="18"/>
      <c r="D26" s="59"/>
    </row>
    <row r="27" spans="1:4" x14ac:dyDescent="0.25">
      <c r="A27" s="40" t="s">
        <v>216</v>
      </c>
      <c r="B27" s="214">
        <f>B9/B16*B24*1000</f>
        <v>5.5467190048837516</v>
      </c>
      <c r="C27" s="214">
        <f>C9/C16*C24*1000</f>
        <v>5.6055776397059009</v>
      </c>
    </row>
    <row r="28" spans="1:4" x14ac:dyDescent="0.25">
      <c r="A28" s="41" t="s">
        <v>217</v>
      </c>
      <c r="B28" s="215">
        <f>B9/B17*B25*1000</f>
        <v>9.8876295304449471</v>
      </c>
      <c r="C28" s="215">
        <f>C9/C17*C25*1000</f>
        <v>9.7685433868404292</v>
      </c>
      <c r="D28" s="59"/>
    </row>
    <row r="29" spans="1:4" x14ac:dyDescent="0.25">
      <c r="D29" s="59"/>
    </row>
    <row r="30" spans="1:4" x14ac:dyDescent="0.25">
      <c r="D30" s="59"/>
    </row>
    <row r="31" spans="1:4" x14ac:dyDescent="0.25">
      <c r="B31" s="59"/>
      <c r="C31" s="59"/>
      <c r="D31" s="59"/>
    </row>
    <row r="32" spans="1:4" x14ac:dyDescent="0.25">
      <c r="B32" s="59"/>
      <c r="C32" s="59"/>
      <c r="D32" s="59"/>
    </row>
    <row r="33" spans="4:4" x14ac:dyDescent="0.25">
      <c r="D33" s="59"/>
    </row>
    <row r="34" spans="4:4" x14ac:dyDescent="0.25">
      <c r="D34" s="59"/>
    </row>
    <row r="35" spans="4:4" x14ac:dyDescent="0.25">
      <c r="D35" s="5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FF627-9443-4CD0-A54A-AE7D4A501CD9}">
  <sheetPr>
    <pageSetUpPr fitToPage="1"/>
  </sheetPr>
  <dimension ref="A1:G22"/>
  <sheetViews>
    <sheetView tabSelected="1" zoomScale="90" zoomScaleNormal="90" workbookViewId="0">
      <selection activeCell="C12" sqref="C12"/>
    </sheetView>
  </sheetViews>
  <sheetFormatPr baseColWidth="10" defaultRowHeight="15" x14ac:dyDescent="0.25"/>
  <cols>
    <col min="1" max="1" width="48.7109375" customWidth="1"/>
    <col min="2" max="2" width="17.140625" customWidth="1"/>
  </cols>
  <sheetData>
    <row r="1" spans="1:7" ht="21" x14ac:dyDescent="0.25">
      <c r="A1" s="23" t="s">
        <v>102</v>
      </c>
      <c r="B1" s="105" t="s">
        <v>103</v>
      </c>
      <c r="C1" s="105" t="s">
        <v>104</v>
      </c>
      <c r="D1" s="105" t="s">
        <v>105</v>
      </c>
      <c r="E1" s="105" t="s">
        <v>106</v>
      </c>
      <c r="F1" s="105" t="s">
        <v>107</v>
      </c>
      <c r="G1" s="105" t="s">
        <v>108</v>
      </c>
    </row>
    <row r="2" spans="1:7" x14ac:dyDescent="0.25">
      <c r="A2" s="106" t="s">
        <v>13</v>
      </c>
      <c r="B2" s="107"/>
      <c r="C2" s="107">
        <v>1</v>
      </c>
      <c r="D2" s="107">
        <v>1</v>
      </c>
      <c r="E2" s="107">
        <v>1</v>
      </c>
      <c r="F2" s="107">
        <v>1</v>
      </c>
      <c r="G2" s="107">
        <v>1</v>
      </c>
    </row>
    <row r="3" spans="1:7" ht="18.75" x14ac:dyDescent="0.3">
      <c r="A3" s="108" t="s">
        <v>109</v>
      </c>
      <c r="B3" s="83"/>
      <c r="C3" s="83"/>
      <c r="D3" s="83"/>
      <c r="E3" s="83"/>
      <c r="F3" s="83"/>
      <c r="G3" s="83"/>
    </row>
    <row r="4" spans="1:7" x14ac:dyDescent="0.25">
      <c r="A4" s="109" t="s">
        <v>110</v>
      </c>
      <c r="B4" s="30"/>
      <c r="C4" s="30">
        <v>0.55000000000000004</v>
      </c>
      <c r="D4" s="30">
        <v>0.54949999999999999</v>
      </c>
      <c r="E4" s="30">
        <v>0.5635</v>
      </c>
      <c r="F4" s="30">
        <v>0.50470000000000004</v>
      </c>
      <c r="G4" s="30">
        <v>0.4</v>
      </c>
    </row>
    <row r="5" spans="1:7" x14ac:dyDescent="0.25">
      <c r="A5" s="110" t="s">
        <v>111</v>
      </c>
      <c r="B5" s="42"/>
      <c r="C5" s="42">
        <v>0.28000000000000003</v>
      </c>
      <c r="D5" s="42">
        <v>0.30280000000000001</v>
      </c>
      <c r="E5" s="42">
        <v>0.30930000000000002</v>
      </c>
      <c r="F5" s="42">
        <v>0.20219999999999999</v>
      </c>
      <c r="G5" s="42">
        <v>0.18</v>
      </c>
    </row>
    <row r="6" spans="1:7" x14ac:dyDescent="0.25">
      <c r="A6" s="27" t="s">
        <v>2</v>
      </c>
      <c r="B6" s="111" t="s">
        <v>112</v>
      </c>
      <c r="C6" s="15">
        <f>C4-C5</f>
        <v>0.27</v>
      </c>
      <c r="D6" s="15">
        <f>D4-D5</f>
        <v>0.24669999999999997</v>
      </c>
      <c r="E6" s="15">
        <f t="shared" ref="E6:F6" si="0">E4-E5</f>
        <v>0.25419999999999998</v>
      </c>
      <c r="F6" s="15">
        <f t="shared" si="0"/>
        <v>0.30250000000000005</v>
      </c>
      <c r="G6" s="15">
        <f>G4-G5</f>
        <v>0.22000000000000003</v>
      </c>
    </row>
    <row r="7" spans="1:7" x14ac:dyDescent="0.25">
      <c r="A7" s="27" t="s">
        <v>11</v>
      </c>
      <c r="B7" s="112" t="s">
        <v>113</v>
      </c>
      <c r="C7" s="20">
        <f>(1-C4)/(1-C5)</f>
        <v>0.625</v>
      </c>
      <c r="D7" s="20">
        <f>(1-D4)/(1-D5)</f>
        <v>0.64615605278255883</v>
      </c>
      <c r="E7" s="20">
        <f t="shared" ref="E7:F7" si="1">(1-E4)/(1-E5)</f>
        <v>0.63196756913276386</v>
      </c>
      <c r="F7" s="20">
        <f t="shared" si="1"/>
        <v>0.62083228879418395</v>
      </c>
      <c r="G7" s="20">
        <f>(1-G4)/(1-G5)</f>
        <v>0.7317073170731706</v>
      </c>
    </row>
    <row r="8" spans="1:7" x14ac:dyDescent="0.25">
      <c r="A8" s="44" t="s">
        <v>10</v>
      </c>
      <c r="B8" s="113" t="s">
        <v>114</v>
      </c>
      <c r="C8" s="24">
        <f>C5/C4</f>
        <v>0.50909090909090915</v>
      </c>
      <c r="D8" s="24">
        <f>D5/D4</f>
        <v>0.55104640582347597</v>
      </c>
      <c r="E8" s="24">
        <f t="shared" ref="E8:F8" si="2">E5/E4</f>
        <v>0.54889086069210291</v>
      </c>
      <c r="F8" s="24">
        <f t="shared" si="2"/>
        <v>0.40063404002377645</v>
      </c>
      <c r="G8" s="24">
        <f>G5/G4</f>
        <v>0.44999999999999996</v>
      </c>
    </row>
    <row r="9" spans="1:7" ht="18.75" x14ac:dyDescent="0.3">
      <c r="A9" s="114" t="s">
        <v>115</v>
      </c>
      <c r="B9" s="115"/>
      <c r="C9" s="115"/>
      <c r="D9" s="115"/>
      <c r="E9" s="115"/>
      <c r="F9" s="115"/>
      <c r="G9" s="115"/>
    </row>
    <row r="10" spans="1:7" x14ac:dyDescent="0.25">
      <c r="A10" s="116" t="s">
        <v>116</v>
      </c>
      <c r="B10" s="85"/>
      <c r="C10" s="183">
        <v>40.58</v>
      </c>
      <c r="D10" s="85">
        <v>41.37</v>
      </c>
      <c r="E10" s="85">
        <v>71.05</v>
      </c>
      <c r="F10" s="85">
        <v>24.82</v>
      </c>
      <c r="G10" s="85">
        <v>38.1</v>
      </c>
    </row>
    <row r="11" spans="1:7" x14ac:dyDescent="0.25">
      <c r="A11" s="117" t="s">
        <v>117</v>
      </c>
      <c r="B11" s="118"/>
      <c r="C11" s="184">
        <v>34.049999999999997</v>
      </c>
      <c r="D11" s="118">
        <v>32.049999999999997</v>
      </c>
      <c r="E11" s="118">
        <v>56.97</v>
      </c>
      <c r="F11" s="118">
        <v>33.659999999999997</v>
      </c>
      <c r="G11" s="118">
        <v>32.1</v>
      </c>
    </row>
    <row r="12" spans="1:7" ht="18.75" x14ac:dyDescent="0.3">
      <c r="A12" s="119" t="s">
        <v>118</v>
      </c>
      <c r="B12" s="120"/>
      <c r="C12" s="120"/>
      <c r="D12" s="120"/>
      <c r="E12" s="120"/>
      <c r="F12" s="120"/>
      <c r="G12" s="120"/>
    </row>
    <row r="13" spans="1:7" x14ac:dyDescent="0.25">
      <c r="A13" s="121" t="s">
        <v>119</v>
      </c>
      <c r="B13" s="122"/>
      <c r="C13" s="122">
        <v>0.94650000000000001</v>
      </c>
      <c r="D13" s="122">
        <v>0.96779999999999999</v>
      </c>
      <c r="E13" s="122">
        <v>0.93479999999999996</v>
      </c>
      <c r="F13" s="122">
        <v>0.97330000000000005</v>
      </c>
      <c r="G13" s="122">
        <v>0.9446</v>
      </c>
    </row>
    <row r="14" spans="1:7" ht="18.75" x14ac:dyDescent="0.3">
      <c r="A14" s="123" t="s">
        <v>120</v>
      </c>
      <c r="B14" s="124"/>
      <c r="C14" s="124"/>
      <c r="D14" s="124"/>
      <c r="E14" s="124"/>
      <c r="F14" s="124"/>
      <c r="G14" s="124"/>
    </row>
    <row r="15" spans="1:7" x14ac:dyDescent="0.25">
      <c r="A15" s="27" t="s">
        <v>121</v>
      </c>
      <c r="B15" s="125" t="s">
        <v>122</v>
      </c>
      <c r="C15" s="35">
        <f>C13*C11</f>
        <v>32.228324999999998</v>
      </c>
      <c r="D15" s="35">
        <f>D13*D11</f>
        <v>31.017989999999998</v>
      </c>
      <c r="E15" s="35">
        <f>E13*E11</f>
        <v>53.255555999999999</v>
      </c>
      <c r="F15" s="35">
        <f>F13*F11</f>
        <v>32.761277999999997</v>
      </c>
      <c r="G15" s="35">
        <f>G13*G11</f>
        <v>30.321660000000001</v>
      </c>
    </row>
    <row r="16" spans="1:7" x14ac:dyDescent="0.25">
      <c r="A16" s="27" t="s">
        <v>34</v>
      </c>
      <c r="B16" s="126" t="s">
        <v>123</v>
      </c>
      <c r="C16" s="127">
        <f>C6*1000/C15</f>
        <v>8.377723632860226</v>
      </c>
      <c r="D16" s="127">
        <f>D6*1000/D15</f>
        <v>7.9534489501092756</v>
      </c>
      <c r="E16" s="127">
        <f>E6*1000/E15</f>
        <v>4.7732108927752064</v>
      </c>
      <c r="F16" s="127">
        <f>F6*1000/F15</f>
        <v>9.2334615273555585</v>
      </c>
      <c r="G16" s="127">
        <f>G6*1000/G15</f>
        <v>7.2555394394634076</v>
      </c>
    </row>
    <row r="17" spans="1:7" x14ac:dyDescent="0.25">
      <c r="A17" s="27" t="s">
        <v>35</v>
      </c>
      <c r="B17" s="125" t="s">
        <v>124</v>
      </c>
      <c r="C17" s="35">
        <f>C5*1000/C16</f>
        <v>33.421966666666663</v>
      </c>
      <c r="D17" s="35">
        <f>D5*1000/D16</f>
        <v>38.071533733279288</v>
      </c>
      <c r="E17" s="35">
        <f>E5*1000/E16</f>
        <v>64.79914819354839</v>
      </c>
      <c r="F17" s="35">
        <f>F5*1000/F16</f>
        <v>21.898612930909085</v>
      </c>
      <c r="G17" s="35">
        <f>G5*1000/G16</f>
        <v>24.808630909090905</v>
      </c>
    </row>
    <row r="18" spans="1:7" x14ac:dyDescent="0.25">
      <c r="A18" s="27" t="s">
        <v>9</v>
      </c>
      <c r="B18" s="128" t="s">
        <v>125</v>
      </c>
      <c r="C18" s="129">
        <f>C17/C10</f>
        <v>0.82360686709380637</v>
      </c>
      <c r="D18" s="129">
        <f>D17/D10</f>
        <v>0.92026912577421538</v>
      </c>
      <c r="E18" s="129">
        <f t="shared" ref="E18:F18" si="3">E17/E10</f>
        <v>0.91202179019772545</v>
      </c>
      <c r="F18" s="129">
        <f t="shared" si="3"/>
        <v>0.88229705603985031</v>
      </c>
      <c r="G18" s="129">
        <f>G17/G10</f>
        <v>0.65114516821760904</v>
      </c>
    </row>
    <row r="19" spans="1:7" x14ac:dyDescent="0.25">
      <c r="A19" s="130" t="s">
        <v>126</v>
      </c>
      <c r="B19" s="131" t="s">
        <v>127</v>
      </c>
      <c r="C19" s="132">
        <f>C17-C10</f>
        <v>-7.1580333333333357</v>
      </c>
      <c r="D19" s="132">
        <f>D17-D10</f>
        <v>-3.298466266720709</v>
      </c>
      <c r="E19" s="132">
        <f t="shared" ref="E19:F19" si="4">E17-E10</f>
        <v>-6.2508518064516068</v>
      </c>
      <c r="F19" s="132">
        <f t="shared" si="4"/>
        <v>-2.9213870690909154</v>
      </c>
      <c r="G19" s="132">
        <f>G17-G10</f>
        <v>-13.291369090909097</v>
      </c>
    </row>
    <row r="20" spans="1:7" x14ac:dyDescent="0.25">
      <c r="A20" s="44" t="s">
        <v>128</v>
      </c>
      <c r="B20" s="133" t="s">
        <v>129</v>
      </c>
      <c r="C20" s="134">
        <f>C19/C10</f>
        <v>-0.1763931329061936</v>
      </c>
      <c r="D20" s="134">
        <f>D19/D10</f>
        <v>-7.9730874225784606E-2</v>
      </c>
      <c r="E20" s="134">
        <f t="shared" ref="E20:F20" si="5">E19/E10</f>
        <v>-8.7978209802274554E-2</v>
      </c>
      <c r="F20" s="134">
        <f t="shared" si="5"/>
        <v>-0.11770294396014969</v>
      </c>
      <c r="G20" s="134">
        <f>G19/G10</f>
        <v>-0.34885483178239096</v>
      </c>
    </row>
    <row r="21" spans="1:7" x14ac:dyDescent="0.25">
      <c r="A21" s="130" t="s">
        <v>130</v>
      </c>
      <c r="B21" s="135" t="s">
        <v>131</v>
      </c>
      <c r="C21" s="13">
        <f>C10*C16</f>
        <v>339.96802502146795</v>
      </c>
      <c r="D21" s="13">
        <f>D10*D16</f>
        <v>329.03418306602072</v>
      </c>
      <c r="E21" s="13">
        <f t="shared" ref="E21:F21" si="6">E10*E16</f>
        <v>339.13663393167838</v>
      </c>
      <c r="F21" s="13">
        <f t="shared" si="6"/>
        <v>229.17451510896495</v>
      </c>
      <c r="G21" s="13">
        <f>G10*G16</f>
        <v>276.43605264355585</v>
      </c>
    </row>
    <row r="22" spans="1:7" x14ac:dyDescent="0.25">
      <c r="A22" s="44" t="s">
        <v>5</v>
      </c>
      <c r="B22" s="136" t="s">
        <v>132</v>
      </c>
      <c r="C22" s="11">
        <f>C11*C16</f>
        <v>285.26148969889067</v>
      </c>
      <c r="D22" s="11">
        <f>D11*D16</f>
        <v>254.90803885100226</v>
      </c>
      <c r="E22" s="11">
        <f t="shared" ref="E22:F22" si="7">E11*E16</f>
        <v>271.92982456140351</v>
      </c>
      <c r="F22" s="11">
        <f t="shared" si="7"/>
        <v>310.79831501078809</v>
      </c>
      <c r="G22" s="11">
        <f>G11*G16</f>
        <v>232.9028160067754</v>
      </c>
    </row>
  </sheetData>
  <pageMargins left="0.25" right="0.25" top="0.75" bottom="0.75" header="0.3" footer="0.3"/>
  <pageSetup paperSize="9" scale="7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8A297-2768-433D-B91B-507DB37A1FBD}">
  <dimension ref="A1:F35"/>
  <sheetViews>
    <sheetView zoomScaleNormal="100" workbookViewId="0">
      <selection activeCell="B5" sqref="B5"/>
    </sheetView>
  </sheetViews>
  <sheetFormatPr baseColWidth="10" defaultRowHeight="15" x14ac:dyDescent="0.25"/>
  <cols>
    <col min="1" max="1" width="41.28515625" customWidth="1"/>
  </cols>
  <sheetData>
    <row r="1" spans="1:2" ht="18.75" x14ac:dyDescent="0.3">
      <c r="A1" s="39" t="s">
        <v>96</v>
      </c>
    </row>
    <row r="2" spans="1:2" x14ac:dyDescent="0.25">
      <c r="A2" s="32" t="s">
        <v>136</v>
      </c>
      <c r="B2" s="21"/>
    </row>
    <row r="3" spans="1:2" x14ac:dyDescent="0.25">
      <c r="A3" s="40" t="s">
        <v>13</v>
      </c>
      <c r="B3" s="82">
        <v>10.71</v>
      </c>
    </row>
    <row r="4" spans="1:2" x14ac:dyDescent="0.25">
      <c r="A4" s="40" t="s">
        <v>36</v>
      </c>
      <c r="B4" s="30">
        <v>0.53200000000000003</v>
      </c>
    </row>
    <row r="5" spans="1:2" x14ac:dyDescent="0.25">
      <c r="A5" s="41" t="s">
        <v>133</v>
      </c>
      <c r="B5" s="42">
        <v>0.27600000000000002</v>
      </c>
    </row>
    <row r="6" spans="1:2" x14ac:dyDescent="0.25">
      <c r="A6" s="40" t="s">
        <v>23</v>
      </c>
      <c r="B6" s="34">
        <v>90</v>
      </c>
    </row>
    <row r="7" spans="1:2" x14ac:dyDescent="0.25">
      <c r="A7" s="40" t="s">
        <v>134</v>
      </c>
      <c r="B7" s="83">
        <f>'Datos materia prima'!C16</f>
        <v>40.852168093780008</v>
      </c>
    </row>
    <row r="8" spans="1:2" x14ac:dyDescent="0.25">
      <c r="A8" s="41" t="s">
        <v>135</v>
      </c>
      <c r="B8" s="48">
        <f>'Datos materia prima'!C17</f>
        <v>35.163891523760007</v>
      </c>
    </row>
    <row r="9" spans="1:2" x14ac:dyDescent="0.25">
      <c r="A9" s="40" t="s">
        <v>14</v>
      </c>
      <c r="B9" s="19">
        <f>B7*B6/1000</f>
        <v>3.6766951284402007</v>
      </c>
    </row>
    <row r="10" spans="1:2" x14ac:dyDescent="0.25">
      <c r="A10" s="40" t="s">
        <v>15</v>
      </c>
      <c r="B10" s="19">
        <f>B8*B6/1000</f>
        <v>3.1647502371384006</v>
      </c>
    </row>
    <row r="11" spans="1:2" ht="15.75" x14ac:dyDescent="0.25">
      <c r="A11" s="45" t="s">
        <v>137</v>
      </c>
      <c r="B11" s="21"/>
    </row>
    <row r="12" spans="1:2" x14ac:dyDescent="0.25">
      <c r="A12" s="40" t="s">
        <v>25</v>
      </c>
      <c r="B12" s="83">
        <v>0</v>
      </c>
    </row>
    <row r="13" spans="1:2" x14ac:dyDescent="0.25">
      <c r="A13" s="46" t="s">
        <v>100</v>
      </c>
      <c r="B13" s="100">
        <v>0.4</v>
      </c>
    </row>
    <row r="14" spans="1:2" x14ac:dyDescent="0.25">
      <c r="A14" s="46" t="s">
        <v>98</v>
      </c>
      <c r="B14" s="71">
        <f>B13/100*B16*1000*100</f>
        <v>394</v>
      </c>
    </row>
    <row r="15" spans="1:2" x14ac:dyDescent="0.25">
      <c r="A15" s="46" t="s">
        <v>99</v>
      </c>
      <c r="B15" s="43">
        <v>5.91</v>
      </c>
    </row>
    <row r="16" spans="1:2" x14ac:dyDescent="0.25">
      <c r="A16" s="47" t="s">
        <v>151</v>
      </c>
      <c r="B16" s="77">
        <v>0.98499999999999999</v>
      </c>
    </row>
    <row r="18" spans="3:6" x14ac:dyDescent="0.25">
      <c r="C18" s="37"/>
    </row>
    <row r="19" spans="3:6" x14ac:dyDescent="0.25">
      <c r="C19" s="37"/>
    </row>
    <row r="24" spans="3:6" x14ac:dyDescent="0.25">
      <c r="E24" s="28"/>
      <c r="F24" s="59"/>
    </row>
    <row r="25" spans="3:6" x14ac:dyDescent="0.25">
      <c r="E25" s="28"/>
      <c r="F25" s="59"/>
    </row>
    <row r="26" spans="3:6" x14ac:dyDescent="0.25">
      <c r="F26" s="59"/>
    </row>
    <row r="28" spans="3:6" x14ac:dyDescent="0.25">
      <c r="E28" s="28"/>
      <c r="F28" s="59"/>
    </row>
    <row r="29" spans="3:6" x14ac:dyDescent="0.25">
      <c r="E29" s="28"/>
      <c r="F29" s="59"/>
    </row>
    <row r="30" spans="3:6" x14ac:dyDescent="0.25">
      <c r="E30" s="28"/>
      <c r="F30" s="59"/>
    </row>
    <row r="31" spans="3:6" x14ac:dyDescent="0.25">
      <c r="F31" s="59"/>
    </row>
    <row r="32" spans="3:6" x14ac:dyDescent="0.25">
      <c r="F32" s="59"/>
    </row>
    <row r="33" spans="6:6" x14ac:dyDescent="0.25">
      <c r="F33" s="59"/>
    </row>
    <row r="34" spans="6:6" x14ac:dyDescent="0.25">
      <c r="F34" s="59"/>
    </row>
    <row r="35" spans="6:6" x14ac:dyDescent="0.25">
      <c r="F35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E5982-6BEA-445F-8A60-F31DEB6ACFD0}">
  <sheetPr>
    <pageSetUpPr fitToPage="1"/>
  </sheetPr>
  <dimension ref="A1:H61"/>
  <sheetViews>
    <sheetView zoomScale="90" zoomScaleNormal="90" workbookViewId="0">
      <selection activeCell="F41" sqref="F41"/>
    </sheetView>
  </sheetViews>
  <sheetFormatPr baseColWidth="10" defaultRowHeight="15" x14ac:dyDescent="0.25"/>
  <cols>
    <col min="1" max="1" width="49.140625" bestFit="1" customWidth="1"/>
    <col min="2" max="3" width="12.42578125" customWidth="1"/>
    <col min="4" max="4" width="11.140625" customWidth="1"/>
    <col min="5" max="6" width="10.42578125" customWidth="1"/>
  </cols>
  <sheetData>
    <row r="1" spans="1:8" ht="21" x14ac:dyDescent="0.25">
      <c r="A1" s="23" t="s">
        <v>144</v>
      </c>
      <c r="B1" s="22" t="s">
        <v>74</v>
      </c>
      <c r="C1" s="22" t="s">
        <v>4</v>
      </c>
    </row>
    <row r="2" spans="1:8" x14ac:dyDescent="0.25">
      <c r="A2" s="9" t="s">
        <v>13</v>
      </c>
      <c r="B2" s="106"/>
      <c r="C2" s="84">
        <f>'Datos fabricación'!B3</f>
        <v>10.71</v>
      </c>
    </row>
    <row r="3" spans="1:8" x14ac:dyDescent="0.25">
      <c r="A3" s="9" t="s">
        <v>12</v>
      </c>
      <c r="B3" s="15">
        <f>'Estándar técnico'!C4</f>
        <v>0.55000000000000004</v>
      </c>
      <c r="C3" s="50">
        <f>'Datos fabricación'!B4</f>
        <v>0.53200000000000003</v>
      </c>
    </row>
    <row r="4" spans="1:8" x14ac:dyDescent="0.25">
      <c r="A4" s="27" t="s">
        <v>3</v>
      </c>
      <c r="B4" s="15">
        <f>'Estándar técnico'!C5</f>
        <v>0.28000000000000003</v>
      </c>
      <c r="C4" s="51">
        <f>'Datos fabricación'!B5</f>
        <v>0.27600000000000002</v>
      </c>
      <c r="E4" s="4"/>
    </row>
    <row r="5" spans="1:8" x14ac:dyDescent="0.25">
      <c r="A5" s="27" t="s">
        <v>2</v>
      </c>
      <c r="B5" s="15">
        <f>B3-B4</f>
        <v>0.27</v>
      </c>
      <c r="C5" s="15">
        <f>C3-C4</f>
        <v>0.25600000000000001</v>
      </c>
      <c r="E5" s="4"/>
    </row>
    <row r="6" spans="1:8" x14ac:dyDescent="0.25">
      <c r="A6" s="17" t="s">
        <v>11</v>
      </c>
      <c r="B6" s="20">
        <f>(1-B3)/(1-B4)</f>
        <v>0.625</v>
      </c>
      <c r="C6" s="20">
        <f>(1-C3)/(1-C4)</f>
        <v>0.64640883977900554</v>
      </c>
    </row>
    <row r="7" spans="1:8" x14ac:dyDescent="0.25">
      <c r="A7" s="7" t="s">
        <v>10</v>
      </c>
      <c r="B7" s="24">
        <f>B4/B3</f>
        <v>0.50909090909090915</v>
      </c>
      <c r="C7" s="24">
        <f>C4/C3</f>
        <v>0.51879699248120303</v>
      </c>
    </row>
    <row r="8" spans="1:8" x14ac:dyDescent="0.25">
      <c r="A8" s="19" t="s">
        <v>21</v>
      </c>
      <c r="B8" s="16">
        <f>B4*1000</f>
        <v>280</v>
      </c>
      <c r="C8" s="16">
        <f>C4*1000</f>
        <v>276</v>
      </c>
      <c r="E8" s="4"/>
    </row>
    <row r="9" spans="1:8" x14ac:dyDescent="0.25">
      <c r="A9" s="18" t="s">
        <v>22</v>
      </c>
      <c r="B9" s="16">
        <f>B5*1000</f>
        <v>270</v>
      </c>
      <c r="C9" s="16">
        <f>C5*1000</f>
        <v>256</v>
      </c>
      <c r="F9" s="4"/>
    </row>
    <row r="10" spans="1:8" x14ac:dyDescent="0.25">
      <c r="A10" s="7" t="s">
        <v>26</v>
      </c>
      <c r="B10" s="16">
        <f>B8/B9</f>
        <v>1.037037037037037</v>
      </c>
      <c r="C10" s="16">
        <f>C8/C9</f>
        <v>1.078125</v>
      </c>
      <c r="E10" s="52"/>
      <c r="F10" s="4"/>
    </row>
    <row r="11" spans="1:8" x14ac:dyDescent="0.25">
      <c r="A11" s="9" t="s">
        <v>23</v>
      </c>
      <c r="B11" s="5">
        <f>B15/B19*1000</f>
        <v>89.725420107933019</v>
      </c>
      <c r="C11" s="49">
        <f>'Datos fabricación'!B6</f>
        <v>90</v>
      </c>
      <c r="E11" s="37"/>
      <c r="F11" s="26"/>
    </row>
    <row r="12" spans="1:8" x14ac:dyDescent="0.25">
      <c r="A12" s="17" t="s">
        <v>29</v>
      </c>
      <c r="B12" s="35">
        <f>'Estándar técnico'!C10</f>
        <v>40.58</v>
      </c>
      <c r="C12" s="35">
        <f>C14/C11*1000</f>
        <v>40.852168093780008</v>
      </c>
    </row>
    <row r="13" spans="1:8" x14ac:dyDescent="0.25">
      <c r="A13" s="17" t="s">
        <v>30</v>
      </c>
      <c r="B13" s="35">
        <f>'Estándar técnico'!C11</f>
        <v>34.049999999999997</v>
      </c>
      <c r="C13" s="35">
        <f>C15/C11*1000</f>
        <v>35.163891523760007</v>
      </c>
      <c r="H13" s="4"/>
    </row>
    <row r="14" spans="1:8" x14ac:dyDescent="0.25">
      <c r="A14" s="17" t="s">
        <v>14</v>
      </c>
      <c r="B14" s="35">
        <f>B$4/B$22*C$2</f>
        <v>3.6410575479799228</v>
      </c>
      <c r="C14" s="85">
        <f>'Datos fabricación'!B9</f>
        <v>3.6766951284402007</v>
      </c>
      <c r="D14" s="4"/>
    </row>
    <row r="15" spans="1:8" x14ac:dyDescent="0.25">
      <c r="A15" s="17" t="s">
        <v>15</v>
      </c>
      <c r="B15" s="35">
        <f>C$2*B$5/B$23</f>
        <v>3.0551505546751194</v>
      </c>
      <c r="C15" s="85">
        <f>'Datos fabricación'!B10</f>
        <v>3.1647502371384006</v>
      </c>
      <c r="D15" s="4"/>
      <c r="H15" s="4"/>
    </row>
    <row r="16" spans="1:8" x14ac:dyDescent="0.25">
      <c r="A16" s="17" t="s">
        <v>25</v>
      </c>
      <c r="B16" s="35">
        <f>B11*B26/1000</f>
        <v>0</v>
      </c>
      <c r="C16" s="85">
        <f>'Datos fabricación'!B12</f>
        <v>0</v>
      </c>
      <c r="D16" s="33"/>
      <c r="H16" s="28"/>
    </row>
    <row r="17" spans="1:8" x14ac:dyDescent="0.25">
      <c r="A17" s="7" t="s">
        <v>27</v>
      </c>
      <c r="B17" s="25">
        <f>B14/B15</f>
        <v>1.1917767988252572</v>
      </c>
      <c r="C17" s="25">
        <f>C14/C15</f>
        <v>1.161764705882353</v>
      </c>
    </row>
    <row r="18" spans="1:8" x14ac:dyDescent="0.25">
      <c r="A18" s="19" t="s">
        <v>7</v>
      </c>
      <c r="B18" s="16">
        <f>B12</f>
        <v>40.58</v>
      </c>
      <c r="C18" s="16">
        <f>C31*C2/C11</f>
        <v>40.852168093780016</v>
      </c>
      <c r="D18" s="36"/>
    </row>
    <row r="19" spans="1:8" x14ac:dyDescent="0.25">
      <c r="A19" s="18" t="s">
        <v>16</v>
      </c>
      <c r="B19" s="16">
        <f>B13</f>
        <v>34.049999999999997</v>
      </c>
      <c r="C19" s="16">
        <f>C32*C2/C11</f>
        <v>35.163891523760007</v>
      </c>
      <c r="F19" s="26"/>
    </row>
    <row r="20" spans="1:8" x14ac:dyDescent="0.25">
      <c r="A20" s="18" t="s">
        <v>6</v>
      </c>
      <c r="B20" s="16">
        <f>B8/B21</f>
        <v>33.42196666666667</v>
      </c>
      <c r="C20" s="16">
        <f>C8/C21</f>
        <v>32.844000000000001</v>
      </c>
      <c r="F20" s="4"/>
    </row>
    <row r="21" spans="1:8" x14ac:dyDescent="0.25">
      <c r="A21" s="17" t="s">
        <v>8</v>
      </c>
      <c r="B21" s="16">
        <f>(B5*1000/B19)/B23</f>
        <v>8.3777236328602243</v>
      </c>
      <c r="C21" s="16">
        <f>(C5*1000/C19)/C23</f>
        <v>8.4033613445378155</v>
      </c>
      <c r="F21" s="4"/>
    </row>
    <row r="22" spans="1:8" x14ac:dyDescent="0.25">
      <c r="A22" s="9" t="s">
        <v>9</v>
      </c>
      <c r="B22" s="193">
        <f>'Estándar técnico'!C18</f>
        <v>0.82360686709380637</v>
      </c>
      <c r="C22" s="193">
        <f>(C4*C2)/C14</f>
        <v>0.80397201746070135</v>
      </c>
      <c r="F22" s="4"/>
    </row>
    <row r="23" spans="1:8" x14ac:dyDescent="0.25">
      <c r="A23" s="7" t="s">
        <v>1</v>
      </c>
      <c r="B23" s="29">
        <f>'Estándar técnico'!C13</f>
        <v>0.94650000000000001</v>
      </c>
      <c r="C23" s="29">
        <f>C5*C2/C15</f>
        <v>0.86634324814179564</v>
      </c>
    </row>
    <row r="24" spans="1:8" x14ac:dyDescent="0.25">
      <c r="A24" s="9" t="s">
        <v>17</v>
      </c>
      <c r="B24" s="8">
        <f>B18-B20</f>
        <v>7.1580333333333286</v>
      </c>
      <c r="C24" s="8">
        <f>C18-C20</f>
        <v>8.0081680937800144</v>
      </c>
      <c r="F24" s="4"/>
    </row>
    <row r="25" spans="1:8" x14ac:dyDescent="0.25">
      <c r="A25" s="17" t="s">
        <v>18</v>
      </c>
      <c r="B25" s="15">
        <f>B24/B18</f>
        <v>0.17639313290619341</v>
      </c>
      <c r="C25" s="15">
        <f>C24/C18</f>
        <v>0.19602798253929896</v>
      </c>
    </row>
    <row r="26" spans="1:8" x14ac:dyDescent="0.25">
      <c r="A26" s="17" t="s">
        <v>24</v>
      </c>
      <c r="B26" s="16">
        <v>0</v>
      </c>
      <c r="C26" s="16">
        <f>C16*1000/C11</f>
        <v>0</v>
      </c>
      <c r="F26" s="4"/>
    </row>
    <row r="27" spans="1:8" x14ac:dyDescent="0.25">
      <c r="A27" s="17" t="s">
        <v>19</v>
      </c>
      <c r="B27" s="16">
        <f>B24-B26</f>
        <v>7.1580333333333286</v>
      </c>
      <c r="C27" s="16">
        <f>C24-C26</f>
        <v>8.0081680937800144</v>
      </c>
      <c r="F27" s="4"/>
    </row>
    <row r="28" spans="1:8" x14ac:dyDescent="0.25">
      <c r="A28" s="7" t="s">
        <v>20</v>
      </c>
      <c r="B28" s="29">
        <f>B27/B18</f>
        <v>0.17639313290619341</v>
      </c>
      <c r="C28" s="29">
        <f>C27/C18</f>
        <v>0.19602798253929896</v>
      </c>
    </row>
    <row r="29" spans="1:8" x14ac:dyDescent="0.25">
      <c r="A29" s="137"/>
      <c r="B29" s="138"/>
      <c r="C29" s="138"/>
    </row>
    <row r="30" spans="1:8" ht="30" x14ac:dyDescent="0.25">
      <c r="A30" s="186" t="s">
        <v>153</v>
      </c>
      <c r="B30" s="187" t="s">
        <v>41</v>
      </c>
      <c r="C30" s="187" t="s">
        <v>4</v>
      </c>
      <c r="D30" s="188" t="s">
        <v>188</v>
      </c>
      <c r="E30" s="185" t="s">
        <v>187</v>
      </c>
      <c r="F30" s="185" t="s">
        <v>189</v>
      </c>
      <c r="G30" s="4"/>
      <c r="H30" s="4"/>
    </row>
    <row r="31" spans="1:8" x14ac:dyDescent="0.25">
      <c r="A31" s="130" t="s">
        <v>186</v>
      </c>
      <c r="B31" s="13">
        <f>B14/C2*1000</f>
        <v>339.96802502146801</v>
      </c>
      <c r="C31" s="12">
        <f>C14/C2*1000</f>
        <v>343.295530199832</v>
      </c>
      <c r="D31" s="140">
        <f>(B31-C31)*C2/1000</f>
        <v>-3.5637580460278366E-2</v>
      </c>
      <c r="E31" s="140">
        <f>D31*B34</f>
        <v>-0.19767164482709984</v>
      </c>
      <c r="F31" s="140">
        <f>E31/C2</f>
        <v>-1.8456736211680657E-2</v>
      </c>
      <c r="G31" s="4"/>
      <c r="H31" s="4"/>
    </row>
    <row r="32" spans="1:8" x14ac:dyDescent="0.25">
      <c r="A32" s="44" t="s">
        <v>140</v>
      </c>
      <c r="B32" s="11">
        <f>B15/C2*1000</f>
        <v>285.26148969889073</v>
      </c>
      <c r="C32" s="10">
        <f>C15/C2*1000</f>
        <v>295.49488675428574</v>
      </c>
      <c r="D32" s="25">
        <f>(B32-C32)*C2/1000</f>
        <v>-0.10959968246328064</v>
      </c>
      <c r="E32" s="25">
        <f>D32*B35</f>
        <v>-1.0836810568513229</v>
      </c>
      <c r="F32" s="25">
        <f>E32/C2</f>
        <v>-0.10118403892169214</v>
      </c>
      <c r="G32" s="4"/>
      <c r="H32" s="4"/>
    </row>
    <row r="33" spans="1:8" x14ac:dyDescent="0.25">
      <c r="A33" s="99" t="s">
        <v>154</v>
      </c>
      <c r="B33" s="62"/>
      <c r="C33" s="28"/>
      <c r="D33" s="52"/>
      <c r="E33" s="19">
        <f>SUM(E31:E32)</f>
        <v>-1.2813527016784227</v>
      </c>
      <c r="F33" s="149">
        <f>SUM(F31:F32)</f>
        <v>-0.1196407751333728</v>
      </c>
      <c r="G33" s="4"/>
      <c r="H33" s="4"/>
    </row>
    <row r="34" spans="1:8" x14ac:dyDescent="0.25">
      <c r="A34" s="130" t="s">
        <v>141</v>
      </c>
      <c r="B34" s="139">
        <f>'Datos materia prima'!B27</f>
        <v>5.5467190048837516</v>
      </c>
      <c r="C34" s="8">
        <f>'Datos materia prima'!C27</f>
        <v>5.6055776397059009</v>
      </c>
      <c r="D34" s="21"/>
      <c r="E34" s="160">
        <f>(B34-C34)*C2</f>
        <v>-0.63037597894521979</v>
      </c>
      <c r="F34" s="140">
        <f>E34/C2</f>
        <v>-5.8858634822149369E-2</v>
      </c>
      <c r="G34" s="4"/>
      <c r="H34" s="4"/>
    </row>
    <row r="35" spans="1:8" x14ac:dyDescent="0.25">
      <c r="A35" s="44" t="s">
        <v>142</v>
      </c>
      <c r="B35" s="6">
        <f>'Datos materia prima'!B28</f>
        <v>9.8876295304449471</v>
      </c>
      <c r="C35" s="77">
        <f>'Datos materia prima'!C28</f>
        <v>9.7685433868404292</v>
      </c>
      <c r="D35" s="142"/>
      <c r="E35" s="161">
        <f>(B35-C35)*C2</f>
        <v>1.2754125980043864</v>
      </c>
      <c r="F35" s="25">
        <f>E35/C2</f>
        <v>0.11908614360451787</v>
      </c>
      <c r="G35" s="4"/>
      <c r="H35" s="4"/>
    </row>
    <row r="36" spans="1:8" x14ac:dyDescent="0.25">
      <c r="A36" s="163" t="s">
        <v>155</v>
      </c>
      <c r="B36" s="14"/>
      <c r="C36" s="14"/>
      <c r="D36" s="162"/>
      <c r="E36" s="149">
        <f>SUM(E34:E35)</f>
        <v>0.64503661905916665</v>
      </c>
      <c r="F36" s="149">
        <f>E36/C2</f>
        <v>6.0227508782368495E-2</v>
      </c>
      <c r="G36" s="4"/>
      <c r="H36" s="4"/>
    </row>
    <row r="37" spans="1:8" x14ac:dyDescent="0.25">
      <c r="A37" s="137"/>
      <c r="B37" s="137"/>
      <c r="C37" s="137"/>
      <c r="D37" s="4"/>
      <c r="E37" s="141"/>
      <c r="G37" s="4"/>
      <c r="H37" s="4"/>
    </row>
    <row r="38" spans="1:8" ht="30" x14ac:dyDescent="0.25">
      <c r="A38" s="190" t="s">
        <v>143</v>
      </c>
      <c r="B38" s="191" t="s">
        <v>41</v>
      </c>
      <c r="C38" s="191" t="s">
        <v>4</v>
      </c>
      <c r="D38" s="191" t="s">
        <v>42</v>
      </c>
      <c r="E38" s="192" t="s">
        <v>187</v>
      </c>
      <c r="F38" s="185" t="s">
        <v>189</v>
      </c>
      <c r="G38" s="4"/>
      <c r="H38" s="4"/>
    </row>
    <row r="39" spans="1:8" x14ac:dyDescent="0.25">
      <c r="A39" s="18" t="s">
        <v>46</v>
      </c>
      <c r="B39" s="19">
        <f>B14</f>
        <v>3.6410575479799228</v>
      </c>
      <c r="C39" s="19">
        <f>C14</f>
        <v>3.6766951284402007</v>
      </c>
      <c r="D39" s="19">
        <f>B39-C39</f>
        <v>-3.5637580460277984E-2</v>
      </c>
      <c r="E39" s="19">
        <f>D39*B34</f>
        <v>-0.19767164482709773</v>
      </c>
      <c r="F39" s="140">
        <f>E39/C2</f>
        <v>-1.8456736211680459E-2</v>
      </c>
      <c r="G39" s="4"/>
      <c r="H39" s="4"/>
    </row>
    <row r="40" spans="1:8" x14ac:dyDescent="0.25">
      <c r="A40" s="142" t="s">
        <v>45</v>
      </c>
      <c r="B40" s="25">
        <f>B15</f>
        <v>3.0551505546751194</v>
      </c>
      <c r="C40" s="25">
        <f>C15</f>
        <v>3.1647502371384006</v>
      </c>
      <c r="D40" s="25">
        <f>B40-C40</f>
        <v>-0.10959968246328122</v>
      </c>
      <c r="E40" s="25">
        <f>D40*B35</f>
        <v>-1.0836810568513287</v>
      </c>
      <c r="F40" s="25">
        <f>E40/C2</f>
        <v>-0.10118403892169267</v>
      </c>
      <c r="G40" s="4"/>
      <c r="H40" s="4"/>
    </row>
    <row r="41" spans="1:8" x14ac:dyDescent="0.25">
      <c r="B41" s="52"/>
      <c r="C41" s="52"/>
      <c r="D41" s="52"/>
      <c r="E41" s="149">
        <f>SUM(E39:E40)</f>
        <v>-1.2813527016784263</v>
      </c>
      <c r="F41" s="149">
        <f>SUM(F39:F40)</f>
        <v>-0.11964077513337312</v>
      </c>
      <c r="G41" s="4"/>
      <c r="H41" s="4"/>
    </row>
    <row r="43" spans="1:8" ht="30" x14ac:dyDescent="0.25">
      <c r="A43" s="189" t="s">
        <v>148</v>
      </c>
      <c r="B43" s="55" t="s">
        <v>41</v>
      </c>
      <c r="C43" s="55" t="s">
        <v>4</v>
      </c>
      <c r="D43" s="55" t="s">
        <v>147</v>
      </c>
      <c r="E43" s="185" t="s">
        <v>187</v>
      </c>
      <c r="F43" s="192" t="s">
        <v>189</v>
      </c>
    </row>
    <row r="44" spans="1:8" x14ac:dyDescent="0.25">
      <c r="A44" s="151" t="s">
        <v>31</v>
      </c>
      <c r="B44" s="140"/>
      <c r="C44" s="140"/>
      <c r="D44" s="152"/>
      <c r="E44" s="140"/>
      <c r="F44" s="21"/>
    </row>
    <row r="45" spans="1:8" x14ac:dyDescent="0.25">
      <c r="A45" s="38" t="s">
        <v>39</v>
      </c>
      <c r="B45" s="19">
        <f>B$4/B$22*C$2</f>
        <v>3.6410575479799228</v>
      </c>
      <c r="C45" s="19">
        <f>(C$4/B$22)*C$2</f>
        <v>3.5890424401516379</v>
      </c>
      <c r="D45" s="19">
        <f>B45-C45</f>
        <v>5.201510782828489E-2</v>
      </c>
      <c r="E45" s="19">
        <f>D45*B$34</f>
        <v>0.2885131871322254</v>
      </c>
      <c r="F45" s="19">
        <f>E45/$C$2</f>
        <v>2.6938672934848307E-2</v>
      </c>
    </row>
    <row r="46" spans="1:8" x14ac:dyDescent="0.25">
      <c r="A46" s="54" t="s">
        <v>32</v>
      </c>
      <c r="B46" s="19">
        <f>B$4/B$22*C$2</f>
        <v>3.6410575479799228</v>
      </c>
      <c r="C46" s="145">
        <f>(B$4/C$22)*C$2</f>
        <v>3.7299805650842615</v>
      </c>
      <c r="D46" s="19">
        <f>B46-C46</f>
        <v>-8.8923017104338697E-2</v>
      </c>
      <c r="E46" s="19">
        <f>D46*B$34</f>
        <v>-0.49323098894423834</v>
      </c>
      <c r="F46" s="19">
        <f t="shared" ref="F46:F57" si="0">E46/$C$2</f>
        <v>-4.6053313626913006E-2</v>
      </c>
    </row>
    <row r="47" spans="1:8" x14ac:dyDescent="0.25">
      <c r="A47" s="143" t="s">
        <v>44</v>
      </c>
      <c r="B47" s="19"/>
      <c r="C47" s="19"/>
      <c r="D47" s="19">
        <f>(B22-C22)*(B4-C4)*C2</f>
        <v>8.4115695828221998E-4</v>
      </c>
      <c r="E47" s="19">
        <f>D47*B$34</f>
        <v>4.6656612865941987E-3</v>
      </c>
      <c r="F47" s="19">
        <f t="shared" si="0"/>
        <v>4.3563597447191394E-4</v>
      </c>
    </row>
    <row r="48" spans="1:8" x14ac:dyDescent="0.25">
      <c r="A48" s="144" t="s">
        <v>145</v>
      </c>
      <c r="B48" s="146"/>
      <c r="C48" s="146"/>
      <c r="D48" s="146">
        <f>SUM(D45:D47)</f>
        <v>-3.6066752317771587E-2</v>
      </c>
      <c r="E48" s="146">
        <f>SUM(E45:E47)</f>
        <v>-0.20005214052541873</v>
      </c>
      <c r="F48" s="25">
        <f t="shared" si="0"/>
        <v>-1.8679004717592783E-2</v>
      </c>
    </row>
    <row r="49" spans="1:6" x14ac:dyDescent="0.25">
      <c r="A49" s="151" t="s">
        <v>2</v>
      </c>
      <c r="B49" s="140"/>
      <c r="C49" s="140"/>
      <c r="D49" s="152"/>
      <c r="E49" s="140"/>
      <c r="F49" s="19"/>
    </row>
    <row r="50" spans="1:6" x14ac:dyDescent="0.25">
      <c r="A50" s="38" t="s">
        <v>40</v>
      </c>
      <c r="B50" s="19">
        <f>C$2*B$5/B$23</f>
        <v>3.0551505546751194</v>
      </c>
      <c r="C50" s="19">
        <f>C2*C5/B23</f>
        <v>2.896735340729002</v>
      </c>
      <c r="D50" s="147">
        <f>B50-C50</f>
        <v>0.15841521394611746</v>
      </c>
      <c r="E50" s="19">
        <f>D50*B$35</f>
        <v>1.5663509474853852</v>
      </c>
      <c r="F50" s="19">
        <f t="shared" si="0"/>
        <v>0.14625125560087629</v>
      </c>
    </row>
    <row r="51" spans="1:6" x14ac:dyDescent="0.25">
      <c r="A51" s="38" t="s">
        <v>33</v>
      </c>
      <c r="B51" s="19">
        <f>C$2*B$5/B$23</f>
        <v>3.0551505546751194</v>
      </c>
      <c r="C51" s="19">
        <f>C2*B5/C23</f>
        <v>3.3378225157319075</v>
      </c>
      <c r="D51" s="147">
        <f>B51-C51</f>
        <v>-0.28267196105678805</v>
      </c>
      <c r="E51" s="19">
        <f>D51*B$35</f>
        <v>-2.7949556295738818</v>
      </c>
      <c r="F51" s="19">
        <f t="shared" si="0"/>
        <v>-0.26096691219177232</v>
      </c>
    </row>
    <row r="52" spans="1:6" x14ac:dyDescent="0.25">
      <c r="A52" s="143" t="s">
        <v>44</v>
      </c>
      <c r="B52" s="19"/>
      <c r="C52" s="52"/>
      <c r="D52" s="19">
        <f>(B23-C23)*(B5-C5)*C2</f>
        <v>1.2018703373619174E-2</v>
      </c>
      <c r="E52" s="19">
        <f>D52*B$35</f>
        <v>0.11883648639465526</v>
      </c>
      <c r="F52" s="19">
        <f t="shared" si="0"/>
        <v>1.1095843734328221E-2</v>
      </c>
    </row>
    <row r="53" spans="1:6" x14ac:dyDescent="0.25">
      <c r="A53" s="150" t="s">
        <v>146</v>
      </c>
      <c r="B53" s="25"/>
      <c r="C53" s="148"/>
      <c r="D53" s="25">
        <f>SUM(D50:D52)</f>
        <v>-0.11223804373705142</v>
      </c>
      <c r="E53" s="25">
        <f>SUM(E50:E52)</f>
        <v>-1.1097681956938414</v>
      </c>
      <c r="F53" s="19">
        <f t="shared" si="0"/>
        <v>-0.10361981285656782</v>
      </c>
    </row>
    <row r="54" spans="1:6" x14ac:dyDescent="0.25">
      <c r="A54" s="157" t="s">
        <v>0</v>
      </c>
      <c r="B54" s="80"/>
      <c r="C54" s="158"/>
      <c r="D54" s="159"/>
      <c r="E54" s="80">
        <f>E53+E48</f>
        <v>-1.3098203362192602</v>
      </c>
      <c r="F54" s="80">
        <f>F53+F48</f>
        <v>-0.12229881757416061</v>
      </c>
    </row>
    <row r="55" spans="1:6" x14ac:dyDescent="0.25">
      <c r="A55" s="53" t="s">
        <v>43</v>
      </c>
      <c r="B55" s="153"/>
      <c r="C55" s="153"/>
      <c r="D55" s="153"/>
      <c r="E55" s="140">
        <f>SUM(E45,E50)</f>
        <v>1.8548641346176105</v>
      </c>
      <c r="F55" s="19">
        <f t="shared" si="0"/>
        <v>0.1731899285357246</v>
      </c>
    </row>
    <row r="56" spans="1:6" x14ac:dyDescent="0.25">
      <c r="A56" s="31" t="s">
        <v>150</v>
      </c>
      <c r="E56" s="19">
        <f>SUM(E46,E51)</f>
        <v>-3.2881866185181199</v>
      </c>
      <c r="F56" s="19">
        <f t="shared" si="0"/>
        <v>-0.30702022581868532</v>
      </c>
    </row>
    <row r="57" spans="1:6" x14ac:dyDescent="0.25">
      <c r="A57" s="31" t="s">
        <v>44</v>
      </c>
      <c r="D57" s="4"/>
      <c r="E57" s="19">
        <f>SUM(E47+E52)</f>
        <v>0.12350214768124945</v>
      </c>
      <c r="F57" s="25">
        <f t="shared" si="0"/>
        <v>1.1531479708800134E-2</v>
      </c>
    </row>
    <row r="58" spans="1:6" x14ac:dyDescent="0.25">
      <c r="A58" s="154" t="s">
        <v>149</v>
      </c>
      <c r="B58" s="155"/>
      <c r="C58" s="155"/>
      <c r="D58" s="155"/>
      <c r="E58" s="156">
        <f>1-ABS(E57/E54)</f>
        <v>0.90571061979558731</v>
      </c>
      <c r="F58" s="156"/>
    </row>
    <row r="61" spans="1:6" x14ac:dyDescent="0.25">
      <c r="C61" s="4"/>
      <c r="D61" s="4"/>
      <c r="E61" s="4"/>
    </row>
  </sheetData>
  <pageMargins left="0.25" right="0.25" top="0.75" bottom="0.75" header="0.3" footer="0.3"/>
  <pageSetup paperSize="9" scale="7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FA4FE-E5BF-4A81-99FF-CA8861D1942D}">
  <dimension ref="A1:P33"/>
  <sheetViews>
    <sheetView workbookViewId="0">
      <selection activeCell="I24" sqref="I24"/>
    </sheetView>
  </sheetViews>
  <sheetFormatPr baseColWidth="10" defaultRowHeight="15" x14ac:dyDescent="0.25"/>
  <cols>
    <col min="1" max="1" width="38.42578125" customWidth="1"/>
    <col min="2" max="2" width="9" customWidth="1"/>
    <col min="3" max="3" width="10.42578125" customWidth="1"/>
    <col min="4" max="4" width="9.85546875" customWidth="1"/>
    <col min="5" max="5" width="10.140625" customWidth="1"/>
    <col min="6" max="6" width="9.85546875" customWidth="1"/>
    <col min="7" max="7" width="10.5703125" customWidth="1"/>
    <col min="8" max="8" width="9.7109375" customWidth="1"/>
    <col min="9" max="10" width="11.85546875" customWidth="1"/>
    <col min="11" max="11" width="10.28515625" customWidth="1"/>
    <col min="13" max="13" width="9.28515625" customWidth="1"/>
    <col min="14" max="14" width="8.85546875" customWidth="1"/>
    <col min="15" max="15" width="8.5703125" customWidth="1"/>
    <col min="16" max="16" width="9.140625" customWidth="1"/>
  </cols>
  <sheetData>
    <row r="1" spans="1:16" ht="23.25" x14ac:dyDescent="0.35">
      <c r="A1" s="87" t="s">
        <v>92</v>
      </c>
    </row>
    <row r="4" spans="1:16" ht="60" x14ac:dyDescent="0.25">
      <c r="A4" s="88" t="s">
        <v>47</v>
      </c>
      <c r="B4" s="67" t="s">
        <v>82</v>
      </c>
      <c r="C4" s="68" t="s">
        <v>65</v>
      </c>
      <c r="D4" s="68" t="s">
        <v>66</v>
      </c>
      <c r="E4" s="67" t="s">
        <v>83</v>
      </c>
      <c r="F4" s="68" t="s">
        <v>77</v>
      </c>
      <c r="G4" s="67" t="s">
        <v>88</v>
      </c>
      <c r="H4" s="68" t="s">
        <v>89</v>
      </c>
      <c r="I4" s="67" t="s">
        <v>90</v>
      </c>
      <c r="J4" s="67" t="s">
        <v>91</v>
      </c>
      <c r="K4" s="67" t="s">
        <v>84</v>
      </c>
      <c r="L4" s="68" t="s">
        <v>78</v>
      </c>
      <c r="M4" s="67" t="s">
        <v>85</v>
      </c>
      <c r="N4" s="68" t="s">
        <v>79</v>
      </c>
      <c r="O4" s="67" t="s">
        <v>86</v>
      </c>
      <c r="P4" s="68" t="s">
        <v>80</v>
      </c>
    </row>
    <row r="5" spans="1:16" x14ac:dyDescent="0.25">
      <c r="A5" s="21" t="s">
        <v>48</v>
      </c>
      <c r="B5" s="3">
        <f>B18*B19-SUM(B6:B9)</f>
        <v>89.914599659044001</v>
      </c>
      <c r="C5" s="63">
        <f>B5/SUM($B$5:$B$9)</f>
        <v>0.86938655478565752</v>
      </c>
      <c r="D5" s="69"/>
      <c r="E5" s="62">
        <f>B$21*(1-B22)</f>
        <v>5.3713874999999982</v>
      </c>
      <c r="F5" s="63">
        <f>E5/SUM($E$5:$E$9)</f>
        <v>0.45</v>
      </c>
      <c r="G5" s="62">
        <f>B5-E5</f>
        <v>84.543212159044003</v>
      </c>
      <c r="H5" s="70">
        <f>G5/SUM($G$5:$G$9)</f>
        <v>0.92410463846298097</v>
      </c>
      <c r="I5" s="62">
        <f>I10-SUM(I6:I9)</f>
        <v>1.1031941814720403</v>
      </c>
      <c r="J5" s="86">
        <f>1-SUM(J6:J9)</f>
        <v>0.59195130850336564</v>
      </c>
      <c r="K5" s="62">
        <f>G5-I5</f>
        <v>83.440017977571969</v>
      </c>
      <c r="L5" s="63">
        <f>K5/SUM($K$5:$K$9)</f>
        <v>0.93101157202522711</v>
      </c>
      <c r="M5" s="62">
        <f>K5*(1-H19)</f>
        <v>0.25032005393271611</v>
      </c>
      <c r="N5" s="63">
        <f>M5/SUM($M$5:$M$9)</f>
        <v>3.8910250799775968E-2</v>
      </c>
      <c r="O5" s="64">
        <f>O10-SUM(O6:O9)</f>
        <v>3.9390174999999976</v>
      </c>
      <c r="P5" s="65">
        <f>O5/$O$10</f>
        <v>0.37499999999999989</v>
      </c>
    </row>
    <row r="6" spans="1:16" x14ac:dyDescent="0.25">
      <c r="A6" s="18" t="s">
        <v>49</v>
      </c>
      <c r="B6" s="66">
        <f>'Datos materia prima'!B16/1000*B$18</f>
        <v>4.2403446035919998</v>
      </c>
      <c r="C6" s="63">
        <f t="shared" ref="C6:C9" si="0">B6/SUM($B$5:$B$9)</f>
        <v>4.0999999999999995E-2</v>
      </c>
      <c r="D6" s="70">
        <f>B6/1000</f>
        <v>4.2403446035920002E-3</v>
      </c>
      <c r="E6" s="62">
        <f>B$21*B23</f>
        <v>3.3421966666666663</v>
      </c>
      <c r="F6" s="63">
        <f>E6/SUM($E$5:$E$9)</f>
        <v>0.28000000000000008</v>
      </c>
      <c r="G6" s="62">
        <f t="shared" ref="G6:G10" si="1">B6-E6</f>
        <v>0.89814793692533357</v>
      </c>
      <c r="H6" s="70">
        <f>G6/SUM($G$5:$G$9)</f>
        <v>9.8172597579718329E-3</v>
      </c>
      <c r="I6" s="62">
        <f>G6*B33</f>
        <v>0.74546278764802687</v>
      </c>
      <c r="J6" s="63">
        <f>B32</f>
        <v>0.4</v>
      </c>
      <c r="K6" s="62">
        <f t="shared" ref="K6:K10" si="2">G6-I6</f>
        <v>0.1526851492773067</v>
      </c>
      <c r="L6" s="63">
        <f>K6/SUM($K$5:$K$9)</f>
        <v>1.703638665223934E-3</v>
      </c>
      <c r="M6" s="62">
        <f>K6</f>
        <v>0.1526851492773067</v>
      </c>
      <c r="N6" s="63">
        <f t="shared" ref="N6:N9" si="3">M6/SUM($M$5:$M$9)</f>
        <v>2.373368556950747E-2</v>
      </c>
      <c r="O6" s="64">
        <f>E6</f>
        <v>3.3421966666666663</v>
      </c>
      <c r="P6" s="65">
        <f t="shared" ref="P6:P9" si="4">O6/$O$10</f>
        <v>0.31818181818181823</v>
      </c>
    </row>
    <row r="7" spans="1:16" x14ac:dyDescent="0.25">
      <c r="A7" s="18" t="s">
        <v>50</v>
      </c>
      <c r="B7" s="66">
        <f>'Datos materia prima'!B17/1000*B$18</f>
        <v>3.5680948493639999</v>
      </c>
      <c r="C7" s="63">
        <f t="shared" si="0"/>
        <v>3.4499999999999996E-2</v>
      </c>
      <c r="D7" s="70">
        <f t="shared" ref="D7:D9" si="5">B7/1000</f>
        <v>3.5680948493640001E-3</v>
      </c>
      <c r="E7" s="62">
        <f>(B21*B26)-SUM(E8:E9)</f>
        <v>2.8862255499999998</v>
      </c>
      <c r="F7" s="63">
        <f>E7/SUM($E$5:$E$9)</f>
        <v>0.24180000000000007</v>
      </c>
      <c r="G7" s="62">
        <f t="shared" si="1"/>
        <v>0.68186929936400009</v>
      </c>
      <c r="H7" s="70">
        <f>G7/SUM($G$5:$G$9)</f>
        <v>7.4532131708266135E-3</v>
      </c>
      <c r="I7" s="97">
        <v>5.0000000000000001E-3</v>
      </c>
      <c r="J7" s="63">
        <f>I7/I10</f>
        <v>2.682897165544778E-3</v>
      </c>
      <c r="K7" s="62">
        <f t="shared" si="2"/>
        <v>0.67686929936400009</v>
      </c>
      <c r="L7" s="63">
        <f>K7/SUM($K$5:$K$9)</f>
        <v>7.5524090925516993E-3</v>
      </c>
      <c r="M7" s="62">
        <f>K7</f>
        <v>0.67686929936400009</v>
      </c>
      <c r="N7" s="63">
        <f t="shared" si="3"/>
        <v>0.10521392027184959</v>
      </c>
      <c r="O7" s="64">
        <f t="shared" ref="O7:O9" si="6">E7</f>
        <v>2.8862255499999998</v>
      </c>
      <c r="P7" s="65">
        <f t="shared" si="4"/>
        <v>0.27477272727272734</v>
      </c>
    </row>
    <row r="8" spans="1:16" x14ac:dyDescent="0.25">
      <c r="A8" s="2" t="s">
        <v>51</v>
      </c>
      <c r="B8" s="66">
        <f>'Datos materia prima'!B18/1000*B$18</f>
        <v>4.8</v>
      </c>
      <c r="C8" s="63">
        <f t="shared" si="0"/>
        <v>4.6411322285761988E-2</v>
      </c>
      <c r="D8" s="70">
        <f t="shared" si="5"/>
        <v>4.7999999999999996E-3</v>
      </c>
      <c r="E8" s="62">
        <f>B29*B21</f>
        <v>0.15278613333333332</v>
      </c>
      <c r="F8" s="63">
        <f>E8/SUM($E$5:$E$9)</f>
        <v>1.2800000000000004E-2</v>
      </c>
      <c r="G8" s="62">
        <f t="shared" si="1"/>
        <v>4.6472138666666662</v>
      </c>
      <c r="H8" s="70">
        <f>G8/SUM($G$5:$G$9)</f>
        <v>5.079664919801307E-2</v>
      </c>
      <c r="I8" s="97">
        <v>5.0000000000000001E-3</v>
      </c>
      <c r="J8" s="63">
        <f>I8/I10</f>
        <v>2.682897165544778E-3</v>
      </c>
      <c r="K8" s="62">
        <f t="shared" si="2"/>
        <v>4.6422138666666664</v>
      </c>
      <c r="L8" s="63">
        <f>K8/SUM($K$5:$K$9)</f>
        <v>5.179714643451238E-2</v>
      </c>
      <c r="M8" s="62">
        <f>K8</f>
        <v>4.6422138666666664</v>
      </c>
      <c r="N8" s="63">
        <f t="shared" si="3"/>
        <v>0.72159502596923164</v>
      </c>
      <c r="O8" s="64">
        <f t="shared" si="6"/>
        <v>0.15278613333333332</v>
      </c>
      <c r="P8" s="65">
        <f t="shared" si="4"/>
        <v>1.4545454545454549E-2</v>
      </c>
    </row>
    <row r="9" spans="1:16" x14ac:dyDescent="0.25">
      <c r="A9" s="2" t="s">
        <v>52</v>
      </c>
      <c r="B9" s="66">
        <f>'Datos materia prima'!B19/1000*B$18</f>
        <v>0.89999999999999991</v>
      </c>
      <c r="C9" s="63">
        <f t="shared" si="0"/>
        <v>8.702122928580372E-3</v>
      </c>
      <c r="D9" s="70">
        <f t="shared" si="5"/>
        <v>8.9999999999999987E-4</v>
      </c>
      <c r="E9" s="62">
        <f>B30*B21</f>
        <v>0.18382081666666664</v>
      </c>
      <c r="F9" s="63">
        <f>E9/SUM($E$5:$E$9)</f>
        <v>1.5400000000000002E-2</v>
      </c>
      <c r="G9" s="62">
        <f t="shared" si="1"/>
        <v>0.7161791833333333</v>
      </c>
      <c r="H9" s="70">
        <f>G9/SUM($G$5:$G$9)</f>
        <v>7.8282394102075093E-3</v>
      </c>
      <c r="I9" s="97">
        <v>5.0000000000000001E-3</v>
      </c>
      <c r="J9" s="63">
        <f>I9/I10</f>
        <v>2.682897165544778E-3</v>
      </c>
      <c r="K9" s="62">
        <f t="shared" si="2"/>
        <v>0.7111791833333333</v>
      </c>
      <c r="L9" s="63">
        <f>K9/SUM($K$5:$K$9)</f>
        <v>7.9352337824849881E-3</v>
      </c>
      <c r="M9" s="62">
        <f>K9</f>
        <v>0.7111791833333333</v>
      </c>
      <c r="N9" s="63">
        <f t="shared" si="3"/>
        <v>0.11054711738963548</v>
      </c>
      <c r="O9" s="64">
        <f t="shared" si="6"/>
        <v>0.18382081666666664</v>
      </c>
      <c r="P9" s="65">
        <f t="shared" si="4"/>
        <v>1.7500000000000002E-2</v>
      </c>
    </row>
    <row r="10" spans="1:16" x14ac:dyDescent="0.25">
      <c r="A10" s="1" t="s">
        <v>81</v>
      </c>
      <c r="B10" s="89">
        <f t="shared" ref="B10:L10" si="7">SUM(B5:B9)</f>
        <v>103.42303911200001</v>
      </c>
      <c r="C10" s="90">
        <f t="shared" si="7"/>
        <v>0.99999999999999989</v>
      </c>
      <c r="D10" s="91"/>
      <c r="E10" s="92">
        <f t="shared" si="7"/>
        <v>11.936416666666663</v>
      </c>
      <c r="F10" s="93">
        <f t="shared" si="7"/>
        <v>1.0000000000000002</v>
      </c>
      <c r="G10" s="92">
        <f t="shared" si="1"/>
        <v>91.486622445333353</v>
      </c>
      <c r="H10" s="94">
        <f t="shared" si="7"/>
        <v>1</v>
      </c>
      <c r="I10" s="92">
        <f>I6/J6</f>
        <v>1.8636569691200671</v>
      </c>
      <c r="J10" s="94">
        <f t="shared" si="7"/>
        <v>1</v>
      </c>
      <c r="K10" s="92">
        <f t="shared" si="2"/>
        <v>89.622965476213281</v>
      </c>
      <c r="L10" s="95">
        <f t="shared" si="7"/>
        <v>1.0000000000000002</v>
      </c>
      <c r="M10" s="92">
        <f>SUM(M5:M9)</f>
        <v>6.4332675525740219</v>
      </c>
      <c r="N10" s="95">
        <f>SUM(N5:N9)</f>
        <v>1.0000000000000002</v>
      </c>
      <c r="O10" s="96">
        <f>E10*(1-H20)</f>
        <v>10.504046666666664</v>
      </c>
      <c r="P10" s="90">
        <f>SUM(P5:P9)</f>
        <v>1</v>
      </c>
    </row>
    <row r="12" spans="1:16" x14ac:dyDescent="0.25">
      <c r="A12" s="4" t="s">
        <v>12</v>
      </c>
      <c r="B12" s="36"/>
      <c r="C12" s="26">
        <f>SUM(C6:C9)</f>
        <v>0.13061344521434234</v>
      </c>
      <c r="D12" s="26">
        <f>SUM(D6:D9)</f>
        <v>1.3508439452956E-2</v>
      </c>
      <c r="F12" s="26">
        <f>1-F5</f>
        <v>0.55000000000000004</v>
      </c>
      <c r="G12" s="26"/>
      <c r="H12" s="26">
        <f>1-H5</f>
        <v>7.5895361537019035E-2</v>
      </c>
      <c r="I12" s="26"/>
      <c r="J12" s="26">
        <f>1-J5</f>
        <v>0.40804869149663436</v>
      </c>
      <c r="L12" s="26">
        <f>1-L5</f>
        <v>6.8988427974772892E-2</v>
      </c>
      <c r="N12" s="26">
        <f>1-N5</f>
        <v>0.96108974920022405</v>
      </c>
      <c r="P12" s="26">
        <f>1-P5</f>
        <v>0.62500000000000011</v>
      </c>
    </row>
    <row r="13" spans="1:16" ht="15" customHeight="1" x14ac:dyDescent="0.25">
      <c r="A13" s="4" t="s">
        <v>10</v>
      </c>
      <c r="F13" s="33">
        <f>F6/F12</f>
        <v>0.50909090909090915</v>
      </c>
      <c r="G13" s="33"/>
      <c r="H13" s="33">
        <f>H6/H12</f>
        <v>0.12935256594282546</v>
      </c>
      <c r="I13" s="33"/>
      <c r="J13" s="33">
        <f>J6/J12</f>
        <v>0.98027516895811262</v>
      </c>
      <c r="L13" s="33">
        <f>L6/L12</f>
        <v>2.4694556974785776E-2</v>
      </c>
      <c r="N13" s="33">
        <f>N6/N12</f>
        <v>2.4694556974785738E-2</v>
      </c>
      <c r="P13" s="33">
        <f>P6/P12</f>
        <v>0.50909090909090904</v>
      </c>
    </row>
    <row r="14" spans="1:16" x14ac:dyDescent="0.25">
      <c r="A14" s="4" t="s">
        <v>2</v>
      </c>
      <c r="B14" s="57"/>
      <c r="C14" s="26">
        <f>SUM(C7:C9)</f>
        <v>8.9613445214342349E-2</v>
      </c>
      <c r="D14" s="26"/>
      <c r="E14" s="57"/>
      <c r="F14" s="26">
        <f>SUM(F7:F9)</f>
        <v>0.27000000000000007</v>
      </c>
      <c r="G14" s="26"/>
      <c r="H14" s="26">
        <f>SUM(H7:H9)</f>
        <v>6.6078101779047188E-2</v>
      </c>
      <c r="I14" s="26"/>
      <c r="J14" s="26">
        <f>SUM(J7:J9)</f>
        <v>8.0486914966343345E-3</v>
      </c>
      <c r="L14" s="26">
        <f>SUM(L7:L9)</f>
        <v>6.7284789309549065E-2</v>
      </c>
      <c r="N14" s="26">
        <f>SUM(N7:N9)</f>
        <v>0.93735606363071677</v>
      </c>
      <c r="P14" s="26">
        <f>SUM(P7:P9)</f>
        <v>0.30681818181818188</v>
      </c>
    </row>
    <row r="15" spans="1:16" x14ac:dyDescent="0.25">
      <c r="A15" s="4" t="s">
        <v>11</v>
      </c>
      <c r="F15" s="26">
        <f>F5/(1-F6)</f>
        <v>0.625</v>
      </c>
      <c r="G15" s="26"/>
      <c r="H15" s="26">
        <f>H5/(1-H6)</f>
        <v>0.93326676067601844</v>
      </c>
      <c r="I15" s="26"/>
      <c r="J15" s="26">
        <f>J5/(1-J6)</f>
        <v>0.98658551417227613</v>
      </c>
      <c r="L15" s="26">
        <f>L5/(1-L6)</f>
        <v>0.93260038610219353</v>
      </c>
      <c r="N15" s="26">
        <f>N5/(1-N6)</f>
        <v>3.9856184961656049E-2</v>
      </c>
      <c r="P15" s="26">
        <f>P5/(1-P6)</f>
        <v>0.54999999999999982</v>
      </c>
    </row>
    <row r="17" spans="1:10" x14ac:dyDescent="0.25">
      <c r="A17" s="58" t="s">
        <v>53</v>
      </c>
    </row>
    <row r="18" spans="1:10" x14ac:dyDescent="0.25">
      <c r="A18" s="4" t="s">
        <v>62</v>
      </c>
      <c r="B18" s="73">
        <v>100</v>
      </c>
      <c r="E18" t="s">
        <v>54</v>
      </c>
      <c r="H18" s="33">
        <f>G10/B10</f>
        <v>0.88458648315545685</v>
      </c>
      <c r="I18" s="33"/>
      <c r="J18" s="33"/>
    </row>
    <row r="19" spans="1:10" x14ac:dyDescent="0.25">
      <c r="A19" s="4" t="s">
        <v>61</v>
      </c>
      <c r="B19" s="52">
        <f>'Datos materia prima'!B21</f>
        <v>1.0342303911199999</v>
      </c>
      <c r="E19" t="s">
        <v>55</v>
      </c>
      <c r="H19" s="74">
        <v>0.997</v>
      </c>
    </row>
    <row r="20" spans="1:10" x14ac:dyDescent="0.25">
      <c r="A20" s="4" t="s">
        <v>93</v>
      </c>
      <c r="B20" s="59">
        <f>'Estándar técnico'!C16</f>
        <v>8.377723632860226</v>
      </c>
      <c r="E20" t="s">
        <v>87</v>
      </c>
      <c r="H20" s="74">
        <v>0.12</v>
      </c>
    </row>
    <row r="21" spans="1:10" x14ac:dyDescent="0.25">
      <c r="A21" s="4" t="s">
        <v>57</v>
      </c>
      <c r="B21" s="28">
        <f>B18/B20</f>
        <v>11.936416666666664</v>
      </c>
    </row>
    <row r="22" spans="1:10" x14ac:dyDescent="0.25">
      <c r="A22" s="4" t="s">
        <v>12</v>
      </c>
      <c r="B22" s="26">
        <f>'Estándar técnico'!C4</f>
        <v>0.55000000000000004</v>
      </c>
      <c r="E22" t="s">
        <v>60</v>
      </c>
      <c r="F22" s="33">
        <f>SUM(E7:E9)/B7</f>
        <v>0.90323621878338178</v>
      </c>
      <c r="G22" s="33"/>
      <c r="H22" s="28">
        <f>SUM(E7:E9)/F22</f>
        <v>3.5680948493639999</v>
      </c>
      <c r="I22" s="28"/>
      <c r="J22" s="28"/>
    </row>
    <row r="23" spans="1:10" x14ac:dyDescent="0.25">
      <c r="A23" s="4" t="s">
        <v>3</v>
      </c>
      <c r="B23" s="26">
        <f>'Estándar técnico'!C5</f>
        <v>0.28000000000000003</v>
      </c>
      <c r="E23" t="s">
        <v>9</v>
      </c>
      <c r="F23" s="33">
        <f>E6/B6</f>
        <v>0.78818987113346595</v>
      </c>
      <c r="G23" s="33"/>
      <c r="H23" s="28">
        <f>E6/F23</f>
        <v>4.2403446035919998</v>
      </c>
      <c r="I23" s="28"/>
      <c r="J23" s="28"/>
    </row>
    <row r="24" spans="1:10" x14ac:dyDescent="0.25">
      <c r="A24" s="60" t="s">
        <v>10</v>
      </c>
      <c r="B24" s="26">
        <f>B23/B22</f>
        <v>0.50909090909090915</v>
      </c>
      <c r="E24" t="s">
        <v>56</v>
      </c>
      <c r="F24" s="59">
        <f>B18/E10</f>
        <v>8.3777236328602278</v>
      </c>
      <c r="G24" s="59"/>
      <c r="H24" s="59"/>
      <c r="I24" s="59"/>
      <c r="J24" s="59"/>
    </row>
    <row r="25" spans="1:10" x14ac:dyDescent="0.25">
      <c r="A25" s="61" t="s">
        <v>28</v>
      </c>
      <c r="B25" s="26">
        <f>(1-B22)/(1-B22*B24)</f>
        <v>0.625</v>
      </c>
    </row>
    <row r="26" spans="1:10" x14ac:dyDescent="0.25">
      <c r="A26" s="61" t="s">
        <v>2</v>
      </c>
      <c r="B26" s="26">
        <f>B22-B23</f>
        <v>0.27</v>
      </c>
      <c r="E26" t="s">
        <v>58</v>
      </c>
      <c r="F26" s="56">
        <f>SUM(E7:E9)</f>
        <v>3.2228324999999995</v>
      </c>
      <c r="G26" s="56"/>
      <c r="H26" s="56"/>
      <c r="I26" s="56"/>
      <c r="J26" s="56"/>
    </row>
    <row r="27" spans="1:10" x14ac:dyDescent="0.25">
      <c r="E27" t="s">
        <v>59</v>
      </c>
      <c r="F27" s="56">
        <f>E6</f>
        <v>3.3421966666666663</v>
      </c>
      <c r="G27" s="56"/>
      <c r="H27" s="56"/>
      <c r="I27" s="56"/>
      <c r="J27" s="56"/>
    </row>
    <row r="28" spans="1:10" x14ac:dyDescent="0.25">
      <c r="A28" s="75" t="s">
        <v>69</v>
      </c>
      <c r="F28" s="56">
        <f>SUM(F26:F27)</f>
        <v>6.5650291666666654</v>
      </c>
      <c r="G28" s="56"/>
      <c r="H28" s="56"/>
      <c r="I28" s="56"/>
      <c r="J28" s="56"/>
    </row>
    <row r="29" spans="1:10" x14ac:dyDescent="0.25">
      <c r="A29" t="s">
        <v>70</v>
      </c>
      <c r="B29" s="33">
        <v>1.2800000000000001E-2</v>
      </c>
      <c r="F29" s="33">
        <f>F28/E10</f>
        <v>0.55000000000000004</v>
      </c>
      <c r="G29" s="33"/>
      <c r="H29" s="33"/>
      <c r="I29" s="33"/>
      <c r="J29" s="33"/>
    </row>
    <row r="30" spans="1:10" x14ac:dyDescent="0.25">
      <c r="A30" t="s">
        <v>71</v>
      </c>
      <c r="B30" s="33">
        <v>1.54E-2</v>
      </c>
      <c r="F30" s="28">
        <f>F28/F29</f>
        <v>11.936416666666663</v>
      </c>
      <c r="G30" s="28"/>
      <c r="H30" s="28"/>
      <c r="I30" s="28"/>
      <c r="J30" s="28"/>
    </row>
    <row r="32" spans="1:10" x14ac:dyDescent="0.25">
      <c r="A32" t="s">
        <v>95</v>
      </c>
      <c r="B32" s="37">
        <v>0.4</v>
      </c>
    </row>
    <row r="33" spans="1:2" x14ac:dyDescent="0.25">
      <c r="A33" t="s">
        <v>94</v>
      </c>
      <c r="B33" s="37">
        <v>0.83</v>
      </c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94A8B-0484-473C-83A9-EA55A6F40B29}">
  <dimension ref="A1:J7"/>
  <sheetViews>
    <sheetView workbookViewId="0">
      <selection activeCell="B2" sqref="B2"/>
    </sheetView>
  </sheetViews>
  <sheetFormatPr baseColWidth="10" defaultRowHeight="15" x14ac:dyDescent="0.25"/>
  <cols>
    <col min="1" max="1" width="17.28515625" bestFit="1" customWidth="1"/>
  </cols>
  <sheetData>
    <row r="1" spans="1:10" ht="23.25" x14ac:dyDescent="0.35">
      <c r="A1" s="81" t="s">
        <v>75</v>
      </c>
    </row>
    <row r="2" spans="1:10" x14ac:dyDescent="0.25">
      <c r="A2" t="s">
        <v>76</v>
      </c>
      <c r="B2" s="72" t="s">
        <v>68</v>
      </c>
    </row>
    <row r="3" spans="1:10" x14ac:dyDescent="0.25">
      <c r="B3" s="72"/>
    </row>
    <row r="4" spans="1:10" x14ac:dyDescent="0.25">
      <c r="A4" t="s">
        <v>63</v>
      </c>
      <c r="B4">
        <v>20</v>
      </c>
      <c r="C4">
        <v>20</v>
      </c>
      <c r="D4">
        <v>20</v>
      </c>
      <c r="E4" s="78">
        <v>15</v>
      </c>
      <c r="F4">
        <v>15</v>
      </c>
      <c r="G4">
        <v>15</v>
      </c>
      <c r="H4">
        <v>25</v>
      </c>
      <c r="I4">
        <v>25</v>
      </c>
      <c r="J4" s="78">
        <v>25</v>
      </c>
    </row>
    <row r="5" spans="1:10" x14ac:dyDescent="0.25">
      <c r="A5" t="s">
        <v>64</v>
      </c>
      <c r="B5">
        <v>3.75</v>
      </c>
      <c r="C5">
        <v>43</v>
      </c>
      <c r="D5">
        <v>1</v>
      </c>
      <c r="E5" s="78">
        <v>3.75</v>
      </c>
      <c r="F5">
        <v>43</v>
      </c>
      <c r="G5">
        <v>1</v>
      </c>
      <c r="H5">
        <v>3.75</v>
      </c>
      <c r="I5">
        <v>43</v>
      </c>
      <c r="J5" s="78">
        <v>1</v>
      </c>
    </row>
    <row r="6" spans="1:10" x14ac:dyDescent="0.25">
      <c r="E6" s="78"/>
      <c r="J6" s="78"/>
    </row>
    <row r="7" spans="1:10" x14ac:dyDescent="0.25">
      <c r="A7" t="s">
        <v>67</v>
      </c>
      <c r="B7" s="28">
        <f>-0.2307*10^(-2)*B4^2-0.2655*B4+1040.51-B5*(-0.478*10^(-4)*B4^2+0.969*10^(-2)*B4+0.967)</f>
        <v>1029.9958999999999</v>
      </c>
      <c r="C7" s="28">
        <f t="shared" ref="C7:D7" si="0">-0.2307*10^(-2)*C4^2-0.2655*C4+1040.51-C5*(-0.478*10^(-4)*C4^2+0.969*10^(-2)*C4+0.967)</f>
        <v>985.18496000000005</v>
      </c>
      <c r="D7" s="28">
        <f t="shared" si="0"/>
        <v>1033.13552</v>
      </c>
      <c r="E7" s="79">
        <f>-0.2307*10^(-2)*E4^2-0.2655*E4+1040.51-E5*(-0.478*10^(-4)*E4^2+0.969*10^(-2)*E4+0.967)</f>
        <v>1031.8774437499999</v>
      </c>
      <c r="F7" s="28">
        <f t="shared" ref="F7:G7" si="1">-0.2307*10^(-2)*F4^2-0.2655*F4+1040.51-F5*(-0.478*10^(-4)*F4^2+0.969*10^(-2)*F4+0.967)</f>
        <v>988.63983999999994</v>
      </c>
      <c r="G7" s="28">
        <f t="shared" si="1"/>
        <v>1034.9068299999999</v>
      </c>
      <c r="H7" s="28">
        <f>-0.2307*10^(-2)*H4^2-0.2655*H4+1040.51-H5*(-0.478*10^(-4)*H4^2+0.969*10^(-2)*H4+0.967)</f>
        <v>1028.0079687499999</v>
      </c>
      <c r="I7" s="28">
        <f t="shared" ref="I7:J7" si="2">-0.2307*10^(-2)*I4^2-0.2655*I4+1040.51-I5*(-0.478*10^(-4)*I4^2+0.969*10^(-2)*I4+0.967)</f>
        <v>981.71749999999997</v>
      </c>
      <c r="J7" s="79">
        <f t="shared" si="2"/>
        <v>1031.25125</v>
      </c>
    </row>
  </sheetData>
  <hyperlinks>
    <hyperlink ref="B2" r:id="rId1" display="https://hal.archives-ouvertes.fr/hal-00928929/document" xr:uid="{64B5FC94-B0B4-43D3-BE8E-AB676B6058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Liquidación leche</vt:lpstr>
      <vt:lpstr>Datos materia prima</vt:lpstr>
      <vt:lpstr>Estándar técnico</vt:lpstr>
      <vt:lpstr>Datos fabricación</vt:lpstr>
      <vt:lpstr>Desviaciones</vt:lpstr>
      <vt:lpstr>Proceso</vt:lpstr>
      <vt:lpstr>densidad</vt:lpstr>
      <vt:lpstr>EST_salida_salado</vt:lpstr>
      <vt:lpstr>MG_salida_salado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Riera</dc:creator>
  <cp:lastModifiedBy>Juan Riera</cp:lastModifiedBy>
  <dcterms:created xsi:type="dcterms:W3CDTF">2021-08-17T11:04:57Z</dcterms:created>
  <dcterms:modified xsi:type="dcterms:W3CDTF">2026-02-09T10:59:07Z</dcterms:modified>
</cp:coreProperties>
</file>