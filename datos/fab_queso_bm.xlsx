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523" documentId="8_{DFAD049F-9521-4407-9131-61DB2BC601CF}" xr6:coauthVersionLast="47" xr6:coauthVersionMax="47" xr10:uidLastSave="{84BBB2D5-5D36-4712-9E9A-87D168DBD972}"/>
  <bookViews>
    <workbookView xWindow="3075" yWindow="1950" windowWidth="23595" windowHeight="14250" xr2:uid="{15E1F47D-7F01-4CFA-AA86-2CDB7CC433C5}"/>
  </bookViews>
  <sheets>
    <sheet name="fab_queso_bm" sheetId="1" r:id="rId1"/>
    <sheet name="TD densidad" sheetId="13" r:id="rId2"/>
    <sheet name="TD cr vaca" sheetId="3" r:id="rId3"/>
    <sheet name="TD cr mezcla" sheetId="4" r:id="rId4"/>
    <sheet name="TD cr oveja" sheetId="1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</calcChain>
</file>

<file path=xl/sharedStrings.xml><?xml version="1.0" encoding="utf-8"?>
<sst xmlns="http://schemas.openxmlformats.org/spreadsheetml/2006/main" count="150" uniqueCount="43">
  <si>
    <t>fecha</t>
  </si>
  <si>
    <t>receta</t>
  </si>
  <si>
    <t>litros_past</t>
  </si>
  <si>
    <t>est_past</t>
  </si>
  <si>
    <t>mg_past</t>
  </si>
  <si>
    <t>mp_past</t>
  </si>
  <si>
    <t>kg_cuba</t>
  </si>
  <si>
    <t>est_cuba</t>
  </si>
  <si>
    <t>mg_cuba</t>
  </si>
  <si>
    <t>mp_cuba</t>
  </si>
  <si>
    <t>formato</t>
  </si>
  <si>
    <t>est_salida_salmuera</t>
  </si>
  <si>
    <t>mg_salida_salmuera</t>
  </si>
  <si>
    <t>ph_salida_salmuera</t>
  </si>
  <si>
    <t>peso_queso_total</t>
  </si>
  <si>
    <t>sal_queso</t>
  </si>
  <si>
    <t>bajo mg</t>
  </si>
  <si>
    <t>3 kg</t>
  </si>
  <si>
    <t>barra</t>
  </si>
  <si>
    <t>500 g</t>
  </si>
  <si>
    <t>i+D</t>
  </si>
  <si>
    <t>mezcla</t>
  </si>
  <si>
    <t>oveja</t>
  </si>
  <si>
    <t>vaca</t>
  </si>
  <si>
    <t>est_kg_cuba</t>
  </si>
  <si>
    <t>mg_kg_cuba</t>
  </si>
  <si>
    <t>mp_kg_cuba</t>
  </si>
  <si>
    <t>est_kg_queso</t>
  </si>
  <si>
    <t>mg_kg_queso</t>
  </si>
  <si>
    <t>esm_kg_queso</t>
  </si>
  <si>
    <t>Total general</t>
  </si>
  <si>
    <t>mar</t>
  </si>
  <si>
    <t>abr</t>
  </si>
  <si>
    <t>may</t>
  </si>
  <si>
    <t>coef recup mg</t>
  </si>
  <si>
    <t>coef  recup mp</t>
  </si>
  <si>
    <t>semana</t>
  </si>
  <si>
    <t>2022</t>
  </si>
  <si>
    <t>feb</t>
  </si>
  <si>
    <t>dens_cuba</t>
  </si>
  <si>
    <t>(Varios elementos)</t>
  </si>
  <si>
    <t>Etiquetas de fila</t>
  </si>
  <si>
    <t>Promedio de dens_cuba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</si>
</sst>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indent="2"/>
    </xf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8"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00"/>
    </dxf>
    <dxf>
      <numFmt numFmtId="19" formatCode="dd/mm/yyyy"/>
    </dxf>
  </dxfs>
  <tableStyles count="1" defaultTableStyle="TableStyleMedium2" defaultPivotStyle="PivotStyleLight16">
    <tableStyle name="Invisible" pivot="0" table="0" count="0" xr9:uid="{4822773B-CB01-4976-972F-3645758B7F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[fab_queso_bm.xlsx]TD densidad!TablaDinámica1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'TD densidad'!$B$3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'TD densidad'!$A$4:$A$15</c:f>
              <c:multiLvlStrCache>
                <c:ptCount val="8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</c:lvl>
                <c:lvl>
                  <c:pt idx="0">
                    <c:v>feb</c:v>
                  </c:pt>
                  <c:pt idx="1">
                    <c:v>mar</c:v>
                  </c:pt>
                  <c:pt idx="4">
                    <c:v>may</c:v>
                  </c:pt>
                </c:lvl>
              </c:multiLvlStrCache>
            </c:multiLvlStrRef>
          </c:cat>
          <c:val>
            <c:numRef>
              <c:f>'TD densidad'!$B$4:$B$15</c:f>
              <c:numCache>
                <c:formatCode>General</c:formatCode>
                <c:ptCount val="8"/>
                <c:pt idx="0">
                  <c:v>1.03</c:v>
                </c:pt>
                <c:pt idx="1">
                  <c:v>1.0349999999999999</c:v>
                </c:pt>
                <c:pt idx="2">
                  <c:v>1.032</c:v>
                </c:pt>
                <c:pt idx="3">
                  <c:v>1.0314999999999999</c:v>
                </c:pt>
                <c:pt idx="4">
                  <c:v>1.0335000000000001</c:v>
                </c:pt>
                <c:pt idx="5">
                  <c:v>1.03</c:v>
                </c:pt>
                <c:pt idx="6">
                  <c:v>1.0314999999999999</c:v>
                </c:pt>
                <c:pt idx="7">
                  <c:v>1.032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B-4044-9C46-B6897186B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58128"/>
        <c:axId val="104974928"/>
      </c:lineChart>
      <c:catAx>
        <c:axId val="10495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974928"/>
        <c:crosses val="autoZero"/>
        <c:auto val="1"/>
        <c:lblAlgn val="ctr"/>
        <c:lblOffset val="100"/>
        <c:noMultiLvlLbl val="0"/>
      </c:catAx>
      <c:valAx>
        <c:axId val="1049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95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[fab_queso_bm.xlsx]TD cr vaca!TablaDinámica1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de los coeficientes de recuperación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'TD cr vaca'!$B$3</c:f>
              <c:strCache>
                <c:ptCount val="1"/>
                <c:pt idx="0">
                  <c:v>coef recup mg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'TD cr vaca'!$A$4:$A$22</c:f>
              <c:multiLvlStrCache>
                <c:ptCount val="13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12</c:v>
                  </c:pt>
                  <c:pt idx="4">
                    <c:v>13</c:v>
                  </c:pt>
                  <c:pt idx="5">
                    <c:v>13</c:v>
                  </c:pt>
                  <c:pt idx="6">
                    <c:v>14</c:v>
                  </c:pt>
                  <c:pt idx="7">
                    <c:v>15</c:v>
                  </c:pt>
                  <c:pt idx="8">
                    <c:v>16</c:v>
                  </c:pt>
                  <c:pt idx="9">
                    <c:v>17</c:v>
                  </c:pt>
                  <c:pt idx="10">
                    <c:v>18</c:v>
                  </c:pt>
                  <c:pt idx="11">
                    <c:v>19</c:v>
                  </c:pt>
                  <c:pt idx="12">
                    <c:v>21</c:v>
                  </c:pt>
                </c:lvl>
                <c:lvl>
                  <c:pt idx="0">
                    <c:v>feb</c:v>
                  </c:pt>
                  <c:pt idx="1">
                    <c:v>mar</c:v>
                  </c:pt>
                  <c:pt idx="5">
                    <c:v>abr</c:v>
                  </c:pt>
                  <c:pt idx="10">
                    <c:v>may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'TD cr vaca'!$B$4:$B$22</c:f>
              <c:numCache>
                <c:formatCode>0.0%</c:formatCode>
                <c:ptCount val="13"/>
                <c:pt idx="0">
                  <c:v>0.90382593831010249</c:v>
                </c:pt>
                <c:pt idx="1">
                  <c:v>0.93278205591888708</c:v>
                </c:pt>
                <c:pt idx="2">
                  <c:v>0.8781489755884917</c:v>
                </c:pt>
                <c:pt idx="3">
                  <c:v>0.96946682210002488</c:v>
                </c:pt>
                <c:pt idx="4">
                  <c:v>0.85760363268927453</c:v>
                </c:pt>
                <c:pt idx="5">
                  <c:v>0.89045409197781611</c:v>
                </c:pt>
                <c:pt idx="6">
                  <c:v>0.93589678515599273</c:v>
                </c:pt>
                <c:pt idx="7">
                  <c:v>0.82347589776922014</c:v>
                </c:pt>
                <c:pt idx="8">
                  <c:v>0.86193351187274625</c:v>
                </c:pt>
                <c:pt idx="9">
                  <c:v>0.98134704474876555</c:v>
                </c:pt>
                <c:pt idx="10">
                  <c:v>0.87755072205039131</c:v>
                </c:pt>
                <c:pt idx="11">
                  <c:v>0.85960646492715709</c:v>
                </c:pt>
                <c:pt idx="12">
                  <c:v>0.88408066459269796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F-4CE6-AFB1-53D79140D725}"/>
            </c:ext>
          </c:extLst>
        </c:ser>
        <c:ser>
          <c:idx val="1"/>
          <c:order val="1"/>
          <c:tx>
            <c:strRef>
              <c:f>'TD cr vaca'!$C$3</c:f>
              <c:strCache>
                <c:ptCount val="1"/>
                <c:pt idx="0">
                  <c:v>coef  recup 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'TD cr vaca'!$A$4:$A$22</c:f>
              <c:multiLvlStrCache>
                <c:ptCount val="13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12</c:v>
                  </c:pt>
                  <c:pt idx="4">
                    <c:v>13</c:v>
                  </c:pt>
                  <c:pt idx="5">
                    <c:v>13</c:v>
                  </c:pt>
                  <c:pt idx="6">
                    <c:v>14</c:v>
                  </c:pt>
                  <c:pt idx="7">
                    <c:v>15</c:v>
                  </c:pt>
                  <c:pt idx="8">
                    <c:v>16</c:v>
                  </c:pt>
                  <c:pt idx="9">
                    <c:v>17</c:v>
                  </c:pt>
                  <c:pt idx="10">
                    <c:v>18</c:v>
                  </c:pt>
                  <c:pt idx="11">
                    <c:v>19</c:v>
                  </c:pt>
                  <c:pt idx="12">
                    <c:v>21</c:v>
                  </c:pt>
                </c:lvl>
                <c:lvl>
                  <c:pt idx="0">
                    <c:v>feb</c:v>
                  </c:pt>
                  <c:pt idx="1">
                    <c:v>mar</c:v>
                  </c:pt>
                  <c:pt idx="5">
                    <c:v>abr</c:v>
                  </c:pt>
                  <c:pt idx="10">
                    <c:v>may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'TD cr vaca'!$C$4:$C$22</c:f>
              <c:numCache>
                <c:formatCode>0.0%</c:formatCode>
                <c:ptCount val="13"/>
                <c:pt idx="0">
                  <c:v>0.98529757218594294</c:v>
                </c:pt>
                <c:pt idx="1">
                  <c:v>0.98378347886500705</c:v>
                </c:pt>
                <c:pt idx="2">
                  <c:v>0.95746298472385427</c:v>
                </c:pt>
                <c:pt idx="3">
                  <c:v>0.85674074349514295</c:v>
                </c:pt>
                <c:pt idx="4">
                  <c:v>0.95402095538530851</c:v>
                </c:pt>
                <c:pt idx="5">
                  <c:v>0.92515689653991828</c:v>
                </c:pt>
                <c:pt idx="6">
                  <c:v>0.94681487164593581</c:v>
                </c:pt>
                <c:pt idx="7">
                  <c:v>0.91786482038813355</c:v>
                </c:pt>
                <c:pt idx="8">
                  <c:v>0.88613533268139821</c:v>
                </c:pt>
                <c:pt idx="9">
                  <c:v>0.96498737937297019</c:v>
                </c:pt>
                <c:pt idx="10">
                  <c:v>0.95003378108618952</c:v>
                </c:pt>
                <c:pt idx="11">
                  <c:v>0.97053522697651873</c:v>
                </c:pt>
                <c:pt idx="12">
                  <c:v>0.95636258109984884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CF-4CE6-AFB1-53D79140D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500800"/>
        <c:axId val="356501760"/>
      </c:lineChart>
      <c:catAx>
        <c:axId val="356500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6501760"/>
        <c:crosses val="autoZero"/>
        <c:auto val="1"/>
        <c:lblAlgn val="ctr"/>
        <c:lblOffset val="100"/>
        <c:noMultiLvlLbl val="0"/>
      </c:catAx>
      <c:valAx>
        <c:axId val="3565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 del coeficiente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650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[fab_queso_bm.xlsx]TD cr mezcla!TablaDinámica1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de los coeficientes de recuperación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'TD cr mezcla'!$B$3</c:f>
              <c:strCache>
                <c:ptCount val="1"/>
                <c:pt idx="0">
                  <c:v>coef recup mg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'TD cr mezcla'!$A$4:$A$16</c:f>
              <c:multiLvlStrCache>
                <c:ptCount val="8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</c:lvl>
                <c:lvl>
                  <c:pt idx="0">
                    <c:v>feb</c:v>
                  </c:pt>
                  <c:pt idx="1">
                    <c:v>mar</c:v>
                  </c:pt>
                  <c:pt idx="4">
                    <c:v>may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'TD cr mezcla'!$B$4:$B$16</c:f>
              <c:numCache>
                <c:formatCode>0.0%</c:formatCode>
                <c:ptCount val="8"/>
                <c:pt idx="0">
                  <c:v>0.88611473962930276</c:v>
                </c:pt>
                <c:pt idx="1">
                  <c:v>0.92796451255166856</c:v>
                </c:pt>
                <c:pt idx="2">
                  <c:v>0.87335248202781424</c:v>
                </c:pt>
                <c:pt idx="3">
                  <c:v>0.91413496170803799</c:v>
                </c:pt>
                <c:pt idx="4">
                  <c:v>0.91306975905139098</c:v>
                </c:pt>
                <c:pt idx="5">
                  <c:v>0.89268033831537474</c:v>
                </c:pt>
                <c:pt idx="6">
                  <c:v>0.89078187742519921</c:v>
                </c:pt>
                <c:pt idx="7">
                  <c:v>0.92210501109094578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1-4974-93AA-B4A34F5CCD90}"/>
            </c:ext>
          </c:extLst>
        </c:ser>
        <c:ser>
          <c:idx val="1"/>
          <c:order val="1"/>
          <c:tx>
            <c:strRef>
              <c:f>'TD cr mezcla'!$C$3</c:f>
              <c:strCache>
                <c:ptCount val="1"/>
                <c:pt idx="0">
                  <c:v>coef  recup 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'TD cr mezcla'!$A$4:$A$16</c:f>
              <c:multiLvlStrCache>
                <c:ptCount val="8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</c:lvl>
                <c:lvl>
                  <c:pt idx="0">
                    <c:v>feb</c:v>
                  </c:pt>
                  <c:pt idx="1">
                    <c:v>mar</c:v>
                  </c:pt>
                  <c:pt idx="4">
                    <c:v>may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'TD cr mezcla'!$C$4:$C$16</c:f>
              <c:numCache>
                <c:formatCode>0.0%</c:formatCode>
                <c:ptCount val="8"/>
                <c:pt idx="0">
                  <c:v>0.94769085940666553</c:v>
                </c:pt>
                <c:pt idx="1">
                  <c:v>0.9717319803166673</c:v>
                </c:pt>
                <c:pt idx="2">
                  <c:v>0.90683396658087212</c:v>
                </c:pt>
                <c:pt idx="3">
                  <c:v>0.94225423300897182</c:v>
                </c:pt>
                <c:pt idx="4">
                  <c:v>0.95733332656065739</c:v>
                </c:pt>
                <c:pt idx="5">
                  <c:v>0.94595133432824818</c:v>
                </c:pt>
                <c:pt idx="6">
                  <c:v>0.92362931345437049</c:v>
                </c:pt>
                <c:pt idx="7">
                  <c:v>1.0033094340827799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1-4974-93AA-B4A34F5CC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500800"/>
        <c:axId val="356501760"/>
      </c:lineChart>
      <c:catAx>
        <c:axId val="356500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Semana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6501760"/>
        <c:crosses val="autoZero"/>
        <c:auto val="1"/>
        <c:lblAlgn val="ctr"/>
        <c:lblOffset val="100"/>
        <c:noMultiLvlLbl val="0"/>
      </c:catAx>
      <c:valAx>
        <c:axId val="356501760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 del coeficiente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650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[fab_queso_bm.xlsx]TD cr oveja!TablaDinámica1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de los coeficientes de recuperación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'TD cr oveja'!$B$3</c:f>
              <c:strCache>
                <c:ptCount val="1"/>
                <c:pt idx="0">
                  <c:v>coef recup mg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'TD cr oveja'!$A$4:$A$16</c:f>
              <c:multiLvlStrCache>
                <c:ptCount val="8"/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14</c:v>
                  </c:pt>
                  <c:pt idx="4">
                    <c:v>16</c:v>
                  </c:pt>
                  <c:pt idx="5">
                    <c:v>18</c:v>
                  </c:pt>
                  <c:pt idx="6">
                    <c:v>20</c:v>
                  </c:pt>
                  <c:pt idx="7">
                    <c:v>21</c:v>
                  </c:pt>
                </c:lvl>
                <c:lvl>
                  <c:pt idx="0">
                    <c:v>mar</c:v>
                  </c:pt>
                  <c:pt idx="3">
                    <c:v>abr</c:v>
                  </c:pt>
                  <c:pt idx="5">
                    <c:v>may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'TD cr oveja'!$B$4:$B$16</c:f>
              <c:numCache>
                <c:formatCode>0.0%</c:formatCode>
                <c:ptCount val="8"/>
                <c:pt idx="0">
                  <c:v>0.89807891307680499</c:v>
                </c:pt>
                <c:pt idx="1">
                  <c:v>0.90421532846715336</c:v>
                </c:pt>
                <c:pt idx="2">
                  <c:v>0.89236591621544592</c:v>
                </c:pt>
                <c:pt idx="3">
                  <c:v>0.89600950512885857</c:v>
                </c:pt>
                <c:pt idx="4">
                  <c:v>0.89986717449750342</c:v>
                </c:pt>
                <c:pt idx="5">
                  <c:v>0.91061574317720484</c:v>
                </c:pt>
                <c:pt idx="6">
                  <c:v>0.91029259311437005</c:v>
                </c:pt>
                <c:pt idx="7">
                  <c:v>0.91782789023372302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A-4EFA-87D4-D4E9DDA3693D}"/>
            </c:ext>
          </c:extLst>
        </c:ser>
        <c:ser>
          <c:idx val="1"/>
          <c:order val="1"/>
          <c:tx>
            <c:strRef>
              <c:f>'TD cr oveja'!$C$3</c:f>
              <c:strCache>
                <c:ptCount val="1"/>
                <c:pt idx="0">
                  <c:v>coef  recup 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'TD cr oveja'!$A$4:$A$16</c:f>
              <c:multiLvlStrCache>
                <c:ptCount val="8"/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14</c:v>
                  </c:pt>
                  <c:pt idx="4">
                    <c:v>16</c:v>
                  </c:pt>
                  <c:pt idx="5">
                    <c:v>18</c:v>
                  </c:pt>
                  <c:pt idx="6">
                    <c:v>20</c:v>
                  </c:pt>
                  <c:pt idx="7">
                    <c:v>21</c:v>
                  </c:pt>
                </c:lvl>
                <c:lvl>
                  <c:pt idx="0">
                    <c:v>mar</c:v>
                  </c:pt>
                  <c:pt idx="3">
                    <c:v>abr</c:v>
                  </c:pt>
                  <c:pt idx="5">
                    <c:v>may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'TD cr oveja'!$C$4:$C$16</c:f>
              <c:numCache>
                <c:formatCode>0.0%</c:formatCode>
                <c:ptCount val="8"/>
                <c:pt idx="0">
                  <c:v>0.92460244255352109</c:v>
                </c:pt>
                <c:pt idx="1">
                  <c:v>0.931581508515815</c:v>
                </c:pt>
                <c:pt idx="2">
                  <c:v>0.9163636363636366</c:v>
                </c:pt>
                <c:pt idx="3">
                  <c:v>0.93116973474960263</c:v>
                </c:pt>
                <c:pt idx="4">
                  <c:v>0.92405705545950245</c:v>
                </c:pt>
                <c:pt idx="5">
                  <c:v>0.9039970268512495</c:v>
                </c:pt>
                <c:pt idx="6">
                  <c:v>0.94268467770211672</c:v>
                </c:pt>
                <c:pt idx="7">
                  <c:v>0.91540412569439722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CA-4EFA-87D4-D4E9DDA36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500800"/>
        <c:axId val="356501760"/>
      </c:lineChart>
      <c:catAx>
        <c:axId val="356500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Semana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6501760"/>
        <c:crosses val="autoZero"/>
        <c:auto val="1"/>
        <c:lblAlgn val="ctr"/>
        <c:lblOffset val="100"/>
        <c:noMultiLvlLbl val="0"/>
      </c:catAx>
      <c:valAx>
        <c:axId val="356501760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 del coeficiente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650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0</xdr:row>
      <xdr:rowOff>95249</xdr:rowOff>
    </xdr:from>
    <xdr:to>
      <xdr:col>9</xdr:col>
      <xdr:colOff>19049</xdr:colOff>
      <xdr:row>15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699D6A-EA24-E6E7-7C76-1ABE666A9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66675</xdr:rowOff>
    </xdr:from>
    <xdr:to>
      <xdr:col>8</xdr:col>
      <xdr:colOff>1419225</xdr:colOff>
      <xdr:row>15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C48A38-A797-CC8F-3607-A157C7E9C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66675</xdr:rowOff>
    </xdr:from>
    <xdr:to>
      <xdr:col>8</xdr:col>
      <xdr:colOff>1419225</xdr:colOff>
      <xdr:row>15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929D6D-ED77-466B-8F6F-CBEF5E572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66675</xdr:rowOff>
    </xdr:from>
    <xdr:to>
      <xdr:col>8</xdr:col>
      <xdr:colOff>1419225</xdr:colOff>
      <xdr:row>15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7651F6-C37F-4D6E-99D3-6A1FCFAD9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Riera" refreshedDate="46013.700123726849" createdVersion="8" refreshedVersion="8" minRefreshableVersion="3" recordCount="45" xr:uid="{30129B98-EFB0-49A7-9A3E-AE8AAEB0B5CA}">
  <cacheSource type="worksheet">
    <worksheetSource name="Tabla1"/>
  </cacheSource>
  <cacheFields count="31">
    <cacheField name="fecha" numFmtId="14">
      <sharedItems containsSemiMixedTypes="0" containsNonDate="0" containsDate="1" containsString="0" minDate="2022-02-23T00:00:00" maxDate="2022-05-31T00:00:00" count="32">
        <d v="2022-02-23T00:00:00"/>
        <d v="2022-03-01T00:00:00"/>
        <d v="2022-03-08T00:00:00"/>
        <d v="2022-03-29T00:00:00"/>
        <d v="2022-04-05T00:00:00"/>
        <d v="2022-04-12T00:00:00"/>
        <d v="2022-04-19T00:00:00"/>
        <d v="2022-04-29T00:00:00"/>
        <d v="2022-05-06T00:00:00"/>
        <d v="2022-05-25T00:00:00"/>
        <d v="2022-03-11T00:00:00"/>
        <d v="2022-03-17T00:00:00"/>
        <d v="2022-04-13T00:00:00"/>
        <d v="2022-05-20T00:00:00"/>
        <d v="2022-02-24T00:00:00"/>
        <d v="2022-03-04T00:00:00"/>
        <d v="2022-03-10T00:00:00"/>
        <d v="2022-03-15T00:00:00"/>
        <d v="2022-03-18T00:00:00"/>
        <d v="2022-05-10T00:00:00"/>
        <d v="2022-05-17T00:00:00"/>
        <d v="2022-05-24T00:00:00"/>
        <d v="2022-05-30T00:00:00"/>
        <d v="2022-04-08T00:00:00"/>
        <d v="2022-05-27T00:00:00"/>
        <d v="2022-03-25T00:00:00"/>
        <d v="2022-04-01T00:00:00"/>
        <d v="2022-04-15T00:00:00"/>
        <d v="2022-04-22T00:00:00"/>
        <d v="2022-05-03T00:00:00"/>
        <d v="2022-05-13T00:00:00"/>
        <d v="2022-05-22T00:00:00" u="1"/>
      </sharedItems>
      <fieldGroup par="30"/>
    </cacheField>
    <cacheField name="receta" numFmtId="0">
      <sharedItems count="5">
        <s v="bajo mg"/>
        <s v="i+D"/>
        <s v="mezcla"/>
        <s v="oveja"/>
        <s v="vaca"/>
      </sharedItems>
    </cacheField>
    <cacheField name="litros_past" numFmtId="0">
      <sharedItems containsSemiMixedTypes="0" containsString="0" containsNumber="1" containsInteger="1" minValue="7480" maxValue="15930"/>
    </cacheField>
    <cacheField name="est_past" numFmtId="0">
      <sharedItems containsSemiMixedTypes="0" containsString="0" containsNumber="1" minValue="10.09" maxValue="17.989999999999998"/>
    </cacheField>
    <cacheField name="mg_past" numFmtId="0">
      <sharedItems containsSemiMixedTypes="0" containsString="0" containsNumber="1" minValue="2.48" maxValue="6.91"/>
    </cacheField>
    <cacheField name="mp_past" numFmtId="0">
      <sharedItems containsSemiMixedTypes="0" containsString="0" containsNumber="1" minValue="3.0760000000000001" maxValue="5.5"/>
    </cacheField>
    <cacheField name="kg_cuba" numFmtId="0">
      <sharedItems containsSemiMixedTypes="0" containsString="0" containsNumber="1" containsInteger="1" minValue="7704" maxValue="16453"/>
    </cacheField>
    <cacheField name="dens_cuba" numFmtId="0">
      <sharedItems containsSemiMixedTypes="0" containsString="0" containsNumber="1" minValue="0.999" maxValue="1.0680000000000001"/>
    </cacheField>
    <cacheField name="litros_cuba" numFmtId="0">
      <sharedItems containsSemiMixedTypes="0" containsString="0" containsNumber="1" containsInteger="1" minValue="7480" maxValue="15930"/>
    </cacheField>
    <cacheField name="est_cuba" numFmtId="0">
      <sharedItems containsSemiMixedTypes="0" containsString="0" containsNumber="1" minValue="9.6300000000000008" maxValue="16.260000000000002"/>
    </cacheField>
    <cacheField name="mg_cuba" numFmtId="0">
      <sharedItems containsSemiMixedTypes="0" containsString="0" containsNumber="1" minValue="2.36" maxValue="6.61"/>
    </cacheField>
    <cacheField name="mp_cuba" numFmtId="0">
      <sharedItems containsSemiMixedTypes="0" containsString="0" containsNumber="1" minValue="2.94" maxValue="5.26"/>
    </cacheField>
    <cacheField name="formato" numFmtId="0">
      <sharedItems/>
    </cacheField>
    <cacheField name="est_salida_salmuera" numFmtId="0">
      <sharedItems containsSemiMixedTypes="0" containsString="0" containsNumber="1" minValue="45.1" maxValue="59.42"/>
    </cacheField>
    <cacheField name="mg_salida_salmuera" numFmtId="0">
      <sharedItems containsSemiMixedTypes="0" containsString="0" containsNumber="1" minValue="19.600000000000001" maxValue="32.520000000000003"/>
    </cacheField>
    <cacheField name="ph_salida_salmuera" numFmtId="0">
      <sharedItems containsSemiMixedTypes="0" containsString="0" containsNumber="1" minValue="5.2" maxValue="5.98"/>
    </cacheField>
    <cacheField name="peso_queso_total" numFmtId="0">
      <sharedItems containsSemiMixedTypes="0" containsString="0" containsNumber="1" minValue="832" maxValue="2656"/>
    </cacheField>
    <cacheField name="sal_queso" numFmtId="0">
      <sharedItems containsString="0" containsBlank="1" containsNumber="1" minValue="0.96" maxValue="1.95"/>
    </cacheField>
    <cacheField name="est_kg_cuba" numFmtId="0">
      <sharedItems containsSemiMixedTypes="0" containsString="0" containsNumber="1" minValue="994.09199999999998" maxValue="2245.3749999999995"/>
    </cacheField>
    <cacheField name="mg_kg_cuba" numFmtId="0">
      <sharedItems containsSemiMixedTypes="0" containsString="0" containsNumber="1" minValue="275.27999999999997" maxValue="877.25"/>
    </cacheField>
    <cacheField name="mp_kg_cuba" numFmtId="0">
      <sharedItems containsSemiMixedTypes="0" containsString="0" containsNumber="1" minValue="305.93200000000002" maxValue="698.5"/>
    </cacheField>
    <cacheField name="est_kg_queso" numFmtId="0">
      <sharedItems containsSemiMixedTypes="0" containsString="0" containsNumber="1" minValue="486.30400000000003" maxValue="1428.3968"/>
    </cacheField>
    <cacheField name="mg_kg_queso" numFmtId="0">
      <sharedItems containsSemiMixedTypes="0" containsString="0" containsNumber="1" minValue="241.73684999999998" maxValue="792.81600000000003"/>
    </cacheField>
    <cacheField name="esm_kg_queso" numFmtId="0">
      <sharedItems containsSemiMixedTypes="0" containsString="0" containsNumber="1" minValue="241.44640000000004" maxValue="640.08000000000015"/>
    </cacheField>
    <cacheField name="semana" numFmtId="0">
      <sharedItems containsSemiMixedTypes="0" containsString="0" containsNumber="1" containsInteger="1" minValue="8" maxValue="22" count="15">
        <n v="8"/>
        <n v="9"/>
        <n v="10"/>
        <n v="13"/>
        <n v="14"/>
        <n v="15"/>
        <n v="16"/>
        <n v="17"/>
        <n v="18"/>
        <n v="21"/>
        <n v="11"/>
        <n v="20"/>
        <n v="19"/>
        <n v="22"/>
        <n v="12"/>
      </sharedItems>
    </cacheField>
    <cacheField name="dens_past" numFmtId="0">
      <sharedItems containsSemiMixedTypes="0" containsString="0" containsNumber="1" minValue="0.9991847826086957" maxValue="1.0682129277566539"/>
    </cacheField>
    <cacheField name="coef_recup_mg" numFmtId="0" formula="mg_kg_queso/mg_kg_cuba" databaseField="0"/>
    <cacheField name="coef_recup_mp" numFmtId="0" formula="esm_kg_queso/mp_kg_cuba" databaseField="0"/>
    <cacheField name="Días (fecha)" numFmtId="0" databaseField="0">
      <fieldGroup base="0">
        <rangePr groupBy="days" startDate="2022-02-23T00:00:00" endDate="2022-05-31T00:00:00"/>
        <groupItems count="368">
          <s v="&lt;23/02/2022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05/2022"/>
        </groupItems>
      </fieldGroup>
    </cacheField>
    <cacheField name="Meses (fecha)" numFmtId="0" databaseField="0">
      <fieldGroup base="0">
        <rangePr groupBy="months" startDate="2022-02-23T00:00:00" endDate="2022-05-31T00:00:00"/>
        <groupItems count="14">
          <s v="&lt;23/02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05/2022"/>
        </groupItems>
      </fieldGroup>
    </cacheField>
    <cacheField name="Años (fecha)" numFmtId="0" databaseField="0">
      <fieldGroup base="0">
        <rangePr groupBy="years" startDate="2022-02-23T00:00:00" endDate="2022-05-31T00:00:00"/>
        <groupItems count="3">
          <s v="&lt;23/02/2022"/>
          <s v="2022"/>
          <s v="&gt;31/05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n v="12380"/>
    <n v="10.76"/>
    <n v="2.58"/>
    <n v="3.55"/>
    <n v="12861"/>
    <n v="1.0389999999999999"/>
    <n v="12380"/>
    <n v="10.28"/>
    <n v="2.46"/>
    <n v="3.38"/>
    <s v="3 kg"/>
    <n v="50.85"/>
    <n v="20.34"/>
    <n v="5.44"/>
    <n v="1419.3"/>
    <n v="1.47"/>
    <n v="1332.088"/>
    <n v="319.404"/>
    <n v="439.49"/>
    <n v="721.71405000000004"/>
    <n v="288.68561999999997"/>
    <n v="433.02843000000007"/>
    <x v="0"/>
    <n v="1.0388529886914377"/>
  </r>
  <r>
    <x v="1"/>
    <x v="0"/>
    <n v="13325"/>
    <n v="11.09"/>
    <n v="2.59"/>
    <n v="3.6"/>
    <n v="13867"/>
    <n v="1.0409999999999999"/>
    <n v="13325"/>
    <n v="10.41"/>
    <n v="2.4700000000000002"/>
    <n v="3.43"/>
    <s v="barra"/>
    <n v="52.1"/>
    <n v="21.15"/>
    <n v="5.34"/>
    <n v="1536"/>
    <n v="1.17"/>
    <n v="1477.7425000000001"/>
    <n v="345.11750000000001"/>
    <n v="479.7"/>
    <n v="800.25600000000009"/>
    <n v="324.86399999999998"/>
    <n v="475.39200000000011"/>
    <x v="1"/>
    <n v="1.0406754221388368"/>
  </r>
  <r>
    <x v="2"/>
    <x v="0"/>
    <n v="11100"/>
    <n v="10.7"/>
    <n v="2.48"/>
    <n v="3.45"/>
    <n v="11639"/>
    <n v="1.0489999999999999"/>
    <n v="11100"/>
    <n v="9.98"/>
    <n v="2.36"/>
    <n v="3.28"/>
    <s v="3 kg"/>
    <n v="50.26"/>
    <n v="19.97"/>
    <n v="5.34"/>
    <n v="1210.5"/>
    <n v="1.95"/>
    <n v="1187.6999999999998"/>
    <n v="275.27999999999997"/>
    <n v="382.95"/>
    <n v="608.39729999999997"/>
    <n v="241.73684999999998"/>
    <n v="366.66044999999997"/>
    <x v="2"/>
    <n v="1.0485585585585586"/>
  </r>
  <r>
    <x v="3"/>
    <x v="0"/>
    <n v="12680"/>
    <n v="11.27"/>
    <n v="2.56"/>
    <n v="3.5"/>
    <n v="13012"/>
    <n v="1.026"/>
    <n v="12680"/>
    <n v="10.220000000000001"/>
    <n v="2.44"/>
    <n v="3.33"/>
    <s v="3 kg"/>
    <n v="50.67"/>
    <n v="20.100000000000001"/>
    <n v="5.39"/>
    <n v="1385"/>
    <n v="1.8"/>
    <n v="1429.0360000000001"/>
    <n v="324.608"/>
    <n v="443.8"/>
    <n v="701.77949999999998"/>
    <n v="278.38500000000005"/>
    <n v="423.39449999999994"/>
    <x v="3"/>
    <n v="1.0261829652996846"/>
  </r>
  <r>
    <x v="4"/>
    <x v="0"/>
    <n v="13978"/>
    <n v="11.05"/>
    <n v="2.52"/>
    <n v="3.5"/>
    <n v="14508"/>
    <n v="1.038"/>
    <n v="13978"/>
    <n v="10.26"/>
    <n v="2.4"/>
    <n v="3.33"/>
    <s v="3 kg"/>
    <n v="50.04"/>
    <n v="20.98"/>
    <n v="5.22"/>
    <n v="1633"/>
    <n v="1.49"/>
    <n v="1544.5690000000002"/>
    <n v="352.24559999999997"/>
    <n v="489.23"/>
    <n v="817.15319999999997"/>
    <n v="342.60340000000002"/>
    <n v="474.54979999999995"/>
    <x v="4"/>
    <n v="1.0379167262841609"/>
  </r>
  <r>
    <x v="5"/>
    <x v="0"/>
    <n v="14147"/>
    <n v="11.3"/>
    <n v="2.67"/>
    <n v="3.66"/>
    <n v="14666"/>
    <n v="1.0369999999999999"/>
    <n v="14147"/>
    <n v="10.77"/>
    <n v="2.5499999999999998"/>
    <n v="3.49"/>
    <s v="3 kg"/>
    <n v="54.14"/>
    <n v="20.27"/>
    <n v="5.43"/>
    <n v="1465"/>
    <n v="1.74"/>
    <n v="1598.6110000000001"/>
    <n v="377.72489999999999"/>
    <n v="517.78020000000004"/>
    <n v="793.15100000000007"/>
    <n v="296.95549999999997"/>
    <n v="496.1955000000001"/>
    <x v="5"/>
    <n v="1.0366862232275393"/>
  </r>
  <r>
    <x v="6"/>
    <x v="0"/>
    <n v="12370"/>
    <n v="10.09"/>
    <n v="2.52"/>
    <n v="3.5"/>
    <n v="12878"/>
    <n v="1.0409999999999999"/>
    <n v="12370"/>
    <n v="9.6300000000000008"/>
    <n v="2.4"/>
    <n v="3.33"/>
    <s v="3 kg"/>
    <n v="49.48"/>
    <n v="20.170000000000002"/>
    <n v="5.44"/>
    <n v="1354"/>
    <n v="1.1599999999999999"/>
    <n v="1248.133"/>
    <n v="311.72399999999999"/>
    <n v="432.95"/>
    <n v="669.95920000000001"/>
    <n v="273.10180000000003"/>
    <n v="396.85739999999998"/>
    <x v="6"/>
    <n v="1.0410670978173"/>
  </r>
  <r>
    <x v="7"/>
    <x v="0"/>
    <n v="15110"/>
    <n v="10.64"/>
    <n v="2.6"/>
    <n v="3.44"/>
    <n v="15663"/>
    <n v="1.0369999999999999"/>
    <n v="15110"/>
    <n v="10.16"/>
    <n v="2.48"/>
    <n v="3.27"/>
    <s v="3 kg"/>
    <n v="45.1"/>
    <n v="19.600000000000001"/>
    <n v="5.41"/>
    <n v="1967"/>
    <n v="1.45"/>
    <n v="1607.704"/>
    <n v="392.86"/>
    <n v="519.78399999999999"/>
    <n v="887.11699999999996"/>
    <n v="385.53200000000004"/>
    <n v="501.58499999999992"/>
    <x v="7"/>
    <n v="1.0365982792852415"/>
  </r>
  <r>
    <x v="8"/>
    <x v="0"/>
    <n v="15410"/>
    <n v="10.75"/>
    <n v="2.5299999999999998"/>
    <n v="3.59"/>
    <n v="16025"/>
    <n v="1.04"/>
    <n v="15410"/>
    <n v="10.42"/>
    <n v="2.41"/>
    <n v="3.42"/>
    <s v="3 kg"/>
    <n v="50.26"/>
    <n v="19.7"/>
    <n v="5.44"/>
    <n v="1714"/>
    <n v="1.77"/>
    <n v="1656.575"/>
    <n v="389.87299999999993"/>
    <n v="553.21899999999994"/>
    <n v="861.45640000000003"/>
    <n v="337.65799999999996"/>
    <n v="523.79840000000013"/>
    <x v="8"/>
    <n v="1.0399091499026607"/>
  </r>
  <r>
    <x v="9"/>
    <x v="0"/>
    <n v="12370"/>
    <n v="10.35"/>
    <n v="2.57"/>
    <n v="3.51"/>
    <n v="13022"/>
    <n v="1.0529999999999999"/>
    <n v="12370"/>
    <n v="9.9499999999999993"/>
    <n v="2.4500000000000002"/>
    <n v="3.34"/>
    <s v="500 g"/>
    <n v="52.67"/>
    <n v="21.26"/>
    <n v="5.58"/>
    <n v="1322"/>
    <n v="1.76"/>
    <n v="1280.2950000000001"/>
    <n v="317.90899999999999"/>
    <n v="434.18699999999995"/>
    <n v="696.29740000000004"/>
    <n v="281.05720000000002"/>
    <n v="415.24020000000002"/>
    <x v="9"/>
    <n v="1.0527081649151173"/>
  </r>
  <r>
    <x v="10"/>
    <x v="1"/>
    <n v="11930"/>
    <n v="16.98"/>
    <n v="5.01"/>
    <n v="4.43"/>
    <n v="12599"/>
    <n v="1.056"/>
    <n v="11930"/>
    <n v="14"/>
    <n v="4.78"/>
    <n v="4.24"/>
    <s v="3 kg"/>
    <n v="58.67"/>
    <n v="30.89"/>
    <n v="5.36"/>
    <n v="1210"/>
    <n v="1"/>
    <n v="2025.7139999999999"/>
    <n v="597.69299999999998"/>
    <n v="528.49899999999991"/>
    <n v="709.90699999999993"/>
    <n v="373.76900000000001"/>
    <n v="336.13799999999992"/>
    <x v="2"/>
    <n v="1.0560771165129925"/>
  </r>
  <r>
    <x v="11"/>
    <x v="1"/>
    <n v="9440"/>
    <n v="15.69"/>
    <n v="4.8099999999999996"/>
    <n v="3.81"/>
    <n v="9634"/>
    <n v="1.0209999999999999"/>
    <n v="9440"/>
    <n v="12.55"/>
    <n v="4.58"/>
    <n v="3.62"/>
    <s v="barra"/>
    <n v="56.87"/>
    <n v="31.57"/>
    <n v="5.35"/>
    <n v="1071"/>
    <n v="1.93"/>
    <n v="1481.136"/>
    <n v="454.06399999999996"/>
    <n v="359.66399999999999"/>
    <n v="609.07769999999994"/>
    <n v="338.11470000000003"/>
    <n v="270.96299999999991"/>
    <x v="10"/>
    <n v="1.020550847457627"/>
  </r>
  <r>
    <x v="12"/>
    <x v="1"/>
    <n v="8950"/>
    <n v="16.04"/>
    <n v="5.05"/>
    <n v="4.0999999999999996"/>
    <n v="9227"/>
    <n v="1.0309999999999999"/>
    <n v="8950"/>
    <n v="13.17"/>
    <n v="4.82"/>
    <n v="3.91"/>
    <s v="500 g"/>
    <n v="58.45"/>
    <n v="29.43"/>
    <n v="5.74"/>
    <n v="832"/>
    <n v="1.61"/>
    <n v="1435.58"/>
    <n v="451.97500000000002"/>
    <n v="366.95"/>
    <n v="486.30400000000003"/>
    <n v="244.85759999999999"/>
    <n v="241.44640000000004"/>
    <x v="5"/>
    <n v="1.030949720670391"/>
  </r>
  <r>
    <x v="7"/>
    <x v="1"/>
    <n v="15310"/>
    <n v="13.17"/>
    <n v="4.7699999999999996"/>
    <n v="3.79"/>
    <n v="15709"/>
    <n v="1.026"/>
    <n v="15310"/>
    <n v="12.45"/>
    <n v="4.54"/>
    <n v="3.6"/>
    <s v="barra"/>
    <n v="57.45"/>
    <n v="30.59"/>
    <n v="5.2"/>
    <n v="1918"/>
    <n v="1.44"/>
    <n v="2016.3270000000002"/>
    <n v="730.28699999999992"/>
    <n v="580.24900000000002"/>
    <n v="1101.8910000000001"/>
    <n v="586.71620000000007"/>
    <n v="515.1748"/>
    <x v="7"/>
    <n v="1.0260613977792292"/>
  </r>
  <r>
    <x v="13"/>
    <x v="1"/>
    <n v="13970"/>
    <n v="13.5"/>
    <n v="4.53"/>
    <n v="3.73"/>
    <n v="14551"/>
    <n v="1.042"/>
    <n v="13970"/>
    <n v="11.78"/>
    <n v="4.3"/>
    <n v="3.54"/>
    <s v="3 kg"/>
    <n v="58.39"/>
    <n v="32.520000000000003"/>
    <n v="5.2"/>
    <n v="1732"/>
    <n v="1.29"/>
    <n v="1885.95"/>
    <n v="632.84100000000001"/>
    <n v="521.08100000000002"/>
    <n v="1011.3148"/>
    <n v="563.24640000000011"/>
    <n v="448.06839999999988"/>
    <x v="11"/>
    <n v="1.0415891195418754"/>
  </r>
  <r>
    <x v="14"/>
    <x v="2"/>
    <n v="7480"/>
    <n v="13.29"/>
    <n v="5.15"/>
    <n v="4.09"/>
    <n v="7704"/>
    <n v="1.03"/>
    <n v="7480"/>
    <n v="12.8"/>
    <n v="4.9000000000000004"/>
    <n v="3.89"/>
    <s v="barra"/>
    <n v="59.42"/>
    <n v="32.130000000000003"/>
    <n v="5.4"/>
    <n v="1062.4000000000001"/>
    <n v="1.31"/>
    <n v="994.09199999999998"/>
    <n v="385.22"/>
    <n v="305.93200000000002"/>
    <n v="631.27808000000005"/>
    <n v="341.34912000000003"/>
    <n v="289.92896000000002"/>
    <x v="0"/>
    <n v="1.0299465240641712"/>
  </r>
  <r>
    <x v="15"/>
    <x v="2"/>
    <n v="13650"/>
    <n v="14.22"/>
    <n v="5.45"/>
    <n v="4.3099999999999996"/>
    <n v="14132"/>
    <n v="1.0349999999999999"/>
    <n v="13650"/>
    <n v="13.61"/>
    <n v="5.2"/>
    <n v="4.1100000000000003"/>
    <s v="3 kg"/>
    <n v="52.65"/>
    <n v="28.8"/>
    <n v="5.44"/>
    <n v="2397"/>
    <n v="1.02"/>
    <n v="1941.03"/>
    <n v="743.92499999999995"/>
    <n v="588.31499999999994"/>
    <n v="1262.0205000000001"/>
    <n v="690.33600000000001"/>
    <n v="571.68450000000007"/>
    <x v="1"/>
    <n v="1.0353113553113553"/>
  </r>
  <r>
    <x v="16"/>
    <x v="2"/>
    <n v="9840"/>
    <n v="13.51"/>
    <n v="5.01"/>
    <n v="3.98"/>
    <n v="10154"/>
    <n v="1.032"/>
    <n v="9840"/>
    <n v="12.41"/>
    <n v="4.76"/>
    <n v="3.78"/>
    <s v="500 g"/>
    <n v="54.6"/>
    <n v="29.92"/>
    <n v="5.98"/>
    <n v="1439"/>
    <n v="1.79"/>
    <n v="1329.384"/>
    <n v="492.98400000000004"/>
    <n v="391.63199999999995"/>
    <n v="785.69400000000007"/>
    <n v="430.54880000000003"/>
    <n v="355.14520000000005"/>
    <x v="2"/>
    <n v="1.0319105691056911"/>
  </r>
  <r>
    <x v="17"/>
    <x v="2"/>
    <n v="14910"/>
    <n v="14.89"/>
    <n v="5.37"/>
    <n v="4.25"/>
    <n v="15397"/>
    <n v="1.0329999999999999"/>
    <n v="14910"/>
    <n v="13.47"/>
    <n v="5.12"/>
    <n v="4.05"/>
    <s v="barra"/>
    <n v="55.65"/>
    <n v="30.63"/>
    <n v="5.41"/>
    <n v="2414.3000000000002"/>
    <n v="1.1299999999999999"/>
    <n v="2220.0990000000002"/>
    <n v="800.66699999999992"/>
    <n v="633.67499999999995"/>
    <n v="1343.5579500000001"/>
    <n v="739.50009"/>
    <n v="604.05786000000012"/>
    <x v="10"/>
    <n v="1.0326626425217975"/>
  </r>
  <r>
    <x v="18"/>
    <x v="2"/>
    <n v="14210"/>
    <n v="13.94"/>
    <n v="5.35"/>
    <n v="4.07"/>
    <n v="14642"/>
    <n v="1.03"/>
    <n v="14210"/>
    <n v="12.99"/>
    <n v="5.0999999999999996"/>
    <n v="3.87"/>
    <s v="barra"/>
    <n v="54.46"/>
    <n v="30.55"/>
    <n v="5.42"/>
    <n v="2250"/>
    <n v="1.51"/>
    <n v="1980.874"/>
    <n v="760.23500000000001"/>
    <n v="578.34700000000009"/>
    <n v="1225.3499999999999"/>
    <n v="687.375"/>
    <n v="537.97499999999991"/>
    <x v="10"/>
    <n v="1.0304011259676285"/>
  </r>
  <r>
    <x v="19"/>
    <x v="2"/>
    <n v="14720"/>
    <n v="13.78"/>
    <n v="5.34"/>
    <n v="4.21"/>
    <n v="14708"/>
    <n v="0.999"/>
    <n v="14720"/>
    <n v="13.32"/>
    <n v="5.09"/>
    <n v="4.01"/>
    <s v="3 kg"/>
    <n v="54.95"/>
    <n v="30.28"/>
    <n v="5.36"/>
    <n v="2300"/>
    <n v="1.2"/>
    <n v="2028.4159999999997"/>
    <n v="786.048"/>
    <n v="619.71199999999999"/>
    <n v="1263.8499999999999"/>
    <n v="696.44"/>
    <n v="567.40999999999985"/>
    <x v="12"/>
    <n v="0.9991847826086957"/>
  </r>
  <r>
    <x v="19"/>
    <x v="2"/>
    <n v="13150"/>
    <n v="14.41"/>
    <n v="5.32"/>
    <n v="4.2699999999999996"/>
    <n v="14047"/>
    <n v="1.0680000000000001"/>
    <n v="13150"/>
    <n v="13.4"/>
    <n v="5.07"/>
    <n v="4.07"/>
    <s v="barra"/>
    <n v="56.72"/>
    <n v="30.6"/>
    <n v="5.44"/>
    <n v="2157"/>
    <n v="1.76"/>
    <n v="1894.915"/>
    <n v="699.58"/>
    <n v="561.50499999999988"/>
    <n v="1223.4503999999999"/>
    <n v="660.04199999999992"/>
    <n v="563.40840000000003"/>
    <x v="12"/>
    <n v="1.0682129277566539"/>
  </r>
  <r>
    <x v="20"/>
    <x v="2"/>
    <n v="12330"/>
    <n v="13.59"/>
    <n v="5.25"/>
    <n v="4.1900000000000004"/>
    <n v="12699"/>
    <n v="1.03"/>
    <n v="12330"/>
    <n v="13.33"/>
    <n v="5"/>
    <n v="3.99"/>
    <s v="barra"/>
    <n v="55.87"/>
    <n v="30.27"/>
    <n v="5.45"/>
    <n v="1909"/>
    <n v="1.48"/>
    <n v="1675.6470000000002"/>
    <n v="647.32500000000005"/>
    <n v="516.62700000000007"/>
    <n v="1066.5582999999999"/>
    <n v="577.85429999999997"/>
    <n v="488.70399999999995"/>
    <x v="11"/>
    <n v="1.0299270072992701"/>
  </r>
  <r>
    <x v="21"/>
    <x v="2"/>
    <n v="13190"/>
    <n v="13.45"/>
    <n v="5.35"/>
    <n v="4.2"/>
    <n v="13592"/>
    <n v="1.03"/>
    <n v="13190"/>
    <n v="13.38"/>
    <n v="5.0999999999999996"/>
    <n v="4"/>
    <s v="barra"/>
    <n v="55.76"/>
    <n v="31.02"/>
    <n v="5.46"/>
    <n v="2028"/>
    <n v="1.57"/>
    <n v="1774.0550000000001"/>
    <n v="705.66499999999996"/>
    <n v="553.98"/>
    <n v="1130.8127999999999"/>
    <n v="629.0856"/>
    <n v="501.72719999999993"/>
    <x v="9"/>
    <n v="1.0304776345716451"/>
  </r>
  <r>
    <x v="9"/>
    <x v="2"/>
    <n v="9730"/>
    <n v="13.66"/>
    <n v="4.91"/>
    <n v="3.88"/>
    <n v="10047"/>
    <n v="1.0329999999999999"/>
    <n v="9730"/>
    <n v="12.36"/>
    <n v="4.66"/>
    <n v="3.68"/>
    <s v="500 g"/>
    <n v="54.5"/>
    <n v="29.56"/>
    <n v="5.54"/>
    <n v="1438"/>
    <n v="1.77"/>
    <n v="1329.1179999999999"/>
    <n v="477.74300000000005"/>
    <n v="377.524"/>
    <n v="783.71"/>
    <n v="425.07279999999997"/>
    <n v="358.63720000000006"/>
    <x v="9"/>
    <n v="1.032579650565262"/>
  </r>
  <r>
    <x v="22"/>
    <x v="2"/>
    <n v="12160"/>
    <n v="13.66"/>
    <n v="5.22"/>
    <n v="4.12"/>
    <n v="12550"/>
    <n v="1.032"/>
    <n v="12160"/>
    <n v="12.93"/>
    <n v="4.97"/>
    <n v="3.92"/>
    <s v="3 kg"/>
    <n v="48.7"/>
    <n v="26.2"/>
    <n v="5.41"/>
    <n v="2234"/>
    <n v="1.26"/>
    <n v="1661.056"/>
    <n v="634.75199999999995"/>
    <n v="500.99200000000002"/>
    <n v="1087.9580000000001"/>
    <n v="585.30799999999999"/>
    <n v="502.65000000000009"/>
    <x v="13"/>
    <n v="1.0320723684210527"/>
  </r>
  <r>
    <x v="15"/>
    <x v="3"/>
    <n v="11860"/>
    <n v="14.99"/>
    <n v="6.16"/>
    <n v="4.79"/>
    <n v="12344"/>
    <n v="1.0409999999999999"/>
    <n v="11860"/>
    <n v="14.37"/>
    <n v="5.86"/>
    <n v="4.55"/>
    <s v="barra"/>
    <n v="57.6"/>
    <n v="31.99"/>
    <n v="5.42"/>
    <n v="2051"/>
    <m/>
    <n v="1777.8139999999999"/>
    <n v="730.57600000000002"/>
    <n v="568.09400000000005"/>
    <n v="1181.376"/>
    <n v="656.11489999999992"/>
    <n v="525.26110000000006"/>
    <x v="1"/>
    <n v="1.0408094435075885"/>
  </r>
  <r>
    <x v="2"/>
    <x v="3"/>
    <n v="13700"/>
    <n v="16.22"/>
    <n v="6.4"/>
    <n v="4.9800000000000004"/>
    <n v="14269"/>
    <n v="1.0409999999999999"/>
    <n v="13700"/>
    <n v="15.04"/>
    <n v="6.1"/>
    <n v="4.74"/>
    <s v="barra"/>
    <n v="53.78"/>
    <n v="29.85"/>
    <n v="5.42"/>
    <n v="2656"/>
    <n v="1.32"/>
    <n v="2222.14"/>
    <n v="876.8"/>
    <n v="682.26"/>
    <n v="1428.3968"/>
    <n v="792.81600000000003"/>
    <n v="635.58079999999995"/>
    <x v="2"/>
    <n v="1.0415328467153284"/>
  </r>
  <r>
    <x v="17"/>
    <x v="3"/>
    <n v="13750"/>
    <n v="16.329999999999998"/>
    <n v="6.38"/>
    <n v="5.08"/>
    <n v="14279"/>
    <n v="1.038"/>
    <n v="13750"/>
    <n v="15.23"/>
    <n v="6.08"/>
    <n v="4.84"/>
    <s v="barra"/>
    <n v="56.02"/>
    <n v="30.82"/>
    <n v="5.41"/>
    <n v="2540"/>
    <n v="1.44"/>
    <n v="2245.3749999999995"/>
    <n v="877.25"/>
    <n v="698.5"/>
    <n v="1422.9080000000001"/>
    <n v="782.82799999999997"/>
    <n v="640.08000000000015"/>
    <x v="10"/>
    <n v="1.0384727272727272"/>
  </r>
  <r>
    <x v="23"/>
    <x v="3"/>
    <n v="10580"/>
    <n v="14.84"/>
    <n v="6.38"/>
    <n v="5.04"/>
    <n v="10994"/>
    <n v="1.0389999999999999"/>
    <n v="10580"/>
    <n v="14.85"/>
    <n v="6.08"/>
    <n v="4.8"/>
    <s v="barra"/>
    <n v="56.45"/>
    <n v="31"/>
    <n v="5.38"/>
    <n v="1951"/>
    <n v="1.56"/>
    <n v="1570.0720000000001"/>
    <n v="675.00399999999991"/>
    <n v="533.23199999999997"/>
    <n v="1101.3395"/>
    <n v="604.80999999999995"/>
    <n v="496.5295000000001"/>
    <x v="4"/>
    <n v="1.0391304347826087"/>
  </r>
  <r>
    <x v="6"/>
    <x v="3"/>
    <n v="11680"/>
    <n v="16.309999999999999"/>
    <n v="6.42"/>
    <n v="5.15"/>
    <n v="12115"/>
    <n v="1.0369999999999999"/>
    <n v="11680"/>
    <n v="15.18"/>
    <n v="6.12"/>
    <n v="4.91"/>
    <s v="barra"/>
    <n v="54.84"/>
    <n v="30.07"/>
    <n v="5.46"/>
    <n v="2244"/>
    <n v="0.96"/>
    <n v="1905.0079999999998"/>
    <n v="749.85600000000011"/>
    <n v="601.5200000000001"/>
    <n v="1230.6096"/>
    <n v="674.77080000000001"/>
    <n v="555.83879999999999"/>
    <x v="6"/>
    <n v="1.0372431506849316"/>
  </r>
  <r>
    <x v="8"/>
    <x v="3"/>
    <n v="11750"/>
    <n v="14.51"/>
    <n v="5.66"/>
    <n v="4.58"/>
    <n v="12171"/>
    <n v="1.036"/>
    <n v="11750"/>
    <n v="13.61"/>
    <n v="5.36"/>
    <n v="4.34"/>
    <s v="barra"/>
    <n v="54.55"/>
    <n v="30.25"/>
    <n v="5.24"/>
    <n v="2002"/>
    <n v="1.67"/>
    <n v="1704.925"/>
    <n v="665.05"/>
    <n v="538.15"/>
    <n v="1092.0909999999999"/>
    <n v="605.60500000000002"/>
    <n v="486.48599999999988"/>
    <x v="8"/>
    <n v="1.0358297872340425"/>
  </r>
  <r>
    <x v="20"/>
    <x v="3"/>
    <n v="10850"/>
    <n v="15.19"/>
    <n v="5.95"/>
    <n v="4.8"/>
    <n v="11253"/>
    <n v="1.0369999999999999"/>
    <n v="10850"/>
    <n v="14.05"/>
    <n v="5.65"/>
    <n v="4.5599999999999996"/>
    <s v="barra"/>
    <n v="57.95"/>
    <n v="31.6"/>
    <n v="5.5"/>
    <n v="1857"/>
    <n v="1.35"/>
    <n v="1648.115"/>
    <n v="645.57500000000005"/>
    <n v="520.79999999999995"/>
    <n v="1076.1315000000002"/>
    <n v="586.81200000000001"/>
    <n v="489.31950000000018"/>
    <x v="11"/>
    <n v="1.0371428571428571"/>
  </r>
  <r>
    <x v="13"/>
    <x v="3"/>
    <n v="10890"/>
    <n v="17.989999999999998"/>
    <n v="6.91"/>
    <n v="5.5"/>
    <n v="11288"/>
    <n v="1.0369999999999999"/>
    <n v="10890"/>
    <n v="16.260000000000002"/>
    <n v="6.61"/>
    <n v="5.26"/>
    <s v="barra"/>
    <n v="56.88"/>
    <n v="31.59"/>
    <n v="5.37"/>
    <n v="2193"/>
    <n v="1.34"/>
    <n v="1959.1109999999999"/>
    <n v="752.49900000000014"/>
    <n v="598.95000000000005"/>
    <n v="1247.3784000000001"/>
    <n v="692.76869999999997"/>
    <n v="554.60970000000009"/>
    <x v="11"/>
    <n v="1.0365472910927456"/>
  </r>
  <r>
    <x v="13"/>
    <x v="3"/>
    <n v="10880"/>
    <n v="16.53"/>
    <n v="6.07"/>
    <n v="4.6500000000000004"/>
    <n v="11275"/>
    <n v="1.036"/>
    <n v="10880"/>
    <n v="14.16"/>
    <n v="5.77"/>
    <n v="4.41"/>
    <s v="barra"/>
    <n v="56.25"/>
    <n v="30.87"/>
    <n v="5.39"/>
    <n v="1925"/>
    <n v="1.4"/>
    <n v="1798.4640000000002"/>
    <n v="660.41600000000005"/>
    <n v="505.92000000000007"/>
    <n v="1082.8125"/>
    <n v="594.24749999999995"/>
    <n v="488.56500000000005"/>
    <x v="11"/>
    <n v="1.0363051470588236"/>
  </r>
  <r>
    <x v="24"/>
    <x v="3"/>
    <n v="11980"/>
    <n v="16.510000000000002"/>
    <n v="6.4"/>
    <n v="5.19"/>
    <n v="12425"/>
    <n v="1.0369999999999999"/>
    <n v="11980"/>
    <n v="15.1"/>
    <n v="6.1"/>
    <n v="4.95"/>
    <s v="barra"/>
    <n v="57.99"/>
    <n v="32.06"/>
    <n v="5.39"/>
    <n v="2195"/>
    <n v="1.2"/>
    <n v="1977.8980000000001"/>
    <n v="766.72"/>
    <n v="621.76200000000006"/>
    <n v="1272.8805"/>
    <n v="703.7170000000001"/>
    <n v="569.16349999999989"/>
    <x v="9"/>
    <n v="1.0371452420701168"/>
  </r>
  <r>
    <x v="1"/>
    <x v="4"/>
    <n v="15350"/>
    <n v="12.542"/>
    <n v="4.2"/>
    <n v="3.0760000000000001"/>
    <n v="15811"/>
    <n v="1.03"/>
    <n v="15350"/>
    <n v="11.37"/>
    <n v="4.01"/>
    <n v="2.94"/>
    <s v="barra"/>
    <n v="55.94"/>
    <n v="29.5"/>
    <n v="5.41"/>
    <n v="1960"/>
    <n v="1.55"/>
    <n v="1925.1970000000001"/>
    <n v="644.70000000000005"/>
    <n v="472.166"/>
    <n v="1096.424"/>
    <n v="578.20000000000005"/>
    <n v="518.22399999999993"/>
    <x v="1"/>
    <n v="1.0300325732899023"/>
  </r>
  <r>
    <x v="15"/>
    <x v="4"/>
    <n v="14530"/>
    <n v="13.311999999999999"/>
    <n v="4.0019999999999998"/>
    <n v="3.673"/>
    <n v="14990"/>
    <n v="1.032"/>
    <n v="14530"/>
    <n v="13.25"/>
    <n v="3.79"/>
    <n v="3.45"/>
    <s v="barra"/>
    <n v="54.58"/>
    <n v="29.8"/>
    <n v="5.88"/>
    <n v="1888"/>
    <n v="1.77"/>
    <n v="1934.2335999999998"/>
    <n v="581.49059999999997"/>
    <n v="533.68690000000004"/>
    <n v="1030.4703999999999"/>
    <n v="562.62400000000002"/>
    <n v="467.8463999999999"/>
    <x v="1"/>
    <n v="1.0316586373021335"/>
  </r>
  <r>
    <x v="25"/>
    <x v="4"/>
    <n v="12633"/>
    <n v="12.856"/>
    <n v="3.8889999999999998"/>
    <n v="3.3719999999999999"/>
    <n v="13012"/>
    <n v="1.03"/>
    <n v="12633"/>
    <n v="12.89"/>
    <n v="3.69"/>
    <n v="3.21"/>
    <s v="barra"/>
    <n v="54.1"/>
    <n v="30.63"/>
    <n v="5.48"/>
    <n v="1555"/>
    <n v="1.32"/>
    <n v="1624.0984799999999"/>
    <n v="491.29736999999994"/>
    <n v="425.98475999999994"/>
    <n v="841.255"/>
    <n v="476.29650000000004"/>
    <n v="364.95849999999996"/>
    <x v="14"/>
    <n v="1.0300007915776141"/>
  </r>
  <r>
    <x v="26"/>
    <x v="4"/>
    <n v="15430"/>
    <n v="13.151"/>
    <n v="3.8860000000000001"/>
    <n v="3.218"/>
    <n v="15947"/>
    <n v="1.0329999999999999"/>
    <n v="15430"/>
    <n v="11.88"/>
    <n v="3.71"/>
    <n v="3.02"/>
    <s v="barra"/>
    <n v="56.76"/>
    <n v="30.51"/>
    <n v="5.36"/>
    <n v="1750"/>
    <n v="1.36"/>
    <n v="2029.1993"/>
    <n v="599.60980000000006"/>
    <n v="496.53739999999999"/>
    <n v="993.3"/>
    <n v="533.92499999999995"/>
    <n v="459.375"/>
    <x v="3"/>
    <n v="1.0335061568373298"/>
  </r>
  <r>
    <x v="23"/>
    <x v="4"/>
    <n v="15930"/>
    <n v="13.103"/>
    <n v="4.0220000000000002"/>
    <n v="3.3959999999999999"/>
    <n v="16453"/>
    <n v="1.0329999999999999"/>
    <n v="15930"/>
    <n v="11.93"/>
    <n v="3.81"/>
    <n v="3.23"/>
    <s v="barra"/>
    <n v="55.63"/>
    <n v="30.01"/>
    <n v="5.31"/>
    <n v="1955"/>
    <n v="1.9"/>
    <n v="2087.3079000000002"/>
    <n v="640.70460000000003"/>
    <n v="540.9828"/>
    <n v="1087.5665000000001"/>
    <n v="586.69550000000004"/>
    <n v="500.87100000000009"/>
    <x v="4"/>
    <n v="1.0328311362209668"/>
  </r>
  <r>
    <x v="27"/>
    <x v="4"/>
    <n v="14130"/>
    <n v="13.323"/>
    <n v="4.01"/>
    <n v="3.496"/>
    <n v="14585"/>
    <n v="1.032"/>
    <n v="14130"/>
    <n v="12.55"/>
    <n v="3.84"/>
    <n v="3.32"/>
    <s v="barra"/>
    <n v="55.68"/>
    <n v="29.31"/>
    <n v="5.43"/>
    <n v="1640"/>
    <n v="1.17"/>
    <n v="1882.5399000000002"/>
    <n v="566.61299999999994"/>
    <n v="493.98480000000001"/>
    <n v="913.15199999999993"/>
    <n v="480.68400000000003"/>
    <n v="432.4679999999999"/>
    <x v="5"/>
    <n v="1.0322009907997169"/>
  </r>
  <r>
    <x v="28"/>
    <x v="4"/>
    <n v="13990"/>
    <n v="12.506"/>
    <n v="3.8809999999999998"/>
    <n v="3.266"/>
    <n v="14382"/>
    <n v="1.028"/>
    <n v="13990"/>
    <n v="11.61"/>
    <n v="3.69"/>
    <n v="3.08"/>
    <s v="barra"/>
    <n v="54.13"/>
    <n v="29.34"/>
    <n v="5.46"/>
    <n v="1580"/>
    <n v="1.59"/>
    <n v="1749.5894000000001"/>
    <n v="542.95189999999991"/>
    <n v="456.91340000000002"/>
    <n v="855.25400000000013"/>
    <n v="463.57199999999995"/>
    <n v="391.68200000000019"/>
    <x v="6"/>
    <n v="1.0280200142959257"/>
  </r>
  <r>
    <x v="29"/>
    <x v="4"/>
    <n v="13870"/>
    <n v="13.763"/>
    <n v="4.1920000000000002"/>
    <n v="3.5870000000000002"/>
    <n v="14315"/>
    <n v="1.032"/>
    <n v="13870"/>
    <n v="13.96"/>
    <n v="3.96"/>
    <n v="3.44"/>
    <s v="barra"/>
    <n v="54.77"/>
    <n v="28.5"/>
    <n v="5.35"/>
    <n v="1806"/>
    <n v="1.25"/>
    <n v="1908.9281000000001"/>
    <n v="581.43039999999996"/>
    <n v="497.51690000000002"/>
    <n v="989.14620000000014"/>
    <n v="514.71"/>
    <n v="474.4362000000001"/>
    <x v="8"/>
    <n v="1.0320836337418891"/>
  </r>
  <r>
    <x v="30"/>
    <x v="4"/>
    <n v="13470"/>
    <n v="13.234999999999999"/>
    <n v="4.3600000000000003"/>
    <n v="3.1869999999999998"/>
    <n v="13890"/>
    <n v="1.0309999999999999"/>
    <n v="13470"/>
    <n v="11.41"/>
    <n v="4.13"/>
    <n v="3.09"/>
    <s v="barra"/>
    <n v="54.85"/>
    <n v="30.05"/>
    <n v="5.4"/>
    <n v="1680"/>
    <n v="1.25"/>
    <n v="1782.7544999999998"/>
    <n v="587.29200000000003"/>
    <n v="429.28890000000001"/>
    <n v="921.48"/>
    <n v="504.84"/>
    <n v="416.64000000000004"/>
    <x v="12"/>
    <n v="1.03118040089086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4FA9A-F2B6-421C-9331-9DB7EBCD432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5" firstHeaderRow="1" firstDataRow="1" firstDataCol="1" rowPageCount="1" colPageCount="1"/>
  <pivotFields count="31">
    <pivotField numFmtId="14" showAll="0">
      <items count="33">
        <item x="0"/>
        <item x="14"/>
        <item x="1"/>
        <item x="15"/>
        <item x="2"/>
        <item x="16"/>
        <item x="10"/>
        <item x="17"/>
        <item x="11"/>
        <item x="18"/>
        <item x="25"/>
        <item x="3"/>
        <item x="26"/>
        <item x="4"/>
        <item x="23"/>
        <item x="5"/>
        <item x="12"/>
        <item x="27"/>
        <item x="6"/>
        <item x="28"/>
        <item x="7"/>
        <item x="29"/>
        <item x="8"/>
        <item x="19"/>
        <item x="30"/>
        <item x="20"/>
        <item x="13"/>
        <item m="1" x="31"/>
        <item x="21"/>
        <item x="9"/>
        <item x="24"/>
        <item x="22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0"/>
        <item x="1"/>
        <item x="2"/>
        <item x="10"/>
        <item x="14"/>
        <item x="3"/>
        <item x="4"/>
        <item x="5"/>
        <item x="6"/>
        <item x="7"/>
        <item x="8"/>
        <item x="12"/>
        <item x="11"/>
        <item x="9"/>
        <item x="1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3">
        <item x="0"/>
        <item x="1"/>
        <item x="2"/>
      </items>
    </pivotField>
  </pivotFields>
  <rowFields count="2">
    <field x="29"/>
    <field x="24"/>
  </rowFields>
  <rowItems count="12">
    <i>
      <x v="2"/>
    </i>
    <i r="1">
      <x/>
    </i>
    <i>
      <x v="3"/>
    </i>
    <i r="1">
      <x v="1"/>
    </i>
    <i r="1">
      <x v="2"/>
    </i>
    <i r="1">
      <x v="3"/>
    </i>
    <i>
      <x v="5"/>
    </i>
    <i r="1">
      <x v="11"/>
    </i>
    <i r="1">
      <x v="12"/>
    </i>
    <i r="1">
      <x v="13"/>
    </i>
    <i r="1">
      <x v="14"/>
    </i>
    <i t="grand">
      <x/>
    </i>
  </rowItems>
  <colItems count="1">
    <i/>
  </colItems>
  <pageFields count="1">
    <pageField fld="1" item="2" hier="-1"/>
  </pageFields>
  <dataFields count="1">
    <dataField name="Promedio de dens_cuba" fld="7" subtotal="average" baseField="29" baseItem="2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C14DA-93E8-4457-97B2-DA3497AE7253}" name="TablaDinámica1" cacheId="0" applyNumberFormats="0" applyBorderFormats="0" applyFontFormats="0" applyPatternFormats="0" applyAlignmentFormats="0" applyWidthHeightFormats="1" dataCaption="Valores" showError="1" updatedVersion="8" minRefreshableVersion="3" showDrill="0" itemPrintTitles="1" createdVersion="8" indent="0" showHeaders="0" outline="1" outlineData="1" multipleFieldFilters="0" chartFormat="4">
  <location ref="A3:C22" firstHeaderRow="0" firstDataRow="1" firstDataCol="1" rowPageCount="1" colPageCount="1"/>
  <pivotFields count="31">
    <pivotField numFmtId="14" showAll="0">
      <items count="33">
        <item x="0"/>
        <item x="14"/>
        <item x="1"/>
        <item x="15"/>
        <item x="2"/>
        <item x="16"/>
        <item x="10"/>
        <item x="17"/>
        <item x="11"/>
        <item x="18"/>
        <item x="25"/>
        <item x="3"/>
        <item x="26"/>
        <item x="4"/>
        <item x="23"/>
        <item x="5"/>
        <item x="12"/>
        <item x="27"/>
        <item x="6"/>
        <item x="28"/>
        <item x="7"/>
        <item x="29"/>
        <item x="8"/>
        <item x="19"/>
        <item x="30"/>
        <item x="20"/>
        <item x="13"/>
        <item x="21"/>
        <item x="9"/>
        <item x="24"/>
        <item x="22"/>
        <item m="1" x="31"/>
        <item t="default"/>
      </items>
    </pivotField>
    <pivotField axis="axisPage" multipleItemSelectionAllowed="1" showAll="0">
      <items count="6">
        <item x="0"/>
        <item h="1" x="1"/>
        <item h="1" x="2"/>
        <item h="1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0"/>
        <item x="1"/>
        <item x="2"/>
        <item x="10"/>
        <item x="14"/>
        <item x="3"/>
        <item x="4"/>
        <item x="5"/>
        <item x="6"/>
        <item x="7"/>
        <item x="8"/>
        <item x="12"/>
        <item x="11"/>
        <item x="9"/>
        <item x="13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30"/>
    <field x="29"/>
    <field x="24"/>
  </rowFields>
  <rowItems count="19">
    <i>
      <x v="1"/>
    </i>
    <i r="1">
      <x v="2"/>
    </i>
    <i r="2">
      <x/>
    </i>
    <i r="1">
      <x v="3"/>
    </i>
    <i r="2">
      <x v="1"/>
    </i>
    <i r="2">
      <x v="2"/>
    </i>
    <i r="2">
      <x v="4"/>
    </i>
    <i r="2">
      <x v="5"/>
    </i>
    <i r="1">
      <x v="4"/>
    </i>
    <i r="2">
      <x v="5"/>
    </i>
    <i r="2">
      <x v="6"/>
    </i>
    <i r="2">
      <x v="7"/>
    </i>
    <i r="2">
      <x v="8"/>
    </i>
    <i r="2">
      <x v="9"/>
    </i>
    <i r="1">
      <x v="5"/>
    </i>
    <i r="2">
      <x v="10"/>
    </i>
    <i r="2">
      <x v="11"/>
    </i>
    <i r="2"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oef recup mg" fld="26" baseField="0" baseItem="1" numFmtId="164"/>
    <dataField name="coef  recup mp" fld="27" baseField="0" baseItem="1" numFmtId="164"/>
  </dataFields>
  <formats count="3"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93EB6-A148-4F59-BB01-DC54A5F356E9}" name="TablaDinámica1" cacheId="0" applyNumberFormats="0" applyBorderFormats="0" applyFontFormats="0" applyPatternFormats="0" applyAlignmentFormats="0" applyWidthHeightFormats="1" dataCaption="Valores" showError="1" updatedVersion="8" minRefreshableVersion="3" showDrill="0" itemPrintTitles="1" createdVersion="8" indent="0" showHeaders="0" outline="1" outlineData="1" multipleFieldFilters="0" chartFormat="5">
  <location ref="A3:C16" firstHeaderRow="0" firstDataRow="1" firstDataCol="1" rowPageCount="1" colPageCount="1"/>
  <pivotFields count="31">
    <pivotField numFmtId="14" showAll="0">
      <items count="33">
        <item x="0"/>
        <item x="14"/>
        <item x="1"/>
        <item x="15"/>
        <item x="2"/>
        <item x="16"/>
        <item x="10"/>
        <item x="17"/>
        <item x="11"/>
        <item x="18"/>
        <item x="25"/>
        <item x="3"/>
        <item x="26"/>
        <item x="4"/>
        <item x="23"/>
        <item x="5"/>
        <item x="12"/>
        <item x="27"/>
        <item x="6"/>
        <item x="28"/>
        <item x="7"/>
        <item x="29"/>
        <item x="8"/>
        <item x="19"/>
        <item x="30"/>
        <item x="20"/>
        <item x="13"/>
        <item x="21"/>
        <item x="9"/>
        <item x="24"/>
        <item x="22"/>
        <item m="1" x="31"/>
        <item t="default"/>
      </items>
    </pivotField>
    <pivotField axis="axisPage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0"/>
        <item x="1"/>
        <item x="2"/>
        <item x="10"/>
        <item x="14"/>
        <item x="3"/>
        <item x="4"/>
        <item x="5"/>
        <item x="6"/>
        <item x="7"/>
        <item x="8"/>
        <item x="12"/>
        <item x="11"/>
        <item x="9"/>
        <item x="13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30"/>
    <field x="29"/>
    <field x="24"/>
  </rowFields>
  <rowItems count="13">
    <i>
      <x v="1"/>
    </i>
    <i r="1">
      <x v="2"/>
    </i>
    <i r="2">
      <x/>
    </i>
    <i r="1">
      <x v="3"/>
    </i>
    <i r="2">
      <x v="1"/>
    </i>
    <i r="2">
      <x v="2"/>
    </i>
    <i r="2">
      <x v="3"/>
    </i>
    <i r="1">
      <x v="5"/>
    </i>
    <i r="2">
      <x v="11"/>
    </i>
    <i r="2">
      <x v="12"/>
    </i>
    <i r="2">
      <x v="13"/>
    </i>
    <i r="2">
      <x v="1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oef recup mg" fld="26" baseField="0" baseItem="1" numFmtId="164"/>
    <dataField name="coef  recup mp" fld="27" baseField="0" baseItem="1" numFmtId="164"/>
  </dataFields>
  <formats count="3"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1340A-3564-414C-ACF4-66C1F2EFD181}" name="TablaDinámica1" cacheId="0" applyNumberFormats="0" applyBorderFormats="0" applyFontFormats="0" applyPatternFormats="0" applyAlignmentFormats="0" applyWidthHeightFormats="1" dataCaption="Valores" showError="1" updatedVersion="8" minRefreshableVersion="3" showDrill="0" itemPrintTitles="1" createdVersion="8" indent="0" showHeaders="0" outline="1" outlineData="1" multipleFieldFilters="0" chartFormat="6">
  <location ref="A3:C16" firstHeaderRow="0" firstDataRow="1" firstDataCol="1" rowPageCount="1" colPageCount="1"/>
  <pivotFields count="31">
    <pivotField numFmtId="14" showAll="0">
      <items count="33">
        <item x="0"/>
        <item x="14"/>
        <item x="1"/>
        <item x="15"/>
        <item x="2"/>
        <item x="16"/>
        <item x="10"/>
        <item x="17"/>
        <item x="11"/>
        <item x="18"/>
        <item x="25"/>
        <item x="3"/>
        <item x="26"/>
        <item x="4"/>
        <item x="23"/>
        <item x="5"/>
        <item x="12"/>
        <item x="27"/>
        <item x="6"/>
        <item x="28"/>
        <item x="7"/>
        <item x="29"/>
        <item x="8"/>
        <item x="19"/>
        <item x="30"/>
        <item x="20"/>
        <item x="13"/>
        <item x="21"/>
        <item x="9"/>
        <item x="24"/>
        <item x="22"/>
        <item m="1" x="31"/>
        <item t="default"/>
      </items>
    </pivotField>
    <pivotField axis="axisPage" multipleItemSelectionAllowed="1" showAll="0">
      <items count="6">
        <item h="1" x="0"/>
        <item h="1" x="1"/>
        <item h="1"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0"/>
        <item x="1"/>
        <item x="2"/>
        <item x="10"/>
        <item x="14"/>
        <item x="3"/>
        <item x="4"/>
        <item x="5"/>
        <item x="6"/>
        <item x="7"/>
        <item x="8"/>
        <item x="12"/>
        <item x="11"/>
        <item x="9"/>
        <item x="13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30"/>
    <field x="29"/>
    <field x="24"/>
  </rowFields>
  <rowItems count="13">
    <i>
      <x v="1"/>
    </i>
    <i r="1">
      <x v="3"/>
    </i>
    <i r="2">
      <x v="1"/>
    </i>
    <i r="2">
      <x v="2"/>
    </i>
    <i r="2">
      <x v="3"/>
    </i>
    <i r="1">
      <x v="4"/>
    </i>
    <i r="2">
      <x v="6"/>
    </i>
    <i r="2">
      <x v="8"/>
    </i>
    <i r="1">
      <x v="5"/>
    </i>
    <i r="2">
      <x v="10"/>
    </i>
    <i r="2">
      <x v="12"/>
    </i>
    <i r="2"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oef recup mg" fld="26" baseField="0" baseItem="1" numFmtId="164"/>
    <dataField name="coef  recup mp" fld="27" baseField="0" baseItem="1" numFmtId="164"/>
  </dataFields>
  <formats count="3"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FF337-3A4D-4299-8C38-839994D759DE}" name="Tabla1" displayName="Tabla1" ref="A1:X46" totalsRowShown="0">
  <autoFilter ref="A1:X46" xr:uid="{262FF337-3A4D-4299-8C38-839994D759DE}"/>
  <tableColumns count="24">
    <tableColumn id="1" xr3:uid="{8AC33B3B-E412-4202-958B-5D8E85EBDD81}" name="fecha" dataDxfId="17"/>
    <tableColumn id="2" xr3:uid="{D1EF560E-205B-4BBA-929F-DE3A78025710}" name="receta"/>
    <tableColumn id="3" xr3:uid="{AFB7DCEB-2436-439A-9F29-6A7A28B1C5AB}" name="litros_past"/>
    <tableColumn id="4" xr3:uid="{7F76FDB3-3D8C-452E-81A8-99889C899907}" name="est_past"/>
    <tableColumn id="5" xr3:uid="{38A4A279-7280-419F-8359-B6FE1BBECD05}" name="mg_past"/>
    <tableColumn id="6" xr3:uid="{ECC243D9-44AC-4E39-A370-06F6F92C67DC}" name="mp_past"/>
    <tableColumn id="7" xr3:uid="{B3949886-901D-42E3-B6E1-370C2060A463}" name="kg_cuba"/>
    <tableColumn id="8" xr3:uid="{03447032-124D-4550-8388-8B29DAFB4656}" name="dens_cuba" dataDxfId="16"/>
    <tableColumn id="10" xr3:uid="{DBF1BA18-52EB-462F-92B1-14B61E63489D}" name="est_cuba"/>
    <tableColumn id="11" xr3:uid="{006077DF-22A8-4EF6-9C11-9C52B8A4EB6B}" name="mg_cuba"/>
    <tableColumn id="12" xr3:uid="{0DE50DBD-0E29-4E48-8260-74ECFF948784}" name="mp_cuba"/>
    <tableColumn id="13" xr3:uid="{615030FB-6DF3-46BF-B50B-341A58059C0D}" name="formato"/>
    <tableColumn id="14" xr3:uid="{46A9D642-FF53-4FDF-B087-C234314DA54A}" name="est_salida_salmuera"/>
    <tableColumn id="15" xr3:uid="{BC8EE4F8-83B1-4225-BDDF-7D762E9F99DA}" name="mg_salida_salmuera"/>
    <tableColumn id="16" xr3:uid="{C1123D60-8BB8-450F-960C-73C409ADDBE0}" name="ph_salida_salmuera"/>
    <tableColumn id="44" xr3:uid="{CEFA638F-8BB8-4219-AED1-72485D0F3FA0}" name="peso_queso_total"/>
    <tableColumn id="43" xr3:uid="{F09CD882-8288-4113-8E25-63A928AD9ABB}" name="sal_queso"/>
    <tableColumn id="17" xr3:uid="{0CAA2358-A593-48A6-BA64-3DC875DFEA60}" name="est_kg_cuba" dataDxfId="15">
      <calculatedColumnFormula>Tabla1[[#This Row],[est_past]]*Tabla1[[#This Row],[litros_past]]/100</calculatedColumnFormula>
    </tableColumn>
    <tableColumn id="18" xr3:uid="{6ED23833-8FF5-4139-8146-6BDCB16BFBDF}" name="mg_kg_cuba" dataDxfId="14">
      <calculatedColumnFormula>Tabla1[[#This Row],[mg_past]]*Tabla1[[#This Row],[litros_past]]/100</calculatedColumnFormula>
    </tableColumn>
    <tableColumn id="19" xr3:uid="{E5134140-5624-413D-858A-643A1A49ECC5}" name="mp_kg_cuba" dataDxfId="13">
      <calculatedColumnFormula>Tabla1[[#This Row],[mp_past]]*Tabla1[[#This Row],[litros_past]]/100</calculatedColumnFormula>
    </tableColumn>
    <tableColumn id="20" xr3:uid="{F5931655-6B22-4D64-B01F-886346436C72}" name="est_kg_queso" dataDxfId="12">
      <calculatedColumnFormula>Tabla1[[#This Row],[est_salida_salmuera]]*Tabla1[[#This Row],[peso_queso_total]]/100</calculatedColumnFormula>
    </tableColumn>
    <tableColumn id="21" xr3:uid="{61B1D0DB-2291-4388-9B30-06AAECA9400D}" name="mg_kg_queso" dataDxfId="11">
      <calculatedColumnFormula>Tabla1[[#This Row],[mg_salida_salmuera]]*Tabla1[[#This Row],[peso_queso_total]]/100</calculatedColumnFormula>
    </tableColumn>
    <tableColumn id="22" xr3:uid="{03726673-4D9D-4F1D-A8B9-2563B0267330}" name="esm_kg_queso" dataDxfId="10">
      <calculatedColumnFormula>(Tabla1[[#This Row],[est_kg_queso]]-Tabla1[[#This Row],[mg_kg_queso]])</calculatedColumnFormula>
    </tableColumn>
    <tableColumn id="23" xr3:uid="{80225C17-32BA-4E21-B7C8-90209AA1167A}" name="semana" dataDxfId="9">
      <calculatedColumnFormula>_xlfn.ISOWEEKNUM(Tabla1[[#This Row],[fecha]])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1B0D-ACF3-44C5-BA2C-1120271E021F}">
  <dimension ref="A1:X46"/>
  <sheetViews>
    <sheetView tabSelected="1" workbookViewId="0">
      <selection activeCell="A2" sqref="A2"/>
    </sheetView>
  </sheetViews>
  <sheetFormatPr baseColWidth="10" defaultRowHeight="15" x14ac:dyDescent="0.25"/>
  <cols>
    <col min="3" max="3" width="12.5703125" customWidth="1"/>
    <col min="11" max="11" width="21.28515625" customWidth="1"/>
    <col min="12" max="12" width="21.140625" customWidth="1"/>
    <col min="13" max="13" width="20.7109375" customWidth="1"/>
    <col min="14" max="14" width="19" customWidth="1"/>
    <col min="15" max="17" width="12.140625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36</v>
      </c>
    </row>
    <row r="2" spans="1:24" x14ac:dyDescent="0.25">
      <c r="A2" s="1">
        <v>44615</v>
      </c>
      <c r="B2" t="s">
        <v>16</v>
      </c>
      <c r="C2">
        <v>12380</v>
      </c>
      <c r="D2">
        <v>10.76</v>
      </c>
      <c r="E2">
        <v>2.58</v>
      </c>
      <c r="F2">
        <v>3.55</v>
      </c>
      <c r="G2">
        <v>12861</v>
      </c>
      <c r="H2" s="8">
        <v>1.0389999999999999</v>
      </c>
      <c r="I2">
        <v>10.28</v>
      </c>
      <c r="J2">
        <v>2.46</v>
      </c>
      <c r="K2">
        <v>3.38</v>
      </c>
      <c r="L2" t="s">
        <v>17</v>
      </c>
      <c r="M2">
        <v>50.85</v>
      </c>
      <c r="N2">
        <v>20.34</v>
      </c>
      <c r="O2">
        <v>5.44</v>
      </c>
      <c r="P2">
        <v>1419.3</v>
      </c>
      <c r="Q2">
        <v>1.47</v>
      </c>
      <c r="R2">
        <f>Tabla1[[#This Row],[est_past]]*Tabla1[[#This Row],[litros_past]]/100</f>
        <v>1332.088</v>
      </c>
      <c r="S2">
        <f>Tabla1[[#This Row],[mg_past]]*Tabla1[[#This Row],[litros_past]]/100</f>
        <v>319.404</v>
      </c>
      <c r="T2">
        <f>Tabla1[[#This Row],[mp_past]]*Tabla1[[#This Row],[litros_past]]/100</f>
        <v>439.49</v>
      </c>
      <c r="U2">
        <f>Tabla1[[#This Row],[est_salida_salmuera]]*Tabla1[[#This Row],[peso_queso_total]]/100</f>
        <v>721.71405000000004</v>
      </c>
      <c r="V2">
        <f>Tabla1[[#This Row],[mg_salida_salmuera]]*Tabla1[[#This Row],[peso_queso_total]]/100</f>
        <v>288.68561999999997</v>
      </c>
      <c r="W2">
        <f>(Tabla1[[#This Row],[est_kg_queso]]-Tabla1[[#This Row],[mg_kg_queso]])</f>
        <v>433.02843000000007</v>
      </c>
      <c r="X2">
        <f>_xlfn.ISOWEEKNUM(Tabla1[[#This Row],[fecha]])</f>
        <v>8</v>
      </c>
    </row>
    <row r="3" spans="1:24" x14ac:dyDescent="0.25">
      <c r="A3" s="1">
        <v>44621</v>
      </c>
      <c r="B3" t="s">
        <v>16</v>
      </c>
      <c r="C3">
        <v>13325</v>
      </c>
      <c r="D3">
        <v>11.09</v>
      </c>
      <c r="E3">
        <v>2.59</v>
      </c>
      <c r="F3">
        <v>3.6</v>
      </c>
      <c r="G3">
        <v>13867</v>
      </c>
      <c r="H3" s="8">
        <v>1.0409999999999999</v>
      </c>
      <c r="I3">
        <v>10.41</v>
      </c>
      <c r="J3">
        <v>2.4700000000000002</v>
      </c>
      <c r="K3">
        <v>3.43</v>
      </c>
      <c r="L3" t="s">
        <v>18</v>
      </c>
      <c r="M3">
        <v>52.1</v>
      </c>
      <c r="N3">
        <v>21.15</v>
      </c>
      <c r="O3">
        <v>5.34</v>
      </c>
      <c r="P3">
        <v>1536</v>
      </c>
      <c r="Q3">
        <v>1.17</v>
      </c>
      <c r="R3">
        <f>Tabla1[[#This Row],[est_past]]*Tabla1[[#This Row],[litros_past]]/100</f>
        <v>1477.7425000000001</v>
      </c>
      <c r="S3">
        <f>Tabla1[[#This Row],[mg_past]]*Tabla1[[#This Row],[litros_past]]/100</f>
        <v>345.11750000000001</v>
      </c>
      <c r="T3">
        <f>Tabla1[[#This Row],[mp_past]]*Tabla1[[#This Row],[litros_past]]/100</f>
        <v>479.7</v>
      </c>
      <c r="U3">
        <f>Tabla1[[#This Row],[est_salida_salmuera]]*Tabla1[[#This Row],[peso_queso_total]]/100</f>
        <v>800.25600000000009</v>
      </c>
      <c r="V3">
        <f>Tabla1[[#This Row],[mg_salida_salmuera]]*Tabla1[[#This Row],[peso_queso_total]]/100</f>
        <v>324.86399999999998</v>
      </c>
      <c r="W3">
        <f>(Tabla1[[#This Row],[est_kg_queso]]-Tabla1[[#This Row],[mg_kg_queso]])</f>
        <v>475.39200000000011</v>
      </c>
      <c r="X3">
        <f>_xlfn.ISOWEEKNUM(Tabla1[[#This Row],[fecha]])</f>
        <v>9</v>
      </c>
    </row>
    <row r="4" spans="1:24" x14ac:dyDescent="0.25">
      <c r="A4" s="1">
        <v>44628</v>
      </c>
      <c r="B4" t="s">
        <v>16</v>
      </c>
      <c r="C4">
        <v>11100</v>
      </c>
      <c r="D4">
        <v>10.7</v>
      </c>
      <c r="E4">
        <v>2.48</v>
      </c>
      <c r="F4">
        <v>3.45</v>
      </c>
      <c r="G4">
        <v>11639</v>
      </c>
      <c r="H4" s="8">
        <v>1.0489999999999999</v>
      </c>
      <c r="I4">
        <v>9.98</v>
      </c>
      <c r="J4">
        <v>2.36</v>
      </c>
      <c r="K4">
        <v>3.28</v>
      </c>
      <c r="L4" t="s">
        <v>17</v>
      </c>
      <c r="M4">
        <v>50.26</v>
      </c>
      <c r="N4">
        <v>19.97</v>
      </c>
      <c r="O4">
        <v>5.34</v>
      </c>
      <c r="P4">
        <v>1210.5</v>
      </c>
      <c r="Q4">
        <v>1.95</v>
      </c>
      <c r="R4">
        <f>Tabla1[[#This Row],[est_past]]*Tabla1[[#This Row],[litros_past]]/100</f>
        <v>1187.6999999999998</v>
      </c>
      <c r="S4">
        <f>Tabla1[[#This Row],[mg_past]]*Tabla1[[#This Row],[litros_past]]/100</f>
        <v>275.27999999999997</v>
      </c>
      <c r="T4">
        <f>Tabla1[[#This Row],[mp_past]]*Tabla1[[#This Row],[litros_past]]/100</f>
        <v>382.95</v>
      </c>
      <c r="U4">
        <f>Tabla1[[#This Row],[est_salida_salmuera]]*Tabla1[[#This Row],[peso_queso_total]]/100</f>
        <v>608.39729999999997</v>
      </c>
      <c r="V4">
        <f>Tabla1[[#This Row],[mg_salida_salmuera]]*Tabla1[[#This Row],[peso_queso_total]]/100</f>
        <v>241.73684999999998</v>
      </c>
      <c r="W4">
        <f>(Tabla1[[#This Row],[est_kg_queso]]-Tabla1[[#This Row],[mg_kg_queso]])</f>
        <v>366.66044999999997</v>
      </c>
      <c r="X4">
        <f>_xlfn.ISOWEEKNUM(Tabla1[[#This Row],[fecha]])</f>
        <v>10</v>
      </c>
    </row>
    <row r="5" spans="1:24" x14ac:dyDescent="0.25">
      <c r="A5" s="1">
        <v>44649</v>
      </c>
      <c r="B5" t="s">
        <v>16</v>
      </c>
      <c r="C5">
        <v>12680</v>
      </c>
      <c r="D5">
        <v>11.27</v>
      </c>
      <c r="E5">
        <v>2.56</v>
      </c>
      <c r="F5">
        <v>3.5</v>
      </c>
      <c r="G5">
        <v>13012</v>
      </c>
      <c r="H5" s="8">
        <v>1.026</v>
      </c>
      <c r="I5">
        <v>10.220000000000001</v>
      </c>
      <c r="J5">
        <v>2.44</v>
      </c>
      <c r="K5">
        <v>3.33</v>
      </c>
      <c r="L5" t="s">
        <v>17</v>
      </c>
      <c r="M5">
        <v>50.67</v>
      </c>
      <c r="N5">
        <v>20.100000000000001</v>
      </c>
      <c r="O5">
        <v>5.39</v>
      </c>
      <c r="P5">
        <v>1385</v>
      </c>
      <c r="Q5">
        <v>1.8</v>
      </c>
      <c r="R5">
        <f>Tabla1[[#This Row],[est_past]]*Tabla1[[#This Row],[litros_past]]/100</f>
        <v>1429.0360000000001</v>
      </c>
      <c r="S5">
        <f>Tabla1[[#This Row],[mg_past]]*Tabla1[[#This Row],[litros_past]]/100</f>
        <v>324.608</v>
      </c>
      <c r="T5">
        <f>Tabla1[[#This Row],[mp_past]]*Tabla1[[#This Row],[litros_past]]/100</f>
        <v>443.8</v>
      </c>
      <c r="U5">
        <f>Tabla1[[#This Row],[est_salida_salmuera]]*Tabla1[[#This Row],[peso_queso_total]]/100</f>
        <v>701.77949999999998</v>
      </c>
      <c r="V5">
        <f>Tabla1[[#This Row],[mg_salida_salmuera]]*Tabla1[[#This Row],[peso_queso_total]]/100</f>
        <v>278.38500000000005</v>
      </c>
      <c r="W5">
        <f>(Tabla1[[#This Row],[est_kg_queso]]-Tabla1[[#This Row],[mg_kg_queso]])</f>
        <v>423.39449999999994</v>
      </c>
      <c r="X5">
        <f>_xlfn.ISOWEEKNUM(Tabla1[[#This Row],[fecha]])</f>
        <v>13</v>
      </c>
    </row>
    <row r="6" spans="1:24" x14ac:dyDescent="0.25">
      <c r="A6" s="1">
        <v>44656</v>
      </c>
      <c r="B6" t="s">
        <v>16</v>
      </c>
      <c r="C6">
        <v>13978</v>
      </c>
      <c r="D6">
        <v>11.05</v>
      </c>
      <c r="E6">
        <v>2.52</v>
      </c>
      <c r="F6">
        <v>3.5</v>
      </c>
      <c r="G6">
        <v>14508</v>
      </c>
      <c r="H6" s="8">
        <v>1.038</v>
      </c>
      <c r="I6">
        <v>10.26</v>
      </c>
      <c r="J6">
        <v>2.4</v>
      </c>
      <c r="K6">
        <v>3.33</v>
      </c>
      <c r="L6" t="s">
        <v>17</v>
      </c>
      <c r="M6">
        <v>50.04</v>
      </c>
      <c r="N6">
        <v>20.98</v>
      </c>
      <c r="O6">
        <v>5.22</v>
      </c>
      <c r="P6">
        <v>1633</v>
      </c>
      <c r="Q6">
        <v>1.49</v>
      </c>
      <c r="R6">
        <f>Tabla1[[#This Row],[est_past]]*Tabla1[[#This Row],[litros_past]]/100</f>
        <v>1544.5690000000002</v>
      </c>
      <c r="S6">
        <f>Tabla1[[#This Row],[mg_past]]*Tabla1[[#This Row],[litros_past]]/100</f>
        <v>352.24559999999997</v>
      </c>
      <c r="T6">
        <f>Tabla1[[#This Row],[mp_past]]*Tabla1[[#This Row],[litros_past]]/100</f>
        <v>489.23</v>
      </c>
      <c r="U6">
        <f>Tabla1[[#This Row],[est_salida_salmuera]]*Tabla1[[#This Row],[peso_queso_total]]/100</f>
        <v>817.15319999999997</v>
      </c>
      <c r="V6">
        <f>Tabla1[[#This Row],[mg_salida_salmuera]]*Tabla1[[#This Row],[peso_queso_total]]/100</f>
        <v>342.60340000000002</v>
      </c>
      <c r="W6">
        <f>(Tabla1[[#This Row],[est_kg_queso]]-Tabla1[[#This Row],[mg_kg_queso]])</f>
        <v>474.54979999999995</v>
      </c>
      <c r="X6">
        <f>_xlfn.ISOWEEKNUM(Tabla1[[#This Row],[fecha]])</f>
        <v>14</v>
      </c>
    </row>
    <row r="7" spans="1:24" x14ac:dyDescent="0.25">
      <c r="A7" s="1">
        <v>44663</v>
      </c>
      <c r="B7" t="s">
        <v>16</v>
      </c>
      <c r="C7">
        <v>14147</v>
      </c>
      <c r="D7">
        <v>11.3</v>
      </c>
      <c r="E7">
        <v>2.67</v>
      </c>
      <c r="F7">
        <v>3.66</v>
      </c>
      <c r="G7">
        <v>14666</v>
      </c>
      <c r="H7" s="8">
        <v>1.0369999999999999</v>
      </c>
      <c r="I7">
        <v>10.77</v>
      </c>
      <c r="J7">
        <v>2.5499999999999998</v>
      </c>
      <c r="K7">
        <v>3.49</v>
      </c>
      <c r="L7" t="s">
        <v>17</v>
      </c>
      <c r="M7">
        <v>54.14</v>
      </c>
      <c r="N7">
        <v>20.27</v>
      </c>
      <c r="O7">
        <v>5.43</v>
      </c>
      <c r="P7">
        <v>1465</v>
      </c>
      <c r="Q7">
        <v>1.74</v>
      </c>
      <c r="R7">
        <f>Tabla1[[#This Row],[est_past]]*Tabla1[[#This Row],[litros_past]]/100</f>
        <v>1598.6110000000001</v>
      </c>
      <c r="S7">
        <f>Tabla1[[#This Row],[mg_past]]*Tabla1[[#This Row],[litros_past]]/100</f>
        <v>377.72489999999999</v>
      </c>
      <c r="T7">
        <f>Tabla1[[#This Row],[mp_past]]*Tabla1[[#This Row],[litros_past]]/100</f>
        <v>517.78020000000004</v>
      </c>
      <c r="U7">
        <f>Tabla1[[#This Row],[est_salida_salmuera]]*Tabla1[[#This Row],[peso_queso_total]]/100</f>
        <v>793.15100000000007</v>
      </c>
      <c r="V7">
        <f>Tabla1[[#This Row],[mg_salida_salmuera]]*Tabla1[[#This Row],[peso_queso_total]]/100</f>
        <v>296.95549999999997</v>
      </c>
      <c r="W7">
        <f>(Tabla1[[#This Row],[est_kg_queso]]-Tabla1[[#This Row],[mg_kg_queso]])</f>
        <v>496.1955000000001</v>
      </c>
      <c r="X7">
        <f>_xlfn.ISOWEEKNUM(Tabla1[[#This Row],[fecha]])</f>
        <v>15</v>
      </c>
    </row>
    <row r="8" spans="1:24" x14ac:dyDescent="0.25">
      <c r="A8" s="1">
        <v>44670</v>
      </c>
      <c r="B8" t="s">
        <v>16</v>
      </c>
      <c r="C8">
        <v>12370</v>
      </c>
      <c r="D8">
        <v>10.09</v>
      </c>
      <c r="E8">
        <v>2.52</v>
      </c>
      <c r="F8">
        <v>3.5</v>
      </c>
      <c r="G8">
        <v>12878</v>
      </c>
      <c r="H8" s="8">
        <v>1.0409999999999999</v>
      </c>
      <c r="I8">
        <v>9.6300000000000008</v>
      </c>
      <c r="J8">
        <v>2.4</v>
      </c>
      <c r="K8">
        <v>3.33</v>
      </c>
      <c r="L8" t="s">
        <v>17</v>
      </c>
      <c r="M8">
        <v>49.48</v>
      </c>
      <c r="N8">
        <v>20.170000000000002</v>
      </c>
      <c r="O8">
        <v>5.44</v>
      </c>
      <c r="P8">
        <v>1354</v>
      </c>
      <c r="Q8">
        <v>1.1599999999999999</v>
      </c>
      <c r="R8">
        <f>Tabla1[[#This Row],[est_past]]*Tabla1[[#This Row],[litros_past]]/100</f>
        <v>1248.133</v>
      </c>
      <c r="S8">
        <f>Tabla1[[#This Row],[mg_past]]*Tabla1[[#This Row],[litros_past]]/100</f>
        <v>311.72399999999999</v>
      </c>
      <c r="T8">
        <f>Tabla1[[#This Row],[mp_past]]*Tabla1[[#This Row],[litros_past]]/100</f>
        <v>432.95</v>
      </c>
      <c r="U8">
        <f>Tabla1[[#This Row],[est_salida_salmuera]]*Tabla1[[#This Row],[peso_queso_total]]/100</f>
        <v>669.95920000000001</v>
      </c>
      <c r="V8">
        <f>Tabla1[[#This Row],[mg_salida_salmuera]]*Tabla1[[#This Row],[peso_queso_total]]/100</f>
        <v>273.10180000000003</v>
      </c>
      <c r="W8">
        <f>(Tabla1[[#This Row],[est_kg_queso]]-Tabla1[[#This Row],[mg_kg_queso]])</f>
        <v>396.85739999999998</v>
      </c>
      <c r="X8">
        <f>_xlfn.ISOWEEKNUM(Tabla1[[#This Row],[fecha]])</f>
        <v>16</v>
      </c>
    </row>
    <row r="9" spans="1:24" x14ac:dyDescent="0.25">
      <c r="A9" s="1">
        <v>44680</v>
      </c>
      <c r="B9" t="s">
        <v>16</v>
      </c>
      <c r="C9">
        <v>15110</v>
      </c>
      <c r="D9">
        <v>10.64</v>
      </c>
      <c r="E9">
        <v>2.6</v>
      </c>
      <c r="F9">
        <v>3.44</v>
      </c>
      <c r="G9">
        <v>15663</v>
      </c>
      <c r="H9" s="8">
        <v>1.0369999999999999</v>
      </c>
      <c r="I9">
        <v>10.16</v>
      </c>
      <c r="J9">
        <v>2.48</v>
      </c>
      <c r="K9">
        <v>3.27</v>
      </c>
      <c r="L9" t="s">
        <v>17</v>
      </c>
      <c r="M9">
        <v>45.1</v>
      </c>
      <c r="N9">
        <v>19.600000000000001</v>
      </c>
      <c r="O9">
        <v>5.41</v>
      </c>
      <c r="P9">
        <v>1967</v>
      </c>
      <c r="Q9">
        <v>1.45</v>
      </c>
      <c r="R9">
        <f>Tabla1[[#This Row],[est_past]]*Tabla1[[#This Row],[litros_past]]/100</f>
        <v>1607.704</v>
      </c>
      <c r="S9">
        <f>Tabla1[[#This Row],[mg_past]]*Tabla1[[#This Row],[litros_past]]/100</f>
        <v>392.86</v>
      </c>
      <c r="T9">
        <f>Tabla1[[#This Row],[mp_past]]*Tabla1[[#This Row],[litros_past]]/100</f>
        <v>519.78399999999999</v>
      </c>
      <c r="U9">
        <f>Tabla1[[#This Row],[est_salida_salmuera]]*Tabla1[[#This Row],[peso_queso_total]]/100</f>
        <v>887.11699999999996</v>
      </c>
      <c r="V9">
        <f>Tabla1[[#This Row],[mg_salida_salmuera]]*Tabla1[[#This Row],[peso_queso_total]]/100</f>
        <v>385.53200000000004</v>
      </c>
      <c r="W9">
        <f>(Tabla1[[#This Row],[est_kg_queso]]-Tabla1[[#This Row],[mg_kg_queso]])</f>
        <v>501.58499999999992</v>
      </c>
      <c r="X9">
        <f>_xlfn.ISOWEEKNUM(Tabla1[[#This Row],[fecha]])</f>
        <v>17</v>
      </c>
    </row>
    <row r="10" spans="1:24" x14ac:dyDescent="0.25">
      <c r="A10" s="1">
        <v>44687</v>
      </c>
      <c r="B10" t="s">
        <v>16</v>
      </c>
      <c r="C10">
        <v>15410</v>
      </c>
      <c r="D10">
        <v>10.75</v>
      </c>
      <c r="E10">
        <v>2.5299999999999998</v>
      </c>
      <c r="F10">
        <v>3.59</v>
      </c>
      <c r="G10">
        <v>16025</v>
      </c>
      <c r="H10" s="8">
        <v>1.04</v>
      </c>
      <c r="I10">
        <v>10.42</v>
      </c>
      <c r="J10">
        <v>2.41</v>
      </c>
      <c r="K10">
        <v>3.42</v>
      </c>
      <c r="L10" t="s">
        <v>17</v>
      </c>
      <c r="M10">
        <v>50.26</v>
      </c>
      <c r="N10">
        <v>19.7</v>
      </c>
      <c r="O10">
        <v>5.44</v>
      </c>
      <c r="P10">
        <v>1714</v>
      </c>
      <c r="Q10">
        <v>1.77</v>
      </c>
      <c r="R10">
        <f>Tabla1[[#This Row],[est_past]]*Tabla1[[#This Row],[litros_past]]/100</f>
        <v>1656.575</v>
      </c>
      <c r="S10">
        <f>Tabla1[[#This Row],[mg_past]]*Tabla1[[#This Row],[litros_past]]/100</f>
        <v>389.87299999999993</v>
      </c>
      <c r="T10">
        <f>Tabla1[[#This Row],[mp_past]]*Tabla1[[#This Row],[litros_past]]/100</f>
        <v>553.21899999999994</v>
      </c>
      <c r="U10">
        <f>Tabla1[[#This Row],[est_salida_salmuera]]*Tabla1[[#This Row],[peso_queso_total]]/100</f>
        <v>861.45640000000003</v>
      </c>
      <c r="V10">
        <f>Tabla1[[#This Row],[mg_salida_salmuera]]*Tabla1[[#This Row],[peso_queso_total]]/100</f>
        <v>337.65799999999996</v>
      </c>
      <c r="W10">
        <f>(Tabla1[[#This Row],[est_kg_queso]]-Tabla1[[#This Row],[mg_kg_queso]])</f>
        <v>523.79840000000013</v>
      </c>
      <c r="X10">
        <f>_xlfn.ISOWEEKNUM(Tabla1[[#This Row],[fecha]])</f>
        <v>18</v>
      </c>
    </row>
    <row r="11" spans="1:24" x14ac:dyDescent="0.25">
      <c r="A11" s="1">
        <v>44706</v>
      </c>
      <c r="B11" t="s">
        <v>16</v>
      </c>
      <c r="C11">
        <v>12370</v>
      </c>
      <c r="D11">
        <v>10.35</v>
      </c>
      <c r="E11">
        <v>2.57</v>
      </c>
      <c r="F11">
        <v>3.51</v>
      </c>
      <c r="G11">
        <v>13022</v>
      </c>
      <c r="H11" s="8">
        <v>1.0529999999999999</v>
      </c>
      <c r="I11">
        <v>9.9499999999999993</v>
      </c>
      <c r="J11">
        <v>2.4500000000000002</v>
      </c>
      <c r="K11">
        <v>3.34</v>
      </c>
      <c r="L11" t="s">
        <v>19</v>
      </c>
      <c r="M11">
        <v>52.67</v>
      </c>
      <c r="N11">
        <v>21.26</v>
      </c>
      <c r="O11">
        <v>5.58</v>
      </c>
      <c r="P11">
        <v>1322</v>
      </c>
      <c r="Q11">
        <v>1.76</v>
      </c>
      <c r="R11">
        <f>Tabla1[[#This Row],[est_past]]*Tabla1[[#This Row],[litros_past]]/100</f>
        <v>1280.2950000000001</v>
      </c>
      <c r="S11">
        <f>Tabla1[[#This Row],[mg_past]]*Tabla1[[#This Row],[litros_past]]/100</f>
        <v>317.90899999999999</v>
      </c>
      <c r="T11">
        <f>Tabla1[[#This Row],[mp_past]]*Tabla1[[#This Row],[litros_past]]/100</f>
        <v>434.18699999999995</v>
      </c>
      <c r="U11">
        <f>Tabla1[[#This Row],[est_salida_salmuera]]*Tabla1[[#This Row],[peso_queso_total]]/100</f>
        <v>696.29740000000004</v>
      </c>
      <c r="V11">
        <f>Tabla1[[#This Row],[mg_salida_salmuera]]*Tabla1[[#This Row],[peso_queso_total]]/100</f>
        <v>281.05720000000002</v>
      </c>
      <c r="W11">
        <f>(Tabla1[[#This Row],[est_kg_queso]]-Tabla1[[#This Row],[mg_kg_queso]])</f>
        <v>415.24020000000002</v>
      </c>
      <c r="X11">
        <f>_xlfn.ISOWEEKNUM(Tabla1[[#This Row],[fecha]])</f>
        <v>21</v>
      </c>
    </row>
    <row r="12" spans="1:24" x14ac:dyDescent="0.25">
      <c r="A12" s="1">
        <v>44631</v>
      </c>
      <c r="B12" t="s">
        <v>20</v>
      </c>
      <c r="C12">
        <v>11930</v>
      </c>
      <c r="D12">
        <v>16.98</v>
      </c>
      <c r="E12">
        <v>5.01</v>
      </c>
      <c r="F12">
        <v>4.43</v>
      </c>
      <c r="G12">
        <v>12599</v>
      </c>
      <c r="H12" s="8">
        <v>1.056</v>
      </c>
      <c r="I12">
        <v>14</v>
      </c>
      <c r="J12">
        <v>4.78</v>
      </c>
      <c r="K12">
        <v>4.24</v>
      </c>
      <c r="L12" t="s">
        <v>17</v>
      </c>
      <c r="M12">
        <v>58.67</v>
      </c>
      <c r="N12">
        <v>30.89</v>
      </c>
      <c r="O12">
        <v>5.36</v>
      </c>
      <c r="P12">
        <v>1210</v>
      </c>
      <c r="Q12">
        <v>1</v>
      </c>
      <c r="R12">
        <f>Tabla1[[#This Row],[est_past]]*Tabla1[[#This Row],[litros_past]]/100</f>
        <v>2025.7139999999999</v>
      </c>
      <c r="S12">
        <f>Tabla1[[#This Row],[mg_past]]*Tabla1[[#This Row],[litros_past]]/100</f>
        <v>597.69299999999998</v>
      </c>
      <c r="T12">
        <f>Tabla1[[#This Row],[mp_past]]*Tabla1[[#This Row],[litros_past]]/100</f>
        <v>528.49899999999991</v>
      </c>
      <c r="U12">
        <f>Tabla1[[#This Row],[est_salida_salmuera]]*Tabla1[[#This Row],[peso_queso_total]]/100</f>
        <v>709.90699999999993</v>
      </c>
      <c r="V12">
        <f>Tabla1[[#This Row],[mg_salida_salmuera]]*Tabla1[[#This Row],[peso_queso_total]]/100</f>
        <v>373.76900000000001</v>
      </c>
      <c r="W12">
        <f>(Tabla1[[#This Row],[est_kg_queso]]-Tabla1[[#This Row],[mg_kg_queso]])</f>
        <v>336.13799999999992</v>
      </c>
      <c r="X12">
        <f>_xlfn.ISOWEEKNUM(Tabla1[[#This Row],[fecha]])</f>
        <v>10</v>
      </c>
    </row>
    <row r="13" spans="1:24" x14ac:dyDescent="0.25">
      <c r="A13" s="1">
        <v>44637</v>
      </c>
      <c r="B13" t="s">
        <v>20</v>
      </c>
      <c r="C13">
        <v>9440</v>
      </c>
      <c r="D13">
        <v>15.69</v>
      </c>
      <c r="E13">
        <v>4.8099999999999996</v>
      </c>
      <c r="F13">
        <v>3.81</v>
      </c>
      <c r="G13">
        <v>9634</v>
      </c>
      <c r="H13" s="8">
        <v>1.0209999999999999</v>
      </c>
      <c r="I13">
        <v>12.55</v>
      </c>
      <c r="J13">
        <v>4.58</v>
      </c>
      <c r="K13">
        <v>3.62</v>
      </c>
      <c r="L13" t="s">
        <v>18</v>
      </c>
      <c r="M13">
        <v>56.87</v>
      </c>
      <c r="N13">
        <v>31.57</v>
      </c>
      <c r="O13">
        <v>5.35</v>
      </c>
      <c r="P13">
        <v>1071</v>
      </c>
      <c r="Q13">
        <v>1.93</v>
      </c>
      <c r="R13">
        <f>Tabla1[[#This Row],[est_past]]*Tabla1[[#This Row],[litros_past]]/100</f>
        <v>1481.136</v>
      </c>
      <c r="S13">
        <f>Tabla1[[#This Row],[mg_past]]*Tabla1[[#This Row],[litros_past]]/100</f>
        <v>454.06399999999996</v>
      </c>
      <c r="T13">
        <f>Tabla1[[#This Row],[mp_past]]*Tabla1[[#This Row],[litros_past]]/100</f>
        <v>359.66399999999999</v>
      </c>
      <c r="U13">
        <f>Tabla1[[#This Row],[est_salida_salmuera]]*Tabla1[[#This Row],[peso_queso_total]]/100</f>
        <v>609.07769999999994</v>
      </c>
      <c r="V13">
        <f>Tabla1[[#This Row],[mg_salida_salmuera]]*Tabla1[[#This Row],[peso_queso_total]]/100</f>
        <v>338.11470000000003</v>
      </c>
      <c r="W13">
        <f>(Tabla1[[#This Row],[est_kg_queso]]-Tabla1[[#This Row],[mg_kg_queso]])</f>
        <v>270.96299999999991</v>
      </c>
      <c r="X13">
        <f>_xlfn.ISOWEEKNUM(Tabla1[[#This Row],[fecha]])</f>
        <v>11</v>
      </c>
    </row>
    <row r="14" spans="1:24" x14ac:dyDescent="0.25">
      <c r="A14" s="1">
        <v>44664</v>
      </c>
      <c r="B14" t="s">
        <v>20</v>
      </c>
      <c r="C14">
        <v>8950</v>
      </c>
      <c r="D14">
        <v>16.04</v>
      </c>
      <c r="E14">
        <v>5.05</v>
      </c>
      <c r="F14">
        <v>4.0999999999999996</v>
      </c>
      <c r="G14">
        <v>9227</v>
      </c>
      <c r="H14" s="8">
        <v>1.0309999999999999</v>
      </c>
      <c r="I14">
        <v>13.17</v>
      </c>
      <c r="J14">
        <v>4.82</v>
      </c>
      <c r="K14">
        <v>3.91</v>
      </c>
      <c r="L14" t="s">
        <v>19</v>
      </c>
      <c r="M14">
        <v>58.45</v>
      </c>
      <c r="N14">
        <v>29.43</v>
      </c>
      <c r="O14">
        <v>5.74</v>
      </c>
      <c r="P14">
        <v>832</v>
      </c>
      <c r="Q14">
        <v>1.61</v>
      </c>
      <c r="R14">
        <f>Tabla1[[#This Row],[est_past]]*Tabla1[[#This Row],[litros_past]]/100</f>
        <v>1435.58</v>
      </c>
      <c r="S14">
        <f>Tabla1[[#This Row],[mg_past]]*Tabla1[[#This Row],[litros_past]]/100</f>
        <v>451.97500000000002</v>
      </c>
      <c r="T14">
        <f>Tabla1[[#This Row],[mp_past]]*Tabla1[[#This Row],[litros_past]]/100</f>
        <v>366.95</v>
      </c>
      <c r="U14">
        <f>Tabla1[[#This Row],[est_salida_salmuera]]*Tabla1[[#This Row],[peso_queso_total]]/100</f>
        <v>486.30400000000003</v>
      </c>
      <c r="V14">
        <f>Tabla1[[#This Row],[mg_salida_salmuera]]*Tabla1[[#This Row],[peso_queso_total]]/100</f>
        <v>244.85759999999999</v>
      </c>
      <c r="W14">
        <f>(Tabla1[[#This Row],[est_kg_queso]]-Tabla1[[#This Row],[mg_kg_queso]])</f>
        <v>241.44640000000004</v>
      </c>
      <c r="X14">
        <f>_xlfn.ISOWEEKNUM(Tabla1[[#This Row],[fecha]])</f>
        <v>15</v>
      </c>
    </row>
    <row r="15" spans="1:24" x14ac:dyDescent="0.25">
      <c r="A15" s="1">
        <v>44680</v>
      </c>
      <c r="B15" t="s">
        <v>20</v>
      </c>
      <c r="C15">
        <v>15310</v>
      </c>
      <c r="D15">
        <v>13.17</v>
      </c>
      <c r="E15">
        <v>4.7699999999999996</v>
      </c>
      <c r="F15">
        <v>3.79</v>
      </c>
      <c r="G15">
        <v>15709</v>
      </c>
      <c r="H15" s="8">
        <v>1.026</v>
      </c>
      <c r="I15">
        <v>12.45</v>
      </c>
      <c r="J15">
        <v>4.54</v>
      </c>
      <c r="K15">
        <v>3.6</v>
      </c>
      <c r="L15" t="s">
        <v>18</v>
      </c>
      <c r="M15">
        <v>57.45</v>
      </c>
      <c r="N15">
        <v>30.59</v>
      </c>
      <c r="O15">
        <v>5.2</v>
      </c>
      <c r="P15">
        <v>1918</v>
      </c>
      <c r="Q15">
        <v>1.44</v>
      </c>
      <c r="R15">
        <f>Tabla1[[#This Row],[est_past]]*Tabla1[[#This Row],[litros_past]]/100</f>
        <v>2016.3270000000002</v>
      </c>
      <c r="S15">
        <f>Tabla1[[#This Row],[mg_past]]*Tabla1[[#This Row],[litros_past]]/100</f>
        <v>730.28699999999992</v>
      </c>
      <c r="T15">
        <f>Tabla1[[#This Row],[mp_past]]*Tabla1[[#This Row],[litros_past]]/100</f>
        <v>580.24900000000002</v>
      </c>
      <c r="U15">
        <f>Tabla1[[#This Row],[est_salida_salmuera]]*Tabla1[[#This Row],[peso_queso_total]]/100</f>
        <v>1101.8910000000001</v>
      </c>
      <c r="V15">
        <f>Tabla1[[#This Row],[mg_salida_salmuera]]*Tabla1[[#This Row],[peso_queso_total]]/100</f>
        <v>586.71620000000007</v>
      </c>
      <c r="W15">
        <f>(Tabla1[[#This Row],[est_kg_queso]]-Tabla1[[#This Row],[mg_kg_queso]])</f>
        <v>515.1748</v>
      </c>
      <c r="X15">
        <f>_xlfn.ISOWEEKNUM(Tabla1[[#This Row],[fecha]])</f>
        <v>17</v>
      </c>
    </row>
    <row r="16" spans="1:24" x14ac:dyDescent="0.25">
      <c r="A16" s="1">
        <v>44701</v>
      </c>
      <c r="B16" t="s">
        <v>20</v>
      </c>
      <c r="C16">
        <v>13970</v>
      </c>
      <c r="D16">
        <v>13.5</v>
      </c>
      <c r="E16">
        <v>4.53</v>
      </c>
      <c r="F16">
        <v>3.73</v>
      </c>
      <c r="G16">
        <v>14551</v>
      </c>
      <c r="H16" s="8">
        <v>1.042</v>
      </c>
      <c r="I16">
        <v>11.78</v>
      </c>
      <c r="J16">
        <v>4.3</v>
      </c>
      <c r="K16">
        <v>3.54</v>
      </c>
      <c r="L16" t="s">
        <v>17</v>
      </c>
      <c r="M16">
        <v>58.39</v>
      </c>
      <c r="N16">
        <v>32.520000000000003</v>
      </c>
      <c r="O16">
        <v>5.2</v>
      </c>
      <c r="P16">
        <v>1732</v>
      </c>
      <c r="Q16">
        <v>1.29</v>
      </c>
      <c r="R16">
        <f>Tabla1[[#This Row],[est_past]]*Tabla1[[#This Row],[litros_past]]/100</f>
        <v>1885.95</v>
      </c>
      <c r="S16">
        <f>Tabla1[[#This Row],[mg_past]]*Tabla1[[#This Row],[litros_past]]/100</f>
        <v>632.84100000000001</v>
      </c>
      <c r="T16">
        <f>Tabla1[[#This Row],[mp_past]]*Tabla1[[#This Row],[litros_past]]/100</f>
        <v>521.08100000000002</v>
      </c>
      <c r="U16">
        <f>Tabla1[[#This Row],[est_salida_salmuera]]*Tabla1[[#This Row],[peso_queso_total]]/100</f>
        <v>1011.3148</v>
      </c>
      <c r="V16">
        <f>Tabla1[[#This Row],[mg_salida_salmuera]]*Tabla1[[#This Row],[peso_queso_total]]/100</f>
        <v>563.24640000000011</v>
      </c>
      <c r="W16">
        <f>(Tabla1[[#This Row],[est_kg_queso]]-Tabla1[[#This Row],[mg_kg_queso]])</f>
        <v>448.06839999999988</v>
      </c>
      <c r="X16">
        <f>_xlfn.ISOWEEKNUM(Tabla1[[#This Row],[fecha]])</f>
        <v>20</v>
      </c>
    </row>
    <row r="17" spans="1:24" x14ac:dyDescent="0.25">
      <c r="A17" s="1">
        <v>44616</v>
      </c>
      <c r="B17" t="s">
        <v>21</v>
      </c>
      <c r="C17">
        <v>7480</v>
      </c>
      <c r="D17">
        <v>13.29</v>
      </c>
      <c r="E17">
        <v>5.15</v>
      </c>
      <c r="F17">
        <v>4.09</v>
      </c>
      <c r="G17">
        <v>7704</v>
      </c>
      <c r="H17" s="8">
        <v>1.03</v>
      </c>
      <c r="I17">
        <v>12.8</v>
      </c>
      <c r="J17">
        <v>4.9000000000000004</v>
      </c>
      <c r="K17">
        <v>3.89</v>
      </c>
      <c r="L17" t="s">
        <v>18</v>
      </c>
      <c r="M17">
        <v>59.42</v>
      </c>
      <c r="N17">
        <v>32.130000000000003</v>
      </c>
      <c r="O17">
        <v>5.4</v>
      </c>
      <c r="P17">
        <v>1062.4000000000001</v>
      </c>
      <c r="Q17">
        <v>1.31</v>
      </c>
      <c r="R17">
        <f>Tabla1[[#This Row],[est_past]]*Tabla1[[#This Row],[litros_past]]/100</f>
        <v>994.09199999999998</v>
      </c>
      <c r="S17">
        <f>Tabla1[[#This Row],[mg_past]]*Tabla1[[#This Row],[litros_past]]/100</f>
        <v>385.22</v>
      </c>
      <c r="T17">
        <f>Tabla1[[#This Row],[mp_past]]*Tabla1[[#This Row],[litros_past]]/100</f>
        <v>305.93200000000002</v>
      </c>
      <c r="U17">
        <f>Tabla1[[#This Row],[est_salida_salmuera]]*Tabla1[[#This Row],[peso_queso_total]]/100</f>
        <v>631.27808000000005</v>
      </c>
      <c r="V17">
        <f>Tabla1[[#This Row],[mg_salida_salmuera]]*Tabla1[[#This Row],[peso_queso_total]]/100</f>
        <v>341.34912000000003</v>
      </c>
      <c r="W17">
        <f>(Tabla1[[#This Row],[est_kg_queso]]-Tabla1[[#This Row],[mg_kg_queso]])</f>
        <v>289.92896000000002</v>
      </c>
      <c r="X17">
        <f>_xlfn.ISOWEEKNUM(Tabla1[[#This Row],[fecha]])</f>
        <v>8</v>
      </c>
    </row>
    <row r="18" spans="1:24" x14ac:dyDescent="0.25">
      <c r="A18" s="1">
        <v>44624</v>
      </c>
      <c r="B18" t="s">
        <v>21</v>
      </c>
      <c r="C18">
        <v>13650</v>
      </c>
      <c r="D18">
        <v>14.22</v>
      </c>
      <c r="E18">
        <v>5.45</v>
      </c>
      <c r="F18">
        <v>4.3099999999999996</v>
      </c>
      <c r="G18">
        <v>14132</v>
      </c>
      <c r="H18" s="8">
        <v>1.0349999999999999</v>
      </c>
      <c r="I18">
        <v>13.61</v>
      </c>
      <c r="J18">
        <v>5.2</v>
      </c>
      <c r="K18">
        <v>4.1100000000000003</v>
      </c>
      <c r="L18" t="s">
        <v>17</v>
      </c>
      <c r="M18">
        <v>52.65</v>
      </c>
      <c r="N18">
        <v>28.8</v>
      </c>
      <c r="O18">
        <v>5.44</v>
      </c>
      <c r="P18">
        <v>2397</v>
      </c>
      <c r="Q18">
        <v>1.02</v>
      </c>
      <c r="R18">
        <f>Tabla1[[#This Row],[est_past]]*Tabla1[[#This Row],[litros_past]]/100</f>
        <v>1941.03</v>
      </c>
      <c r="S18">
        <f>Tabla1[[#This Row],[mg_past]]*Tabla1[[#This Row],[litros_past]]/100</f>
        <v>743.92499999999995</v>
      </c>
      <c r="T18">
        <f>Tabla1[[#This Row],[mp_past]]*Tabla1[[#This Row],[litros_past]]/100</f>
        <v>588.31499999999994</v>
      </c>
      <c r="U18">
        <f>Tabla1[[#This Row],[est_salida_salmuera]]*Tabla1[[#This Row],[peso_queso_total]]/100</f>
        <v>1262.0205000000001</v>
      </c>
      <c r="V18">
        <f>Tabla1[[#This Row],[mg_salida_salmuera]]*Tabla1[[#This Row],[peso_queso_total]]/100</f>
        <v>690.33600000000001</v>
      </c>
      <c r="W18">
        <f>(Tabla1[[#This Row],[est_kg_queso]]-Tabla1[[#This Row],[mg_kg_queso]])</f>
        <v>571.68450000000007</v>
      </c>
      <c r="X18">
        <f>_xlfn.ISOWEEKNUM(Tabla1[[#This Row],[fecha]])</f>
        <v>9</v>
      </c>
    </row>
    <row r="19" spans="1:24" x14ac:dyDescent="0.25">
      <c r="A19" s="1">
        <v>44630</v>
      </c>
      <c r="B19" t="s">
        <v>21</v>
      </c>
      <c r="C19">
        <v>9840</v>
      </c>
      <c r="D19">
        <v>13.51</v>
      </c>
      <c r="E19">
        <v>5.01</v>
      </c>
      <c r="F19">
        <v>3.98</v>
      </c>
      <c r="G19">
        <v>10154</v>
      </c>
      <c r="H19" s="8">
        <v>1.032</v>
      </c>
      <c r="I19">
        <v>12.41</v>
      </c>
      <c r="J19">
        <v>4.76</v>
      </c>
      <c r="K19">
        <v>3.78</v>
      </c>
      <c r="L19" t="s">
        <v>19</v>
      </c>
      <c r="M19">
        <v>54.6</v>
      </c>
      <c r="N19">
        <v>29.92</v>
      </c>
      <c r="O19">
        <v>5.98</v>
      </c>
      <c r="P19">
        <v>1439</v>
      </c>
      <c r="Q19">
        <v>1.79</v>
      </c>
      <c r="R19">
        <f>Tabla1[[#This Row],[est_past]]*Tabla1[[#This Row],[litros_past]]/100</f>
        <v>1329.384</v>
      </c>
      <c r="S19">
        <f>Tabla1[[#This Row],[mg_past]]*Tabla1[[#This Row],[litros_past]]/100</f>
        <v>492.98400000000004</v>
      </c>
      <c r="T19">
        <f>Tabla1[[#This Row],[mp_past]]*Tabla1[[#This Row],[litros_past]]/100</f>
        <v>391.63199999999995</v>
      </c>
      <c r="U19">
        <f>Tabla1[[#This Row],[est_salida_salmuera]]*Tabla1[[#This Row],[peso_queso_total]]/100</f>
        <v>785.69400000000007</v>
      </c>
      <c r="V19">
        <f>Tabla1[[#This Row],[mg_salida_salmuera]]*Tabla1[[#This Row],[peso_queso_total]]/100</f>
        <v>430.54880000000003</v>
      </c>
      <c r="W19">
        <f>(Tabla1[[#This Row],[est_kg_queso]]-Tabla1[[#This Row],[mg_kg_queso]])</f>
        <v>355.14520000000005</v>
      </c>
      <c r="X19">
        <f>_xlfn.ISOWEEKNUM(Tabla1[[#This Row],[fecha]])</f>
        <v>10</v>
      </c>
    </row>
    <row r="20" spans="1:24" x14ac:dyDescent="0.25">
      <c r="A20" s="1">
        <v>44635</v>
      </c>
      <c r="B20" t="s">
        <v>21</v>
      </c>
      <c r="C20">
        <v>14910</v>
      </c>
      <c r="D20">
        <v>14.89</v>
      </c>
      <c r="E20">
        <v>5.37</v>
      </c>
      <c r="F20">
        <v>4.25</v>
      </c>
      <c r="G20">
        <v>15397</v>
      </c>
      <c r="H20" s="8">
        <v>1.0329999999999999</v>
      </c>
      <c r="I20">
        <v>13.47</v>
      </c>
      <c r="J20">
        <v>5.12</v>
      </c>
      <c r="K20">
        <v>4.05</v>
      </c>
      <c r="L20" t="s">
        <v>18</v>
      </c>
      <c r="M20">
        <v>55.65</v>
      </c>
      <c r="N20">
        <v>30.63</v>
      </c>
      <c r="O20">
        <v>5.41</v>
      </c>
      <c r="P20">
        <v>2414.3000000000002</v>
      </c>
      <c r="Q20">
        <v>1.1299999999999999</v>
      </c>
      <c r="R20">
        <f>Tabla1[[#This Row],[est_past]]*Tabla1[[#This Row],[litros_past]]/100</f>
        <v>2220.0990000000002</v>
      </c>
      <c r="S20">
        <f>Tabla1[[#This Row],[mg_past]]*Tabla1[[#This Row],[litros_past]]/100</f>
        <v>800.66699999999992</v>
      </c>
      <c r="T20">
        <f>Tabla1[[#This Row],[mp_past]]*Tabla1[[#This Row],[litros_past]]/100</f>
        <v>633.67499999999995</v>
      </c>
      <c r="U20">
        <f>Tabla1[[#This Row],[est_salida_salmuera]]*Tabla1[[#This Row],[peso_queso_total]]/100</f>
        <v>1343.5579500000001</v>
      </c>
      <c r="V20">
        <f>Tabla1[[#This Row],[mg_salida_salmuera]]*Tabla1[[#This Row],[peso_queso_total]]/100</f>
        <v>739.50009</v>
      </c>
      <c r="W20">
        <f>(Tabla1[[#This Row],[est_kg_queso]]-Tabla1[[#This Row],[mg_kg_queso]])</f>
        <v>604.05786000000012</v>
      </c>
      <c r="X20">
        <f>_xlfn.ISOWEEKNUM(Tabla1[[#This Row],[fecha]])</f>
        <v>11</v>
      </c>
    </row>
    <row r="21" spans="1:24" x14ac:dyDescent="0.25">
      <c r="A21" s="1">
        <v>44638</v>
      </c>
      <c r="B21" t="s">
        <v>21</v>
      </c>
      <c r="C21">
        <v>14210</v>
      </c>
      <c r="D21">
        <v>13.94</v>
      </c>
      <c r="E21">
        <v>5.35</v>
      </c>
      <c r="F21">
        <v>4.07</v>
      </c>
      <c r="G21">
        <v>14642</v>
      </c>
      <c r="H21" s="8">
        <v>1.03</v>
      </c>
      <c r="I21">
        <v>12.99</v>
      </c>
      <c r="J21">
        <v>5.0999999999999996</v>
      </c>
      <c r="K21">
        <v>3.87</v>
      </c>
      <c r="L21" t="s">
        <v>18</v>
      </c>
      <c r="M21">
        <v>54.46</v>
      </c>
      <c r="N21">
        <v>30.55</v>
      </c>
      <c r="O21">
        <v>5.42</v>
      </c>
      <c r="P21">
        <v>2250</v>
      </c>
      <c r="Q21">
        <v>1.51</v>
      </c>
      <c r="R21">
        <f>Tabla1[[#This Row],[est_past]]*Tabla1[[#This Row],[litros_past]]/100</f>
        <v>1980.874</v>
      </c>
      <c r="S21">
        <f>Tabla1[[#This Row],[mg_past]]*Tabla1[[#This Row],[litros_past]]/100</f>
        <v>760.23500000000001</v>
      </c>
      <c r="T21">
        <f>Tabla1[[#This Row],[mp_past]]*Tabla1[[#This Row],[litros_past]]/100</f>
        <v>578.34700000000009</v>
      </c>
      <c r="U21">
        <f>Tabla1[[#This Row],[est_salida_salmuera]]*Tabla1[[#This Row],[peso_queso_total]]/100</f>
        <v>1225.3499999999999</v>
      </c>
      <c r="V21">
        <f>Tabla1[[#This Row],[mg_salida_salmuera]]*Tabla1[[#This Row],[peso_queso_total]]/100</f>
        <v>687.375</v>
      </c>
      <c r="W21">
        <f>(Tabla1[[#This Row],[est_kg_queso]]-Tabla1[[#This Row],[mg_kg_queso]])</f>
        <v>537.97499999999991</v>
      </c>
      <c r="X21">
        <f>_xlfn.ISOWEEKNUM(Tabla1[[#This Row],[fecha]])</f>
        <v>11</v>
      </c>
    </row>
    <row r="22" spans="1:24" x14ac:dyDescent="0.25">
      <c r="A22" s="1">
        <v>44691</v>
      </c>
      <c r="B22" t="s">
        <v>21</v>
      </c>
      <c r="C22">
        <v>14250</v>
      </c>
      <c r="D22">
        <v>13.78</v>
      </c>
      <c r="E22">
        <v>5.34</v>
      </c>
      <c r="F22">
        <v>4.21</v>
      </c>
      <c r="G22">
        <v>14708</v>
      </c>
      <c r="H22" s="8">
        <f>Tabla1[[#This Row],[kg_cuba]]/Tabla1[[#This Row],[litros_past]]</f>
        <v>1.0321403508771929</v>
      </c>
      <c r="I22">
        <v>13.32</v>
      </c>
      <c r="J22">
        <v>5.09</v>
      </c>
      <c r="K22">
        <v>4.01</v>
      </c>
      <c r="L22" t="s">
        <v>17</v>
      </c>
      <c r="M22">
        <v>54.95</v>
      </c>
      <c r="N22">
        <v>30.28</v>
      </c>
      <c r="O22">
        <v>5.36</v>
      </c>
      <c r="P22">
        <v>2300</v>
      </c>
      <c r="Q22">
        <v>1.2</v>
      </c>
      <c r="R22">
        <f>Tabla1[[#This Row],[est_past]]*Tabla1[[#This Row],[litros_past]]/100</f>
        <v>1963.65</v>
      </c>
      <c r="S22">
        <f>Tabla1[[#This Row],[mg_past]]*Tabla1[[#This Row],[litros_past]]/100</f>
        <v>760.95</v>
      </c>
      <c r="T22">
        <f>Tabla1[[#This Row],[mp_past]]*Tabla1[[#This Row],[litros_past]]/100</f>
        <v>599.92499999999995</v>
      </c>
      <c r="U22">
        <f>Tabla1[[#This Row],[est_salida_salmuera]]*Tabla1[[#This Row],[peso_queso_total]]/100</f>
        <v>1263.8499999999999</v>
      </c>
      <c r="V22">
        <f>Tabla1[[#This Row],[mg_salida_salmuera]]*Tabla1[[#This Row],[peso_queso_total]]/100</f>
        <v>696.44</v>
      </c>
      <c r="W22">
        <f>(Tabla1[[#This Row],[est_kg_queso]]-Tabla1[[#This Row],[mg_kg_queso]])</f>
        <v>567.40999999999985</v>
      </c>
      <c r="X22">
        <f>_xlfn.ISOWEEKNUM(Tabla1[[#This Row],[fecha]])</f>
        <v>19</v>
      </c>
    </row>
    <row r="23" spans="1:24" x14ac:dyDescent="0.25">
      <c r="A23" s="1">
        <v>44691</v>
      </c>
      <c r="B23" t="s">
        <v>21</v>
      </c>
      <c r="C23">
        <v>13650</v>
      </c>
      <c r="D23">
        <v>14.41</v>
      </c>
      <c r="E23">
        <v>5.32</v>
      </c>
      <c r="F23">
        <v>4.2699999999999996</v>
      </c>
      <c r="G23">
        <v>14047</v>
      </c>
      <c r="H23" s="8">
        <f>Tabla1[[#This Row],[kg_cuba]]/Tabla1[[#This Row],[litros_past]]</f>
        <v>1.0290842490842491</v>
      </c>
      <c r="I23">
        <v>13.4</v>
      </c>
      <c r="J23">
        <v>5.07</v>
      </c>
      <c r="K23">
        <v>4.07</v>
      </c>
      <c r="L23" t="s">
        <v>18</v>
      </c>
      <c r="M23">
        <v>56.72</v>
      </c>
      <c r="N23">
        <v>30.6</v>
      </c>
      <c r="O23">
        <v>5.44</v>
      </c>
      <c r="P23">
        <v>2157</v>
      </c>
      <c r="Q23">
        <v>1.76</v>
      </c>
      <c r="R23">
        <f>Tabla1[[#This Row],[est_past]]*Tabla1[[#This Row],[litros_past]]/100</f>
        <v>1966.9649999999999</v>
      </c>
      <c r="S23">
        <f>Tabla1[[#This Row],[mg_past]]*Tabla1[[#This Row],[litros_past]]/100</f>
        <v>726.18</v>
      </c>
      <c r="T23">
        <f>Tabla1[[#This Row],[mp_past]]*Tabla1[[#This Row],[litros_past]]/100</f>
        <v>582.8549999999999</v>
      </c>
      <c r="U23">
        <f>Tabla1[[#This Row],[est_salida_salmuera]]*Tabla1[[#This Row],[peso_queso_total]]/100</f>
        <v>1223.4503999999999</v>
      </c>
      <c r="V23">
        <f>Tabla1[[#This Row],[mg_salida_salmuera]]*Tabla1[[#This Row],[peso_queso_total]]/100</f>
        <v>660.04199999999992</v>
      </c>
      <c r="W23">
        <f>(Tabla1[[#This Row],[est_kg_queso]]-Tabla1[[#This Row],[mg_kg_queso]])</f>
        <v>563.40840000000003</v>
      </c>
      <c r="X23">
        <f>_xlfn.ISOWEEKNUM(Tabla1[[#This Row],[fecha]])</f>
        <v>19</v>
      </c>
    </row>
    <row r="24" spans="1:24" x14ac:dyDescent="0.25">
      <c r="A24" s="1">
        <v>44698</v>
      </c>
      <c r="B24" t="s">
        <v>21</v>
      </c>
      <c r="C24">
        <v>12330</v>
      </c>
      <c r="D24">
        <v>13.59</v>
      </c>
      <c r="E24">
        <v>5.25</v>
      </c>
      <c r="F24">
        <v>4.1900000000000004</v>
      </c>
      <c r="G24">
        <v>12699</v>
      </c>
      <c r="H24" s="8">
        <v>1.03</v>
      </c>
      <c r="I24">
        <v>13.33</v>
      </c>
      <c r="J24">
        <v>5</v>
      </c>
      <c r="K24">
        <v>3.99</v>
      </c>
      <c r="L24" t="s">
        <v>18</v>
      </c>
      <c r="M24">
        <v>55.87</v>
      </c>
      <c r="N24">
        <v>30.27</v>
      </c>
      <c r="O24">
        <v>5.45</v>
      </c>
      <c r="P24">
        <v>1909</v>
      </c>
      <c r="Q24">
        <v>1.48</v>
      </c>
      <c r="R24">
        <f>Tabla1[[#This Row],[est_past]]*Tabla1[[#This Row],[litros_past]]/100</f>
        <v>1675.6470000000002</v>
      </c>
      <c r="S24">
        <f>Tabla1[[#This Row],[mg_past]]*Tabla1[[#This Row],[litros_past]]/100</f>
        <v>647.32500000000005</v>
      </c>
      <c r="T24">
        <f>Tabla1[[#This Row],[mp_past]]*Tabla1[[#This Row],[litros_past]]/100</f>
        <v>516.62700000000007</v>
      </c>
      <c r="U24">
        <f>Tabla1[[#This Row],[est_salida_salmuera]]*Tabla1[[#This Row],[peso_queso_total]]/100</f>
        <v>1066.5582999999999</v>
      </c>
      <c r="V24">
        <f>Tabla1[[#This Row],[mg_salida_salmuera]]*Tabla1[[#This Row],[peso_queso_total]]/100</f>
        <v>577.85429999999997</v>
      </c>
      <c r="W24">
        <f>(Tabla1[[#This Row],[est_kg_queso]]-Tabla1[[#This Row],[mg_kg_queso]])</f>
        <v>488.70399999999995</v>
      </c>
      <c r="X24">
        <f>_xlfn.ISOWEEKNUM(Tabla1[[#This Row],[fecha]])</f>
        <v>20</v>
      </c>
    </row>
    <row r="25" spans="1:24" x14ac:dyDescent="0.25">
      <c r="A25" s="1">
        <v>44705</v>
      </c>
      <c r="B25" t="s">
        <v>21</v>
      </c>
      <c r="C25">
        <v>13190</v>
      </c>
      <c r="D25">
        <v>13.45</v>
      </c>
      <c r="E25">
        <v>5.35</v>
      </c>
      <c r="F25">
        <v>4.2</v>
      </c>
      <c r="G25">
        <v>13592</v>
      </c>
      <c r="H25" s="8">
        <v>1.03</v>
      </c>
      <c r="I25">
        <v>13.38</v>
      </c>
      <c r="J25">
        <v>5.0999999999999996</v>
      </c>
      <c r="K25">
        <v>4</v>
      </c>
      <c r="L25" t="s">
        <v>18</v>
      </c>
      <c r="M25">
        <v>55.76</v>
      </c>
      <c r="N25">
        <v>31.02</v>
      </c>
      <c r="O25">
        <v>5.46</v>
      </c>
      <c r="P25">
        <v>2028</v>
      </c>
      <c r="Q25">
        <v>1.57</v>
      </c>
      <c r="R25">
        <f>Tabla1[[#This Row],[est_past]]*Tabla1[[#This Row],[litros_past]]/100</f>
        <v>1774.0550000000001</v>
      </c>
      <c r="S25">
        <f>Tabla1[[#This Row],[mg_past]]*Tabla1[[#This Row],[litros_past]]/100</f>
        <v>705.66499999999996</v>
      </c>
      <c r="T25">
        <f>Tabla1[[#This Row],[mp_past]]*Tabla1[[#This Row],[litros_past]]/100</f>
        <v>553.98</v>
      </c>
      <c r="U25">
        <f>Tabla1[[#This Row],[est_salida_salmuera]]*Tabla1[[#This Row],[peso_queso_total]]/100</f>
        <v>1130.8127999999999</v>
      </c>
      <c r="V25">
        <f>Tabla1[[#This Row],[mg_salida_salmuera]]*Tabla1[[#This Row],[peso_queso_total]]/100</f>
        <v>629.0856</v>
      </c>
      <c r="W25">
        <f>(Tabla1[[#This Row],[est_kg_queso]]-Tabla1[[#This Row],[mg_kg_queso]])</f>
        <v>501.72719999999993</v>
      </c>
      <c r="X25">
        <f>_xlfn.ISOWEEKNUM(Tabla1[[#This Row],[fecha]])</f>
        <v>21</v>
      </c>
    </row>
    <row r="26" spans="1:24" x14ac:dyDescent="0.25">
      <c r="A26" s="1">
        <v>44706</v>
      </c>
      <c r="B26" t="s">
        <v>21</v>
      </c>
      <c r="C26">
        <v>9730</v>
      </c>
      <c r="D26">
        <v>13.66</v>
      </c>
      <c r="E26">
        <v>4.91</v>
      </c>
      <c r="F26">
        <v>3.88</v>
      </c>
      <c r="G26">
        <v>10047</v>
      </c>
      <c r="H26" s="8">
        <v>1.0329999999999999</v>
      </c>
      <c r="I26">
        <v>12.36</v>
      </c>
      <c r="J26">
        <v>4.66</v>
      </c>
      <c r="K26">
        <v>3.68</v>
      </c>
      <c r="L26" t="s">
        <v>19</v>
      </c>
      <c r="M26">
        <v>54.5</v>
      </c>
      <c r="N26">
        <v>29.56</v>
      </c>
      <c r="O26">
        <v>5.54</v>
      </c>
      <c r="P26">
        <v>1438</v>
      </c>
      <c r="Q26">
        <v>1.77</v>
      </c>
      <c r="R26">
        <f>Tabla1[[#This Row],[est_past]]*Tabla1[[#This Row],[litros_past]]/100</f>
        <v>1329.1179999999999</v>
      </c>
      <c r="S26">
        <f>Tabla1[[#This Row],[mg_past]]*Tabla1[[#This Row],[litros_past]]/100</f>
        <v>477.74300000000005</v>
      </c>
      <c r="T26">
        <f>Tabla1[[#This Row],[mp_past]]*Tabla1[[#This Row],[litros_past]]/100</f>
        <v>377.524</v>
      </c>
      <c r="U26">
        <f>Tabla1[[#This Row],[est_salida_salmuera]]*Tabla1[[#This Row],[peso_queso_total]]/100</f>
        <v>783.71</v>
      </c>
      <c r="V26">
        <f>Tabla1[[#This Row],[mg_salida_salmuera]]*Tabla1[[#This Row],[peso_queso_total]]/100</f>
        <v>425.07279999999997</v>
      </c>
      <c r="W26">
        <f>(Tabla1[[#This Row],[est_kg_queso]]-Tabla1[[#This Row],[mg_kg_queso]])</f>
        <v>358.63720000000006</v>
      </c>
      <c r="X26">
        <f>_xlfn.ISOWEEKNUM(Tabla1[[#This Row],[fecha]])</f>
        <v>21</v>
      </c>
    </row>
    <row r="27" spans="1:24" x14ac:dyDescent="0.25">
      <c r="A27" s="1">
        <v>44711</v>
      </c>
      <c r="B27" t="s">
        <v>21</v>
      </c>
      <c r="C27">
        <v>12160</v>
      </c>
      <c r="D27">
        <v>13.66</v>
      </c>
      <c r="E27">
        <v>5.22</v>
      </c>
      <c r="F27">
        <v>4.12</v>
      </c>
      <c r="G27">
        <v>12550</v>
      </c>
      <c r="H27" s="8">
        <v>1.032</v>
      </c>
      <c r="I27">
        <v>12.93</v>
      </c>
      <c r="J27">
        <v>4.97</v>
      </c>
      <c r="K27">
        <v>3.92</v>
      </c>
      <c r="L27" t="s">
        <v>17</v>
      </c>
      <c r="M27">
        <v>48.7</v>
      </c>
      <c r="N27">
        <v>26.2</v>
      </c>
      <c r="O27">
        <v>5.41</v>
      </c>
      <c r="P27">
        <v>2234</v>
      </c>
      <c r="Q27">
        <v>1.26</v>
      </c>
      <c r="R27">
        <f>Tabla1[[#This Row],[est_past]]*Tabla1[[#This Row],[litros_past]]/100</f>
        <v>1661.056</v>
      </c>
      <c r="S27">
        <f>Tabla1[[#This Row],[mg_past]]*Tabla1[[#This Row],[litros_past]]/100</f>
        <v>634.75199999999995</v>
      </c>
      <c r="T27">
        <f>Tabla1[[#This Row],[mp_past]]*Tabla1[[#This Row],[litros_past]]/100</f>
        <v>500.99200000000002</v>
      </c>
      <c r="U27">
        <f>Tabla1[[#This Row],[est_salida_salmuera]]*Tabla1[[#This Row],[peso_queso_total]]/100</f>
        <v>1087.9580000000001</v>
      </c>
      <c r="V27">
        <f>Tabla1[[#This Row],[mg_salida_salmuera]]*Tabla1[[#This Row],[peso_queso_total]]/100</f>
        <v>585.30799999999999</v>
      </c>
      <c r="W27">
        <f>(Tabla1[[#This Row],[est_kg_queso]]-Tabla1[[#This Row],[mg_kg_queso]])</f>
        <v>502.65000000000009</v>
      </c>
      <c r="X27">
        <f>_xlfn.ISOWEEKNUM(Tabla1[[#This Row],[fecha]])</f>
        <v>22</v>
      </c>
    </row>
    <row r="28" spans="1:24" x14ac:dyDescent="0.25">
      <c r="A28" s="1">
        <v>44624</v>
      </c>
      <c r="B28" t="s">
        <v>22</v>
      </c>
      <c r="C28">
        <v>11860</v>
      </c>
      <c r="D28">
        <v>14.99</v>
      </c>
      <c r="E28">
        <v>6.16</v>
      </c>
      <c r="F28">
        <v>4.79</v>
      </c>
      <c r="G28">
        <v>12344</v>
      </c>
      <c r="H28" s="8">
        <v>1.0409999999999999</v>
      </c>
      <c r="I28">
        <v>14.37</v>
      </c>
      <c r="J28">
        <v>5.86</v>
      </c>
      <c r="K28">
        <v>4.55</v>
      </c>
      <c r="L28" t="s">
        <v>18</v>
      </c>
      <c r="M28">
        <v>57.6</v>
      </c>
      <c r="N28">
        <v>31.99</v>
      </c>
      <c r="O28">
        <v>5.42</v>
      </c>
      <c r="P28">
        <v>2051</v>
      </c>
      <c r="R28">
        <f>Tabla1[[#This Row],[est_past]]*Tabla1[[#This Row],[litros_past]]/100</f>
        <v>1777.8139999999999</v>
      </c>
      <c r="S28">
        <f>Tabla1[[#This Row],[mg_past]]*Tabla1[[#This Row],[litros_past]]/100</f>
        <v>730.57600000000002</v>
      </c>
      <c r="T28">
        <f>Tabla1[[#This Row],[mp_past]]*Tabla1[[#This Row],[litros_past]]/100</f>
        <v>568.09400000000005</v>
      </c>
      <c r="U28">
        <f>Tabla1[[#This Row],[est_salida_salmuera]]*Tabla1[[#This Row],[peso_queso_total]]/100</f>
        <v>1181.376</v>
      </c>
      <c r="V28">
        <f>Tabla1[[#This Row],[mg_salida_salmuera]]*Tabla1[[#This Row],[peso_queso_total]]/100</f>
        <v>656.11489999999992</v>
      </c>
      <c r="W28">
        <f>(Tabla1[[#This Row],[est_kg_queso]]-Tabla1[[#This Row],[mg_kg_queso]])</f>
        <v>525.26110000000006</v>
      </c>
      <c r="X28">
        <f>_xlfn.ISOWEEKNUM(Tabla1[[#This Row],[fecha]])</f>
        <v>9</v>
      </c>
    </row>
    <row r="29" spans="1:24" x14ac:dyDescent="0.25">
      <c r="A29" s="1">
        <v>44628</v>
      </c>
      <c r="B29" t="s">
        <v>22</v>
      </c>
      <c r="C29">
        <v>13700</v>
      </c>
      <c r="D29">
        <v>16.22</v>
      </c>
      <c r="E29">
        <v>6.4</v>
      </c>
      <c r="F29">
        <v>4.9800000000000004</v>
      </c>
      <c r="G29">
        <v>14269</v>
      </c>
      <c r="H29" s="8">
        <v>1.0409999999999999</v>
      </c>
      <c r="I29">
        <v>15.04</v>
      </c>
      <c r="J29">
        <v>6.1</v>
      </c>
      <c r="K29">
        <v>4.74</v>
      </c>
      <c r="L29" t="s">
        <v>18</v>
      </c>
      <c r="M29">
        <v>53.78</v>
      </c>
      <c r="N29">
        <v>29.85</v>
      </c>
      <c r="O29">
        <v>5.42</v>
      </c>
      <c r="P29">
        <v>2656</v>
      </c>
      <c r="Q29">
        <v>1.32</v>
      </c>
      <c r="R29">
        <f>Tabla1[[#This Row],[est_past]]*Tabla1[[#This Row],[litros_past]]/100</f>
        <v>2222.14</v>
      </c>
      <c r="S29">
        <f>Tabla1[[#This Row],[mg_past]]*Tabla1[[#This Row],[litros_past]]/100</f>
        <v>876.8</v>
      </c>
      <c r="T29">
        <f>Tabla1[[#This Row],[mp_past]]*Tabla1[[#This Row],[litros_past]]/100</f>
        <v>682.26</v>
      </c>
      <c r="U29">
        <f>Tabla1[[#This Row],[est_salida_salmuera]]*Tabla1[[#This Row],[peso_queso_total]]/100</f>
        <v>1428.3968</v>
      </c>
      <c r="V29">
        <f>Tabla1[[#This Row],[mg_salida_salmuera]]*Tabla1[[#This Row],[peso_queso_total]]/100</f>
        <v>792.81600000000003</v>
      </c>
      <c r="W29">
        <f>(Tabla1[[#This Row],[est_kg_queso]]-Tabla1[[#This Row],[mg_kg_queso]])</f>
        <v>635.58079999999995</v>
      </c>
      <c r="X29">
        <f>_xlfn.ISOWEEKNUM(Tabla1[[#This Row],[fecha]])</f>
        <v>10</v>
      </c>
    </row>
    <row r="30" spans="1:24" x14ac:dyDescent="0.25">
      <c r="A30" s="1">
        <v>44635</v>
      </c>
      <c r="B30" t="s">
        <v>22</v>
      </c>
      <c r="C30">
        <v>13750</v>
      </c>
      <c r="D30">
        <v>16.329999999999998</v>
      </c>
      <c r="E30">
        <v>6.38</v>
      </c>
      <c r="F30">
        <v>5.08</v>
      </c>
      <c r="G30">
        <v>14279</v>
      </c>
      <c r="H30" s="8">
        <v>1.038</v>
      </c>
      <c r="I30">
        <v>15.23</v>
      </c>
      <c r="J30">
        <v>6.08</v>
      </c>
      <c r="K30">
        <v>4.84</v>
      </c>
      <c r="L30" t="s">
        <v>18</v>
      </c>
      <c r="M30">
        <v>56.02</v>
      </c>
      <c r="N30">
        <v>30.82</v>
      </c>
      <c r="O30">
        <v>5.41</v>
      </c>
      <c r="P30">
        <v>2540</v>
      </c>
      <c r="Q30">
        <v>1.44</v>
      </c>
      <c r="R30">
        <f>Tabla1[[#This Row],[est_past]]*Tabla1[[#This Row],[litros_past]]/100</f>
        <v>2245.3749999999995</v>
      </c>
      <c r="S30">
        <f>Tabla1[[#This Row],[mg_past]]*Tabla1[[#This Row],[litros_past]]/100</f>
        <v>877.25</v>
      </c>
      <c r="T30">
        <f>Tabla1[[#This Row],[mp_past]]*Tabla1[[#This Row],[litros_past]]/100</f>
        <v>698.5</v>
      </c>
      <c r="U30">
        <f>Tabla1[[#This Row],[est_salida_salmuera]]*Tabla1[[#This Row],[peso_queso_total]]/100</f>
        <v>1422.9080000000001</v>
      </c>
      <c r="V30">
        <f>Tabla1[[#This Row],[mg_salida_salmuera]]*Tabla1[[#This Row],[peso_queso_total]]/100</f>
        <v>782.82799999999997</v>
      </c>
      <c r="W30">
        <f>(Tabla1[[#This Row],[est_kg_queso]]-Tabla1[[#This Row],[mg_kg_queso]])</f>
        <v>640.08000000000015</v>
      </c>
      <c r="X30">
        <f>_xlfn.ISOWEEKNUM(Tabla1[[#This Row],[fecha]])</f>
        <v>11</v>
      </c>
    </row>
    <row r="31" spans="1:24" x14ac:dyDescent="0.25">
      <c r="A31" s="1">
        <v>44659</v>
      </c>
      <c r="B31" t="s">
        <v>22</v>
      </c>
      <c r="C31">
        <v>10580</v>
      </c>
      <c r="D31">
        <v>14.84</v>
      </c>
      <c r="E31">
        <v>6.38</v>
      </c>
      <c r="F31">
        <v>5.04</v>
      </c>
      <c r="G31">
        <v>10994</v>
      </c>
      <c r="H31" s="8">
        <v>1.0389999999999999</v>
      </c>
      <c r="I31">
        <v>14.85</v>
      </c>
      <c r="J31">
        <v>6.08</v>
      </c>
      <c r="K31">
        <v>4.8</v>
      </c>
      <c r="L31" t="s">
        <v>18</v>
      </c>
      <c r="M31">
        <v>56.45</v>
      </c>
      <c r="N31">
        <v>31</v>
      </c>
      <c r="O31">
        <v>5.38</v>
      </c>
      <c r="P31">
        <v>1951</v>
      </c>
      <c r="Q31">
        <v>1.56</v>
      </c>
      <c r="R31">
        <f>Tabla1[[#This Row],[est_past]]*Tabla1[[#This Row],[litros_past]]/100</f>
        <v>1570.0720000000001</v>
      </c>
      <c r="S31">
        <f>Tabla1[[#This Row],[mg_past]]*Tabla1[[#This Row],[litros_past]]/100</f>
        <v>675.00399999999991</v>
      </c>
      <c r="T31">
        <f>Tabla1[[#This Row],[mp_past]]*Tabla1[[#This Row],[litros_past]]/100</f>
        <v>533.23199999999997</v>
      </c>
      <c r="U31">
        <f>Tabla1[[#This Row],[est_salida_salmuera]]*Tabla1[[#This Row],[peso_queso_total]]/100</f>
        <v>1101.3395</v>
      </c>
      <c r="V31">
        <f>Tabla1[[#This Row],[mg_salida_salmuera]]*Tabla1[[#This Row],[peso_queso_total]]/100</f>
        <v>604.80999999999995</v>
      </c>
      <c r="W31">
        <f>(Tabla1[[#This Row],[est_kg_queso]]-Tabla1[[#This Row],[mg_kg_queso]])</f>
        <v>496.5295000000001</v>
      </c>
      <c r="X31">
        <f>_xlfn.ISOWEEKNUM(Tabla1[[#This Row],[fecha]])</f>
        <v>14</v>
      </c>
    </row>
    <row r="32" spans="1:24" x14ac:dyDescent="0.25">
      <c r="A32" s="1">
        <v>44670</v>
      </c>
      <c r="B32" t="s">
        <v>22</v>
      </c>
      <c r="C32">
        <v>11680</v>
      </c>
      <c r="D32">
        <v>16.309999999999999</v>
      </c>
      <c r="E32">
        <v>6.42</v>
      </c>
      <c r="F32">
        <v>5.15</v>
      </c>
      <c r="G32">
        <v>12115</v>
      </c>
      <c r="H32" s="8">
        <v>1.0369999999999999</v>
      </c>
      <c r="I32">
        <v>15.18</v>
      </c>
      <c r="J32">
        <v>6.12</v>
      </c>
      <c r="K32">
        <v>4.91</v>
      </c>
      <c r="L32" t="s">
        <v>18</v>
      </c>
      <c r="M32">
        <v>54.84</v>
      </c>
      <c r="N32">
        <v>30.07</v>
      </c>
      <c r="O32">
        <v>5.46</v>
      </c>
      <c r="P32">
        <v>2244</v>
      </c>
      <c r="Q32">
        <v>0.96</v>
      </c>
      <c r="R32">
        <f>Tabla1[[#This Row],[est_past]]*Tabla1[[#This Row],[litros_past]]/100</f>
        <v>1905.0079999999998</v>
      </c>
      <c r="S32">
        <f>Tabla1[[#This Row],[mg_past]]*Tabla1[[#This Row],[litros_past]]/100</f>
        <v>749.85600000000011</v>
      </c>
      <c r="T32">
        <f>Tabla1[[#This Row],[mp_past]]*Tabla1[[#This Row],[litros_past]]/100</f>
        <v>601.5200000000001</v>
      </c>
      <c r="U32">
        <f>Tabla1[[#This Row],[est_salida_salmuera]]*Tabla1[[#This Row],[peso_queso_total]]/100</f>
        <v>1230.6096</v>
      </c>
      <c r="V32">
        <f>Tabla1[[#This Row],[mg_salida_salmuera]]*Tabla1[[#This Row],[peso_queso_total]]/100</f>
        <v>674.77080000000001</v>
      </c>
      <c r="W32">
        <f>(Tabla1[[#This Row],[est_kg_queso]]-Tabla1[[#This Row],[mg_kg_queso]])</f>
        <v>555.83879999999999</v>
      </c>
      <c r="X32">
        <f>_xlfn.ISOWEEKNUM(Tabla1[[#This Row],[fecha]])</f>
        <v>16</v>
      </c>
    </row>
    <row r="33" spans="1:24" x14ac:dyDescent="0.25">
      <c r="A33" s="1">
        <v>44687</v>
      </c>
      <c r="B33" t="s">
        <v>22</v>
      </c>
      <c r="C33">
        <v>11750</v>
      </c>
      <c r="D33">
        <v>14.51</v>
      </c>
      <c r="E33">
        <v>5.66</v>
      </c>
      <c r="F33">
        <v>4.58</v>
      </c>
      <c r="G33">
        <v>12171</v>
      </c>
      <c r="H33" s="8">
        <v>1.036</v>
      </c>
      <c r="I33">
        <v>13.61</v>
      </c>
      <c r="J33">
        <v>5.36</v>
      </c>
      <c r="K33">
        <v>4.34</v>
      </c>
      <c r="L33" t="s">
        <v>18</v>
      </c>
      <c r="M33">
        <v>54.55</v>
      </c>
      <c r="N33">
        <v>30.25</v>
      </c>
      <c r="O33">
        <v>5.24</v>
      </c>
      <c r="P33">
        <v>2002</v>
      </c>
      <c r="Q33">
        <v>1.67</v>
      </c>
      <c r="R33">
        <f>Tabla1[[#This Row],[est_past]]*Tabla1[[#This Row],[litros_past]]/100</f>
        <v>1704.925</v>
      </c>
      <c r="S33">
        <f>Tabla1[[#This Row],[mg_past]]*Tabla1[[#This Row],[litros_past]]/100</f>
        <v>665.05</v>
      </c>
      <c r="T33">
        <f>Tabla1[[#This Row],[mp_past]]*Tabla1[[#This Row],[litros_past]]/100</f>
        <v>538.15</v>
      </c>
      <c r="U33">
        <f>Tabla1[[#This Row],[est_salida_salmuera]]*Tabla1[[#This Row],[peso_queso_total]]/100</f>
        <v>1092.0909999999999</v>
      </c>
      <c r="V33">
        <f>Tabla1[[#This Row],[mg_salida_salmuera]]*Tabla1[[#This Row],[peso_queso_total]]/100</f>
        <v>605.60500000000002</v>
      </c>
      <c r="W33">
        <f>(Tabla1[[#This Row],[est_kg_queso]]-Tabla1[[#This Row],[mg_kg_queso]])</f>
        <v>486.48599999999988</v>
      </c>
      <c r="X33">
        <f>_xlfn.ISOWEEKNUM(Tabla1[[#This Row],[fecha]])</f>
        <v>18</v>
      </c>
    </row>
    <row r="34" spans="1:24" x14ac:dyDescent="0.25">
      <c r="A34" s="1">
        <v>44698</v>
      </c>
      <c r="B34" t="s">
        <v>22</v>
      </c>
      <c r="C34">
        <v>10850</v>
      </c>
      <c r="D34">
        <v>15.19</v>
      </c>
      <c r="E34">
        <v>5.95</v>
      </c>
      <c r="F34">
        <v>4.8</v>
      </c>
      <c r="G34">
        <v>11253</v>
      </c>
      <c r="H34" s="8">
        <v>1.0369999999999999</v>
      </c>
      <c r="I34">
        <v>14.05</v>
      </c>
      <c r="J34">
        <v>5.65</v>
      </c>
      <c r="K34">
        <v>4.5599999999999996</v>
      </c>
      <c r="L34" t="s">
        <v>18</v>
      </c>
      <c r="M34">
        <v>57.95</v>
      </c>
      <c r="N34">
        <v>31.6</v>
      </c>
      <c r="O34">
        <v>5.5</v>
      </c>
      <c r="P34">
        <v>1857</v>
      </c>
      <c r="Q34">
        <v>1.35</v>
      </c>
      <c r="R34">
        <f>Tabla1[[#This Row],[est_past]]*Tabla1[[#This Row],[litros_past]]/100</f>
        <v>1648.115</v>
      </c>
      <c r="S34">
        <f>Tabla1[[#This Row],[mg_past]]*Tabla1[[#This Row],[litros_past]]/100</f>
        <v>645.57500000000005</v>
      </c>
      <c r="T34">
        <f>Tabla1[[#This Row],[mp_past]]*Tabla1[[#This Row],[litros_past]]/100</f>
        <v>520.79999999999995</v>
      </c>
      <c r="U34">
        <f>Tabla1[[#This Row],[est_salida_salmuera]]*Tabla1[[#This Row],[peso_queso_total]]/100</f>
        <v>1076.1315000000002</v>
      </c>
      <c r="V34">
        <f>Tabla1[[#This Row],[mg_salida_salmuera]]*Tabla1[[#This Row],[peso_queso_total]]/100</f>
        <v>586.81200000000001</v>
      </c>
      <c r="W34">
        <f>(Tabla1[[#This Row],[est_kg_queso]]-Tabla1[[#This Row],[mg_kg_queso]])</f>
        <v>489.31950000000018</v>
      </c>
      <c r="X34">
        <f>_xlfn.ISOWEEKNUM(Tabla1[[#This Row],[fecha]])</f>
        <v>20</v>
      </c>
    </row>
    <row r="35" spans="1:24" x14ac:dyDescent="0.25">
      <c r="A35" s="1">
        <v>44701</v>
      </c>
      <c r="B35" t="s">
        <v>22</v>
      </c>
      <c r="C35">
        <v>10890</v>
      </c>
      <c r="D35">
        <v>17.989999999999998</v>
      </c>
      <c r="E35">
        <v>6.91</v>
      </c>
      <c r="F35">
        <v>5.5</v>
      </c>
      <c r="G35">
        <v>11288</v>
      </c>
      <c r="H35" s="8">
        <v>1.0369999999999999</v>
      </c>
      <c r="I35">
        <v>16.260000000000002</v>
      </c>
      <c r="J35">
        <v>6.61</v>
      </c>
      <c r="K35">
        <v>5.26</v>
      </c>
      <c r="L35" t="s">
        <v>18</v>
      </c>
      <c r="M35">
        <v>56.88</v>
      </c>
      <c r="N35">
        <v>31.59</v>
      </c>
      <c r="O35">
        <v>5.37</v>
      </c>
      <c r="P35">
        <v>2193</v>
      </c>
      <c r="Q35">
        <v>1.34</v>
      </c>
      <c r="R35">
        <f>Tabla1[[#This Row],[est_past]]*Tabla1[[#This Row],[litros_past]]/100</f>
        <v>1959.1109999999999</v>
      </c>
      <c r="S35">
        <f>Tabla1[[#This Row],[mg_past]]*Tabla1[[#This Row],[litros_past]]/100</f>
        <v>752.49900000000014</v>
      </c>
      <c r="T35">
        <f>Tabla1[[#This Row],[mp_past]]*Tabla1[[#This Row],[litros_past]]/100</f>
        <v>598.95000000000005</v>
      </c>
      <c r="U35">
        <f>Tabla1[[#This Row],[est_salida_salmuera]]*Tabla1[[#This Row],[peso_queso_total]]/100</f>
        <v>1247.3784000000001</v>
      </c>
      <c r="V35">
        <f>Tabla1[[#This Row],[mg_salida_salmuera]]*Tabla1[[#This Row],[peso_queso_total]]/100</f>
        <v>692.76869999999997</v>
      </c>
      <c r="W35">
        <f>(Tabla1[[#This Row],[est_kg_queso]]-Tabla1[[#This Row],[mg_kg_queso]])</f>
        <v>554.60970000000009</v>
      </c>
      <c r="X35">
        <f>_xlfn.ISOWEEKNUM(Tabla1[[#This Row],[fecha]])</f>
        <v>20</v>
      </c>
    </row>
    <row r="36" spans="1:24" x14ac:dyDescent="0.25">
      <c r="A36" s="1">
        <v>44701</v>
      </c>
      <c r="B36" t="s">
        <v>22</v>
      </c>
      <c r="C36">
        <v>10880</v>
      </c>
      <c r="D36">
        <v>16.53</v>
      </c>
      <c r="E36">
        <v>6.07</v>
      </c>
      <c r="F36">
        <v>4.6500000000000004</v>
      </c>
      <c r="G36">
        <v>11275</v>
      </c>
      <c r="H36" s="8">
        <v>1.036</v>
      </c>
      <c r="I36">
        <v>14.16</v>
      </c>
      <c r="J36">
        <v>5.77</v>
      </c>
      <c r="K36">
        <v>4.41</v>
      </c>
      <c r="L36" t="s">
        <v>18</v>
      </c>
      <c r="M36">
        <v>56.25</v>
      </c>
      <c r="N36">
        <v>30.87</v>
      </c>
      <c r="O36">
        <v>5.39</v>
      </c>
      <c r="P36">
        <v>1925</v>
      </c>
      <c r="Q36">
        <v>1.4</v>
      </c>
      <c r="R36">
        <f>Tabla1[[#This Row],[est_past]]*Tabla1[[#This Row],[litros_past]]/100</f>
        <v>1798.4640000000002</v>
      </c>
      <c r="S36">
        <f>Tabla1[[#This Row],[mg_past]]*Tabla1[[#This Row],[litros_past]]/100</f>
        <v>660.41600000000005</v>
      </c>
      <c r="T36">
        <f>Tabla1[[#This Row],[mp_past]]*Tabla1[[#This Row],[litros_past]]/100</f>
        <v>505.92000000000007</v>
      </c>
      <c r="U36">
        <f>Tabla1[[#This Row],[est_salida_salmuera]]*Tabla1[[#This Row],[peso_queso_total]]/100</f>
        <v>1082.8125</v>
      </c>
      <c r="V36">
        <f>Tabla1[[#This Row],[mg_salida_salmuera]]*Tabla1[[#This Row],[peso_queso_total]]/100</f>
        <v>594.24749999999995</v>
      </c>
      <c r="W36">
        <f>(Tabla1[[#This Row],[est_kg_queso]]-Tabla1[[#This Row],[mg_kg_queso]])</f>
        <v>488.56500000000005</v>
      </c>
      <c r="X36">
        <f>_xlfn.ISOWEEKNUM(Tabla1[[#This Row],[fecha]])</f>
        <v>20</v>
      </c>
    </row>
    <row r="37" spans="1:24" x14ac:dyDescent="0.25">
      <c r="A37" s="1">
        <v>44708</v>
      </c>
      <c r="B37" t="s">
        <v>22</v>
      </c>
      <c r="C37">
        <v>11980</v>
      </c>
      <c r="D37">
        <v>16.510000000000002</v>
      </c>
      <c r="E37">
        <v>6.4</v>
      </c>
      <c r="F37">
        <v>5.19</v>
      </c>
      <c r="G37">
        <v>12425</v>
      </c>
      <c r="H37" s="8">
        <v>1.0369999999999999</v>
      </c>
      <c r="I37">
        <v>15.1</v>
      </c>
      <c r="J37">
        <v>6.1</v>
      </c>
      <c r="K37">
        <v>4.95</v>
      </c>
      <c r="L37" t="s">
        <v>18</v>
      </c>
      <c r="M37">
        <v>57.99</v>
      </c>
      <c r="N37">
        <v>32.06</v>
      </c>
      <c r="O37">
        <v>5.39</v>
      </c>
      <c r="P37">
        <v>2195</v>
      </c>
      <c r="Q37">
        <v>1.2</v>
      </c>
      <c r="R37">
        <f>Tabla1[[#This Row],[est_past]]*Tabla1[[#This Row],[litros_past]]/100</f>
        <v>1977.8980000000001</v>
      </c>
      <c r="S37">
        <f>Tabla1[[#This Row],[mg_past]]*Tabla1[[#This Row],[litros_past]]/100</f>
        <v>766.72</v>
      </c>
      <c r="T37">
        <f>Tabla1[[#This Row],[mp_past]]*Tabla1[[#This Row],[litros_past]]/100</f>
        <v>621.76200000000006</v>
      </c>
      <c r="U37">
        <f>Tabla1[[#This Row],[est_salida_salmuera]]*Tabla1[[#This Row],[peso_queso_total]]/100</f>
        <v>1272.8805</v>
      </c>
      <c r="V37">
        <f>Tabla1[[#This Row],[mg_salida_salmuera]]*Tabla1[[#This Row],[peso_queso_total]]/100</f>
        <v>703.7170000000001</v>
      </c>
      <c r="W37">
        <f>(Tabla1[[#This Row],[est_kg_queso]]-Tabla1[[#This Row],[mg_kg_queso]])</f>
        <v>569.16349999999989</v>
      </c>
      <c r="X37">
        <f>_xlfn.ISOWEEKNUM(Tabla1[[#This Row],[fecha]])</f>
        <v>21</v>
      </c>
    </row>
    <row r="38" spans="1:24" x14ac:dyDescent="0.25">
      <c r="A38" s="1">
        <v>44621</v>
      </c>
      <c r="B38" t="s">
        <v>23</v>
      </c>
      <c r="C38">
        <v>15350</v>
      </c>
      <c r="D38">
        <v>12.542</v>
      </c>
      <c r="E38">
        <v>4.2</v>
      </c>
      <c r="F38">
        <v>3.0760000000000001</v>
      </c>
      <c r="G38">
        <v>15811</v>
      </c>
      <c r="H38" s="8">
        <v>1.03</v>
      </c>
      <c r="I38">
        <v>11.37</v>
      </c>
      <c r="J38">
        <v>4.01</v>
      </c>
      <c r="K38">
        <v>2.94</v>
      </c>
      <c r="L38" t="s">
        <v>18</v>
      </c>
      <c r="M38">
        <v>55.94</v>
      </c>
      <c r="N38">
        <v>29.5</v>
      </c>
      <c r="O38">
        <v>5.41</v>
      </c>
      <c r="P38">
        <v>1960</v>
      </c>
      <c r="Q38">
        <v>1.55</v>
      </c>
      <c r="R38">
        <f>Tabla1[[#This Row],[est_past]]*Tabla1[[#This Row],[litros_past]]/100</f>
        <v>1925.1970000000001</v>
      </c>
      <c r="S38">
        <f>Tabla1[[#This Row],[mg_past]]*Tabla1[[#This Row],[litros_past]]/100</f>
        <v>644.70000000000005</v>
      </c>
      <c r="T38">
        <f>Tabla1[[#This Row],[mp_past]]*Tabla1[[#This Row],[litros_past]]/100</f>
        <v>472.166</v>
      </c>
      <c r="U38">
        <f>Tabla1[[#This Row],[est_salida_salmuera]]*Tabla1[[#This Row],[peso_queso_total]]/100</f>
        <v>1096.424</v>
      </c>
      <c r="V38">
        <f>Tabla1[[#This Row],[mg_salida_salmuera]]*Tabla1[[#This Row],[peso_queso_total]]/100</f>
        <v>578.20000000000005</v>
      </c>
      <c r="W38">
        <f>(Tabla1[[#This Row],[est_kg_queso]]-Tabla1[[#This Row],[mg_kg_queso]])</f>
        <v>518.22399999999993</v>
      </c>
      <c r="X38">
        <f>_xlfn.ISOWEEKNUM(Tabla1[[#This Row],[fecha]])</f>
        <v>9</v>
      </c>
    </row>
    <row r="39" spans="1:24" x14ac:dyDescent="0.25">
      <c r="A39" s="1">
        <v>44624</v>
      </c>
      <c r="B39" t="s">
        <v>23</v>
      </c>
      <c r="C39">
        <v>14530</v>
      </c>
      <c r="D39">
        <v>13.311999999999999</v>
      </c>
      <c r="E39">
        <v>4.0019999999999998</v>
      </c>
      <c r="F39">
        <v>3.673</v>
      </c>
      <c r="G39">
        <v>14990</v>
      </c>
      <c r="H39" s="8">
        <v>1.032</v>
      </c>
      <c r="I39">
        <v>13.25</v>
      </c>
      <c r="J39">
        <v>3.79</v>
      </c>
      <c r="K39">
        <v>3.45</v>
      </c>
      <c r="L39" t="s">
        <v>18</v>
      </c>
      <c r="M39">
        <v>54.58</v>
      </c>
      <c r="N39">
        <v>29.8</v>
      </c>
      <c r="O39">
        <v>5.88</v>
      </c>
      <c r="P39">
        <v>1888</v>
      </c>
      <c r="Q39">
        <v>1.77</v>
      </c>
      <c r="R39">
        <f>Tabla1[[#This Row],[est_past]]*Tabla1[[#This Row],[litros_past]]/100</f>
        <v>1934.2335999999998</v>
      </c>
      <c r="S39">
        <f>Tabla1[[#This Row],[mg_past]]*Tabla1[[#This Row],[litros_past]]/100</f>
        <v>581.49059999999997</v>
      </c>
      <c r="T39">
        <f>Tabla1[[#This Row],[mp_past]]*Tabla1[[#This Row],[litros_past]]/100</f>
        <v>533.68690000000004</v>
      </c>
      <c r="U39">
        <f>Tabla1[[#This Row],[est_salida_salmuera]]*Tabla1[[#This Row],[peso_queso_total]]/100</f>
        <v>1030.4703999999999</v>
      </c>
      <c r="V39">
        <f>Tabla1[[#This Row],[mg_salida_salmuera]]*Tabla1[[#This Row],[peso_queso_total]]/100</f>
        <v>562.62400000000002</v>
      </c>
      <c r="W39">
        <f>(Tabla1[[#This Row],[est_kg_queso]]-Tabla1[[#This Row],[mg_kg_queso]])</f>
        <v>467.8463999999999</v>
      </c>
      <c r="X39">
        <f>_xlfn.ISOWEEKNUM(Tabla1[[#This Row],[fecha]])</f>
        <v>9</v>
      </c>
    </row>
    <row r="40" spans="1:24" x14ac:dyDescent="0.25">
      <c r="A40" s="1">
        <v>44645</v>
      </c>
      <c r="B40" t="s">
        <v>23</v>
      </c>
      <c r="C40">
        <v>12633</v>
      </c>
      <c r="D40">
        <v>12.856</v>
      </c>
      <c r="E40">
        <v>3.8889999999999998</v>
      </c>
      <c r="F40">
        <v>3.3719999999999999</v>
      </c>
      <c r="G40">
        <v>13012</v>
      </c>
      <c r="H40" s="8">
        <v>1.03</v>
      </c>
      <c r="I40">
        <v>12.89</v>
      </c>
      <c r="J40">
        <v>3.69</v>
      </c>
      <c r="K40">
        <v>3.21</v>
      </c>
      <c r="L40" t="s">
        <v>18</v>
      </c>
      <c r="M40">
        <v>54.1</v>
      </c>
      <c r="N40">
        <v>30.63</v>
      </c>
      <c r="O40">
        <v>5.48</v>
      </c>
      <c r="P40">
        <v>1555</v>
      </c>
      <c r="Q40">
        <v>1.32</v>
      </c>
      <c r="R40">
        <f>Tabla1[[#This Row],[est_past]]*Tabla1[[#This Row],[litros_past]]/100</f>
        <v>1624.0984799999999</v>
      </c>
      <c r="S40">
        <f>Tabla1[[#This Row],[mg_past]]*Tabla1[[#This Row],[litros_past]]/100</f>
        <v>491.29736999999994</v>
      </c>
      <c r="T40">
        <f>Tabla1[[#This Row],[mp_past]]*Tabla1[[#This Row],[litros_past]]/100</f>
        <v>425.98475999999994</v>
      </c>
      <c r="U40">
        <f>Tabla1[[#This Row],[est_salida_salmuera]]*Tabla1[[#This Row],[peso_queso_total]]/100</f>
        <v>841.255</v>
      </c>
      <c r="V40">
        <f>Tabla1[[#This Row],[mg_salida_salmuera]]*Tabla1[[#This Row],[peso_queso_total]]/100</f>
        <v>476.29650000000004</v>
      </c>
      <c r="W40">
        <f>(Tabla1[[#This Row],[est_kg_queso]]-Tabla1[[#This Row],[mg_kg_queso]])</f>
        <v>364.95849999999996</v>
      </c>
      <c r="X40">
        <f>_xlfn.ISOWEEKNUM(Tabla1[[#This Row],[fecha]])</f>
        <v>12</v>
      </c>
    </row>
    <row r="41" spans="1:24" x14ac:dyDescent="0.25">
      <c r="A41" s="1">
        <v>44652</v>
      </c>
      <c r="B41" t="s">
        <v>23</v>
      </c>
      <c r="C41">
        <v>15430</v>
      </c>
      <c r="D41">
        <v>13.151</v>
      </c>
      <c r="E41">
        <v>3.8860000000000001</v>
      </c>
      <c r="F41">
        <v>3.218</v>
      </c>
      <c r="G41">
        <v>15947</v>
      </c>
      <c r="H41" s="8">
        <v>1.0329999999999999</v>
      </c>
      <c r="I41">
        <v>11.88</v>
      </c>
      <c r="J41">
        <v>3.71</v>
      </c>
      <c r="K41">
        <v>3.02</v>
      </c>
      <c r="L41" t="s">
        <v>18</v>
      </c>
      <c r="M41">
        <v>56.76</v>
      </c>
      <c r="N41">
        <v>30.51</v>
      </c>
      <c r="O41">
        <v>5.36</v>
      </c>
      <c r="P41">
        <v>1750</v>
      </c>
      <c r="Q41">
        <v>1.36</v>
      </c>
      <c r="R41">
        <f>Tabla1[[#This Row],[est_past]]*Tabla1[[#This Row],[litros_past]]/100</f>
        <v>2029.1993</v>
      </c>
      <c r="S41">
        <f>Tabla1[[#This Row],[mg_past]]*Tabla1[[#This Row],[litros_past]]/100</f>
        <v>599.60980000000006</v>
      </c>
      <c r="T41">
        <f>Tabla1[[#This Row],[mp_past]]*Tabla1[[#This Row],[litros_past]]/100</f>
        <v>496.53739999999999</v>
      </c>
      <c r="U41">
        <f>Tabla1[[#This Row],[est_salida_salmuera]]*Tabla1[[#This Row],[peso_queso_total]]/100</f>
        <v>993.3</v>
      </c>
      <c r="V41">
        <f>Tabla1[[#This Row],[mg_salida_salmuera]]*Tabla1[[#This Row],[peso_queso_total]]/100</f>
        <v>533.92499999999995</v>
      </c>
      <c r="W41">
        <f>(Tabla1[[#This Row],[est_kg_queso]]-Tabla1[[#This Row],[mg_kg_queso]])</f>
        <v>459.375</v>
      </c>
      <c r="X41">
        <f>_xlfn.ISOWEEKNUM(Tabla1[[#This Row],[fecha]])</f>
        <v>13</v>
      </c>
    </row>
    <row r="42" spans="1:24" x14ac:dyDescent="0.25">
      <c r="A42" s="1">
        <v>44659</v>
      </c>
      <c r="B42" t="s">
        <v>23</v>
      </c>
      <c r="C42">
        <v>15930</v>
      </c>
      <c r="D42">
        <v>13.103</v>
      </c>
      <c r="E42">
        <v>4.0220000000000002</v>
      </c>
      <c r="F42">
        <v>3.3959999999999999</v>
      </c>
      <c r="G42">
        <v>16453</v>
      </c>
      <c r="H42" s="8">
        <v>1.0329999999999999</v>
      </c>
      <c r="I42">
        <v>11.93</v>
      </c>
      <c r="J42">
        <v>3.81</v>
      </c>
      <c r="K42">
        <v>3.23</v>
      </c>
      <c r="L42" t="s">
        <v>18</v>
      </c>
      <c r="M42">
        <v>55.63</v>
      </c>
      <c r="N42">
        <v>30.01</v>
      </c>
      <c r="O42">
        <v>5.31</v>
      </c>
      <c r="P42">
        <v>1955</v>
      </c>
      <c r="Q42">
        <v>1.9</v>
      </c>
      <c r="R42">
        <f>Tabla1[[#This Row],[est_past]]*Tabla1[[#This Row],[litros_past]]/100</f>
        <v>2087.3079000000002</v>
      </c>
      <c r="S42">
        <f>Tabla1[[#This Row],[mg_past]]*Tabla1[[#This Row],[litros_past]]/100</f>
        <v>640.70460000000003</v>
      </c>
      <c r="T42">
        <f>Tabla1[[#This Row],[mp_past]]*Tabla1[[#This Row],[litros_past]]/100</f>
        <v>540.9828</v>
      </c>
      <c r="U42">
        <f>Tabla1[[#This Row],[est_salida_salmuera]]*Tabla1[[#This Row],[peso_queso_total]]/100</f>
        <v>1087.5665000000001</v>
      </c>
      <c r="V42">
        <f>Tabla1[[#This Row],[mg_salida_salmuera]]*Tabla1[[#This Row],[peso_queso_total]]/100</f>
        <v>586.69550000000004</v>
      </c>
      <c r="W42">
        <f>(Tabla1[[#This Row],[est_kg_queso]]-Tabla1[[#This Row],[mg_kg_queso]])</f>
        <v>500.87100000000009</v>
      </c>
      <c r="X42">
        <f>_xlfn.ISOWEEKNUM(Tabla1[[#This Row],[fecha]])</f>
        <v>14</v>
      </c>
    </row>
    <row r="43" spans="1:24" x14ac:dyDescent="0.25">
      <c r="A43" s="1">
        <v>44666</v>
      </c>
      <c r="B43" t="s">
        <v>23</v>
      </c>
      <c r="C43">
        <v>14130</v>
      </c>
      <c r="D43">
        <v>13.323</v>
      </c>
      <c r="E43">
        <v>4.01</v>
      </c>
      <c r="F43">
        <v>3.496</v>
      </c>
      <c r="G43">
        <v>14585</v>
      </c>
      <c r="H43" s="8">
        <v>1.032</v>
      </c>
      <c r="I43">
        <v>12.55</v>
      </c>
      <c r="J43">
        <v>3.84</v>
      </c>
      <c r="K43">
        <v>3.32</v>
      </c>
      <c r="L43" t="s">
        <v>18</v>
      </c>
      <c r="M43">
        <v>55.68</v>
      </c>
      <c r="N43">
        <v>29.31</v>
      </c>
      <c r="O43">
        <v>5.43</v>
      </c>
      <c r="P43">
        <v>1640</v>
      </c>
      <c r="Q43">
        <v>1.17</v>
      </c>
      <c r="R43">
        <f>Tabla1[[#This Row],[est_past]]*Tabla1[[#This Row],[litros_past]]/100</f>
        <v>1882.5399000000002</v>
      </c>
      <c r="S43">
        <f>Tabla1[[#This Row],[mg_past]]*Tabla1[[#This Row],[litros_past]]/100</f>
        <v>566.61299999999994</v>
      </c>
      <c r="T43">
        <f>Tabla1[[#This Row],[mp_past]]*Tabla1[[#This Row],[litros_past]]/100</f>
        <v>493.98480000000001</v>
      </c>
      <c r="U43">
        <f>Tabla1[[#This Row],[est_salida_salmuera]]*Tabla1[[#This Row],[peso_queso_total]]/100</f>
        <v>913.15199999999993</v>
      </c>
      <c r="V43">
        <f>Tabla1[[#This Row],[mg_salida_salmuera]]*Tabla1[[#This Row],[peso_queso_total]]/100</f>
        <v>480.68400000000003</v>
      </c>
      <c r="W43">
        <f>(Tabla1[[#This Row],[est_kg_queso]]-Tabla1[[#This Row],[mg_kg_queso]])</f>
        <v>432.4679999999999</v>
      </c>
      <c r="X43">
        <f>_xlfn.ISOWEEKNUM(Tabla1[[#This Row],[fecha]])</f>
        <v>15</v>
      </c>
    </row>
    <row r="44" spans="1:24" x14ac:dyDescent="0.25">
      <c r="A44" s="1">
        <v>44673</v>
      </c>
      <c r="B44" t="s">
        <v>23</v>
      </c>
      <c r="C44">
        <v>13990</v>
      </c>
      <c r="D44">
        <v>12.506</v>
      </c>
      <c r="E44">
        <v>3.8809999999999998</v>
      </c>
      <c r="F44">
        <v>3.266</v>
      </c>
      <c r="G44">
        <v>14382</v>
      </c>
      <c r="H44" s="8">
        <v>1.028</v>
      </c>
      <c r="I44">
        <v>11.61</v>
      </c>
      <c r="J44">
        <v>3.69</v>
      </c>
      <c r="K44">
        <v>3.08</v>
      </c>
      <c r="L44" t="s">
        <v>18</v>
      </c>
      <c r="M44">
        <v>54.13</v>
      </c>
      <c r="N44">
        <v>29.34</v>
      </c>
      <c r="O44">
        <v>5.46</v>
      </c>
      <c r="P44">
        <v>1580</v>
      </c>
      <c r="Q44">
        <v>1.59</v>
      </c>
      <c r="R44">
        <f>Tabla1[[#This Row],[est_past]]*Tabla1[[#This Row],[litros_past]]/100</f>
        <v>1749.5894000000001</v>
      </c>
      <c r="S44">
        <f>Tabla1[[#This Row],[mg_past]]*Tabla1[[#This Row],[litros_past]]/100</f>
        <v>542.95189999999991</v>
      </c>
      <c r="T44">
        <f>Tabla1[[#This Row],[mp_past]]*Tabla1[[#This Row],[litros_past]]/100</f>
        <v>456.91340000000002</v>
      </c>
      <c r="U44">
        <f>Tabla1[[#This Row],[est_salida_salmuera]]*Tabla1[[#This Row],[peso_queso_total]]/100</f>
        <v>855.25400000000013</v>
      </c>
      <c r="V44">
        <f>Tabla1[[#This Row],[mg_salida_salmuera]]*Tabla1[[#This Row],[peso_queso_total]]/100</f>
        <v>463.57199999999995</v>
      </c>
      <c r="W44">
        <f>(Tabla1[[#This Row],[est_kg_queso]]-Tabla1[[#This Row],[mg_kg_queso]])</f>
        <v>391.68200000000019</v>
      </c>
      <c r="X44">
        <f>_xlfn.ISOWEEKNUM(Tabla1[[#This Row],[fecha]])</f>
        <v>16</v>
      </c>
    </row>
    <row r="45" spans="1:24" x14ac:dyDescent="0.25">
      <c r="A45" s="1">
        <v>44684</v>
      </c>
      <c r="B45" t="s">
        <v>23</v>
      </c>
      <c r="C45">
        <v>13870</v>
      </c>
      <c r="D45">
        <v>13.763</v>
      </c>
      <c r="E45">
        <v>4.1920000000000002</v>
      </c>
      <c r="F45">
        <v>3.5870000000000002</v>
      </c>
      <c r="G45">
        <v>14315</v>
      </c>
      <c r="H45" s="8">
        <v>1.032</v>
      </c>
      <c r="I45">
        <v>13.96</v>
      </c>
      <c r="J45">
        <v>3.96</v>
      </c>
      <c r="K45">
        <v>3.44</v>
      </c>
      <c r="L45" t="s">
        <v>18</v>
      </c>
      <c r="M45">
        <v>54.77</v>
      </c>
      <c r="N45">
        <v>28.5</v>
      </c>
      <c r="O45">
        <v>5.35</v>
      </c>
      <c r="P45">
        <v>1806</v>
      </c>
      <c r="Q45">
        <v>1.25</v>
      </c>
      <c r="R45">
        <f>Tabla1[[#This Row],[est_past]]*Tabla1[[#This Row],[litros_past]]/100</f>
        <v>1908.9281000000001</v>
      </c>
      <c r="S45">
        <f>Tabla1[[#This Row],[mg_past]]*Tabla1[[#This Row],[litros_past]]/100</f>
        <v>581.43039999999996</v>
      </c>
      <c r="T45">
        <f>Tabla1[[#This Row],[mp_past]]*Tabla1[[#This Row],[litros_past]]/100</f>
        <v>497.51690000000002</v>
      </c>
      <c r="U45">
        <f>Tabla1[[#This Row],[est_salida_salmuera]]*Tabla1[[#This Row],[peso_queso_total]]/100</f>
        <v>989.14620000000014</v>
      </c>
      <c r="V45">
        <f>Tabla1[[#This Row],[mg_salida_salmuera]]*Tabla1[[#This Row],[peso_queso_total]]/100</f>
        <v>514.71</v>
      </c>
      <c r="W45">
        <f>(Tabla1[[#This Row],[est_kg_queso]]-Tabla1[[#This Row],[mg_kg_queso]])</f>
        <v>474.4362000000001</v>
      </c>
      <c r="X45">
        <f>_xlfn.ISOWEEKNUM(Tabla1[[#This Row],[fecha]])</f>
        <v>18</v>
      </c>
    </row>
    <row r="46" spans="1:24" x14ac:dyDescent="0.25">
      <c r="A46" s="1">
        <v>44694</v>
      </c>
      <c r="B46" t="s">
        <v>23</v>
      </c>
      <c r="C46">
        <v>13470</v>
      </c>
      <c r="D46">
        <v>13.234999999999999</v>
      </c>
      <c r="E46">
        <v>4.3600000000000003</v>
      </c>
      <c r="F46">
        <v>3.1869999999999998</v>
      </c>
      <c r="G46">
        <v>13890</v>
      </c>
      <c r="H46" s="8">
        <v>1.0309999999999999</v>
      </c>
      <c r="I46">
        <v>11.41</v>
      </c>
      <c r="J46">
        <v>4.13</v>
      </c>
      <c r="K46">
        <v>3.09</v>
      </c>
      <c r="L46" t="s">
        <v>18</v>
      </c>
      <c r="M46">
        <v>54.85</v>
      </c>
      <c r="N46">
        <v>30.05</v>
      </c>
      <c r="O46">
        <v>5.4</v>
      </c>
      <c r="P46">
        <v>1680</v>
      </c>
      <c r="Q46">
        <v>1.25</v>
      </c>
      <c r="R46">
        <f>Tabla1[[#This Row],[est_past]]*Tabla1[[#This Row],[litros_past]]/100</f>
        <v>1782.7544999999998</v>
      </c>
      <c r="S46">
        <f>Tabla1[[#This Row],[mg_past]]*Tabla1[[#This Row],[litros_past]]/100</f>
        <v>587.29200000000003</v>
      </c>
      <c r="T46">
        <f>Tabla1[[#This Row],[mp_past]]*Tabla1[[#This Row],[litros_past]]/100</f>
        <v>429.28890000000001</v>
      </c>
      <c r="U46">
        <f>Tabla1[[#This Row],[est_salida_salmuera]]*Tabla1[[#This Row],[peso_queso_total]]/100</f>
        <v>921.48</v>
      </c>
      <c r="V46">
        <f>Tabla1[[#This Row],[mg_salida_salmuera]]*Tabla1[[#This Row],[peso_queso_total]]/100</f>
        <v>504.84</v>
      </c>
      <c r="W46">
        <f>(Tabla1[[#This Row],[est_kg_queso]]-Tabla1[[#This Row],[mg_kg_queso]])</f>
        <v>416.64000000000004</v>
      </c>
      <c r="X46">
        <f>_xlfn.ISOWEEKNUM(Tabla1[[#This Row],[fecha]])</f>
        <v>19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E13E-7B25-4ECD-B50F-9553297B7FCA}">
  <dimension ref="A1:B15"/>
  <sheetViews>
    <sheetView workbookViewId="0">
      <selection activeCell="A3" sqref="A3"/>
    </sheetView>
  </sheetViews>
  <sheetFormatPr baseColWidth="10" defaultRowHeight="15" x14ac:dyDescent="0.25"/>
  <cols>
    <col min="1" max="1" width="17.85546875" bestFit="1" customWidth="1"/>
    <col min="2" max="2" width="22.7109375" bestFit="1" customWidth="1"/>
  </cols>
  <sheetData>
    <row r="1" spans="1:2" x14ac:dyDescent="0.25">
      <c r="A1" s="2" t="s">
        <v>1</v>
      </c>
      <c r="B1" t="s">
        <v>21</v>
      </c>
    </row>
    <row r="3" spans="1:2" x14ac:dyDescent="0.25">
      <c r="A3" s="2" t="s">
        <v>41</v>
      </c>
      <c r="B3" t="s">
        <v>42</v>
      </c>
    </row>
    <row r="4" spans="1:2" x14ac:dyDescent="0.25">
      <c r="A4" s="3" t="s">
        <v>38</v>
      </c>
    </row>
    <row r="5" spans="1:2" x14ac:dyDescent="0.25">
      <c r="A5" s="5">
        <v>8</v>
      </c>
      <c r="B5">
        <v>1.03</v>
      </c>
    </row>
    <row r="6" spans="1:2" x14ac:dyDescent="0.25">
      <c r="A6" s="3" t="s">
        <v>31</v>
      </c>
    </row>
    <row r="7" spans="1:2" x14ac:dyDescent="0.25">
      <c r="A7" s="5">
        <v>9</v>
      </c>
      <c r="B7">
        <v>1.0349999999999999</v>
      </c>
    </row>
    <row r="8" spans="1:2" x14ac:dyDescent="0.25">
      <c r="A8" s="5">
        <v>10</v>
      </c>
      <c r="B8">
        <v>1.032</v>
      </c>
    </row>
    <row r="9" spans="1:2" x14ac:dyDescent="0.25">
      <c r="A9" s="5">
        <v>11</v>
      </c>
      <c r="B9">
        <v>1.0314999999999999</v>
      </c>
    </row>
    <row r="10" spans="1:2" x14ac:dyDescent="0.25">
      <c r="A10" s="3" t="s">
        <v>33</v>
      </c>
    </row>
    <row r="11" spans="1:2" x14ac:dyDescent="0.25">
      <c r="A11" s="5">
        <v>19</v>
      </c>
      <c r="B11">
        <v>1.0335000000000001</v>
      </c>
    </row>
    <row r="12" spans="1:2" x14ac:dyDescent="0.25">
      <c r="A12" s="5">
        <v>20</v>
      </c>
      <c r="B12">
        <v>1.03</v>
      </c>
    </row>
    <row r="13" spans="1:2" x14ac:dyDescent="0.25">
      <c r="A13" s="5">
        <v>21</v>
      </c>
      <c r="B13">
        <v>1.0314999999999999</v>
      </c>
    </row>
    <row r="14" spans="1:2" x14ac:dyDescent="0.25">
      <c r="A14" s="5">
        <v>22</v>
      </c>
      <c r="B14">
        <v>1.032</v>
      </c>
    </row>
    <row r="15" spans="1:2" x14ac:dyDescent="0.25">
      <c r="A15" s="3" t="s">
        <v>30</v>
      </c>
      <c r="B15">
        <v>1.0319999999999998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7098-E490-497D-9900-3F57C2C5C026}">
  <dimension ref="A1:C22"/>
  <sheetViews>
    <sheetView workbookViewId="0">
      <selection activeCell="C13" sqref="C13"/>
    </sheetView>
  </sheetViews>
  <sheetFormatPr baseColWidth="10" defaultRowHeight="15" x14ac:dyDescent="0.25"/>
  <cols>
    <col min="1" max="1" width="28.140625" bestFit="1" customWidth="1"/>
    <col min="2" max="3" width="12.140625" customWidth="1"/>
    <col min="4" max="4" width="7.28515625" bestFit="1" customWidth="1"/>
    <col min="5" max="6" width="6.140625" bestFit="1" customWidth="1"/>
    <col min="7" max="7" width="12.5703125" bestFit="1" customWidth="1"/>
    <col min="8" max="8" width="23" bestFit="1" customWidth="1"/>
    <col min="9" max="9" width="23.140625" bestFit="1" customWidth="1"/>
    <col min="10" max="10" width="23" bestFit="1" customWidth="1"/>
    <col min="11" max="11" width="23.140625" bestFit="1" customWidth="1"/>
    <col min="12" max="12" width="28" bestFit="1" customWidth="1"/>
    <col min="13" max="13" width="28.140625" bestFit="1" customWidth="1"/>
  </cols>
  <sheetData>
    <row r="1" spans="1:3" x14ac:dyDescent="0.25">
      <c r="A1" s="2" t="s">
        <v>1</v>
      </c>
      <c r="B1" t="s">
        <v>40</v>
      </c>
    </row>
    <row r="3" spans="1:3" ht="30" x14ac:dyDescent="0.25">
      <c r="B3" s="6" t="s">
        <v>34</v>
      </c>
      <c r="C3" s="6" t="s">
        <v>35</v>
      </c>
    </row>
    <row r="4" spans="1:3" x14ac:dyDescent="0.25">
      <c r="A4" s="3" t="s">
        <v>37</v>
      </c>
      <c r="B4" s="4">
        <v>0.89694246957723323</v>
      </c>
      <c r="C4" s="4">
        <v>0.9439224830915065</v>
      </c>
    </row>
    <row r="5" spans="1:3" x14ac:dyDescent="0.25">
      <c r="A5" s="5" t="s">
        <v>38</v>
      </c>
      <c r="B5" s="4">
        <v>0.90382593831010249</v>
      </c>
      <c r="C5" s="4">
        <v>0.98529757218594294</v>
      </c>
    </row>
    <row r="6" spans="1:3" x14ac:dyDescent="0.25">
      <c r="A6" s="7">
        <v>8</v>
      </c>
      <c r="B6" s="4">
        <v>0.90382593831010249</v>
      </c>
      <c r="C6" s="4">
        <v>0.98529757218594294</v>
      </c>
    </row>
    <row r="7" spans="1:3" x14ac:dyDescent="0.25">
      <c r="A7" s="5" t="s">
        <v>31</v>
      </c>
      <c r="B7" s="4">
        <v>0.9247370473363079</v>
      </c>
      <c r="C7" s="4">
        <v>0.95551533471833983</v>
      </c>
    </row>
    <row r="8" spans="1:3" x14ac:dyDescent="0.25">
      <c r="A8" s="7">
        <v>9</v>
      </c>
      <c r="B8" s="4">
        <v>0.93278205591888708</v>
      </c>
      <c r="C8" s="4">
        <v>0.98378347886500705</v>
      </c>
    </row>
    <row r="9" spans="1:3" x14ac:dyDescent="0.25">
      <c r="A9" s="7">
        <v>10</v>
      </c>
      <c r="B9" s="4">
        <v>0.8781489755884917</v>
      </c>
      <c r="C9" s="4">
        <v>0.95746298472385427</v>
      </c>
    </row>
    <row r="10" spans="1:3" x14ac:dyDescent="0.25">
      <c r="A10" s="7">
        <v>12</v>
      </c>
      <c r="B10" s="4">
        <v>0.96946682210002488</v>
      </c>
      <c r="C10" s="4">
        <v>0.85674074349514295</v>
      </c>
    </row>
    <row r="11" spans="1:3" x14ac:dyDescent="0.25">
      <c r="A11" s="7">
        <v>13</v>
      </c>
      <c r="B11" s="4">
        <v>0.85760363268927453</v>
      </c>
      <c r="C11" s="4">
        <v>0.95402095538530851</v>
      </c>
    </row>
    <row r="12" spans="1:3" x14ac:dyDescent="0.25">
      <c r="A12" s="5" t="s">
        <v>32</v>
      </c>
      <c r="B12" s="4">
        <v>0.88865848307347861</v>
      </c>
      <c r="C12" s="4">
        <v>0.92538835659909247</v>
      </c>
    </row>
    <row r="13" spans="1:3" x14ac:dyDescent="0.25">
      <c r="A13" s="7">
        <v>13</v>
      </c>
      <c r="B13" s="4">
        <v>0.89045409197781611</v>
      </c>
      <c r="C13" s="4">
        <v>0.92515689653991828</v>
      </c>
    </row>
    <row r="14" spans="1:3" x14ac:dyDescent="0.25">
      <c r="A14" s="7">
        <v>14</v>
      </c>
      <c r="B14" s="4">
        <v>0.93589678515599273</v>
      </c>
      <c r="C14" s="4">
        <v>0.94681487164593581</v>
      </c>
    </row>
    <row r="15" spans="1:3" x14ac:dyDescent="0.25">
      <c r="A15" s="7">
        <v>15</v>
      </c>
      <c r="B15" s="4">
        <v>0.82347589776922014</v>
      </c>
      <c r="C15" s="4">
        <v>0.91786482038813355</v>
      </c>
    </row>
    <row r="16" spans="1:3" x14ac:dyDescent="0.25">
      <c r="A16" s="7">
        <v>16</v>
      </c>
      <c r="B16" s="4">
        <v>0.86193351187274625</v>
      </c>
      <c r="C16" s="4">
        <v>0.88613533268139821</v>
      </c>
    </row>
    <row r="17" spans="1:3" x14ac:dyDescent="0.25">
      <c r="A17" s="7">
        <v>17</v>
      </c>
      <c r="B17" s="4">
        <v>0.98134704474876555</v>
      </c>
      <c r="C17" s="4">
        <v>0.96498737937297019</v>
      </c>
    </row>
    <row r="18" spans="1:3" x14ac:dyDescent="0.25">
      <c r="A18" s="5" t="s">
        <v>33</v>
      </c>
      <c r="B18" s="4">
        <v>0.87304095849708641</v>
      </c>
      <c r="C18" s="4">
        <v>0.95606703500626233</v>
      </c>
    </row>
    <row r="19" spans="1:3" x14ac:dyDescent="0.25">
      <c r="A19" s="7">
        <v>18</v>
      </c>
      <c r="B19" s="4">
        <v>0.87755072205039131</v>
      </c>
      <c r="C19" s="4">
        <v>0.95003378108618952</v>
      </c>
    </row>
    <row r="20" spans="1:3" x14ac:dyDescent="0.25">
      <c r="A20" s="7">
        <v>19</v>
      </c>
      <c r="B20" s="4">
        <v>0.85960646492715709</v>
      </c>
      <c r="C20" s="4">
        <v>0.97053522697651873</v>
      </c>
    </row>
    <row r="21" spans="1:3" x14ac:dyDescent="0.25">
      <c r="A21" s="7">
        <v>21</v>
      </c>
      <c r="B21" s="4">
        <v>0.88408066459269796</v>
      </c>
      <c r="C21" s="4">
        <v>0.95636258109984884</v>
      </c>
    </row>
    <row r="22" spans="1:3" x14ac:dyDescent="0.25">
      <c r="A22" s="3" t="s">
        <v>30</v>
      </c>
      <c r="B22" s="4">
        <v>0.89694246957723323</v>
      </c>
      <c r="C22" s="4">
        <v>0.9439224830915065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EC34-0A12-4B68-981D-5C51BFBEB78D}">
  <dimension ref="A1:C16"/>
  <sheetViews>
    <sheetView workbookViewId="0">
      <selection activeCell="C35" sqref="C35"/>
    </sheetView>
  </sheetViews>
  <sheetFormatPr baseColWidth="10" defaultRowHeight="15" x14ac:dyDescent="0.25"/>
  <cols>
    <col min="1" max="1" width="28.140625" bestFit="1" customWidth="1"/>
    <col min="2" max="3" width="12.140625" customWidth="1"/>
    <col min="4" max="4" width="7.28515625" bestFit="1" customWidth="1"/>
    <col min="5" max="6" width="6.140625" bestFit="1" customWidth="1"/>
    <col min="7" max="7" width="12.5703125" bestFit="1" customWidth="1"/>
    <col min="8" max="8" width="23" bestFit="1" customWidth="1"/>
    <col min="9" max="9" width="23.140625" bestFit="1" customWidth="1"/>
    <col min="10" max="10" width="23" bestFit="1" customWidth="1"/>
    <col min="11" max="11" width="23.140625" bestFit="1" customWidth="1"/>
    <col min="12" max="12" width="28" bestFit="1" customWidth="1"/>
    <col min="13" max="13" width="28.140625" bestFit="1" customWidth="1"/>
  </cols>
  <sheetData>
    <row r="1" spans="1:3" x14ac:dyDescent="0.25">
      <c r="A1" s="2" t="s">
        <v>1</v>
      </c>
      <c r="B1" t="s">
        <v>21</v>
      </c>
    </row>
    <row r="3" spans="1:3" ht="30" x14ac:dyDescent="0.25">
      <c r="B3" s="6" t="s">
        <v>34</v>
      </c>
      <c r="C3" s="6" t="s">
        <v>35</v>
      </c>
    </row>
    <row r="4" spans="1:3" x14ac:dyDescent="0.25">
      <c r="A4" s="3" t="s">
        <v>37</v>
      </c>
      <c r="B4" s="4">
        <v>0.90591270795767509</v>
      </c>
      <c r="C4" s="4">
        <v>0.94902267333612766</v>
      </c>
    </row>
    <row r="5" spans="1:3" x14ac:dyDescent="0.25">
      <c r="A5" s="5" t="s">
        <v>38</v>
      </c>
      <c r="B5" s="4">
        <v>0.88611473962930276</v>
      </c>
      <c r="C5" s="4">
        <v>0.94769085940666553</v>
      </c>
    </row>
    <row r="6" spans="1:3" x14ac:dyDescent="0.25">
      <c r="A6" s="7">
        <v>8</v>
      </c>
      <c r="B6" s="4">
        <v>0.88611473962930276</v>
      </c>
      <c r="C6" s="4">
        <v>0.94769085940666553</v>
      </c>
    </row>
    <row r="7" spans="1:3" x14ac:dyDescent="0.25">
      <c r="A7" s="5" t="s">
        <v>31</v>
      </c>
      <c r="B7" s="4">
        <v>0.91062616095225879</v>
      </c>
      <c r="C7" s="4">
        <v>0.9438375086508981</v>
      </c>
    </row>
    <row r="8" spans="1:3" x14ac:dyDescent="0.25">
      <c r="A8" s="7">
        <v>9</v>
      </c>
      <c r="B8" s="4">
        <v>0.92796451255166856</v>
      </c>
      <c r="C8" s="4">
        <v>0.9717319803166673</v>
      </c>
    </row>
    <row r="9" spans="1:3" x14ac:dyDescent="0.25">
      <c r="A9" s="7">
        <v>10</v>
      </c>
      <c r="B9" s="4">
        <v>0.87335248202781424</v>
      </c>
      <c r="C9" s="4">
        <v>0.90683396658087212</v>
      </c>
    </row>
    <row r="10" spans="1:3" x14ac:dyDescent="0.25">
      <c r="A10" s="7">
        <v>11</v>
      </c>
      <c r="B10" s="4">
        <v>0.91413496170803799</v>
      </c>
      <c r="C10" s="4">
        <v>0.94225423300897182</v>
      </c>
    </row>
    <row r="11" spans="1:3" x14ac:dyDescent="0.25">
      <c r="A11" s="5" t="s">
        <v>33</v>
      </c>
      <c r="B11" s="4">
        <v>0.90450531280679636</v>
      </c>
      <c r="C11" s="4">
        <v>0.95278365928301711</v>
      </c>
    </row>
    <row r="12" spans="1:3" x14ac:dyDescent="0.25">
      <c r="A12" s="7">
        <v>19</v>
      </c>
      <c r="B12" s="4">
        <v>0.91306975905139098</v>
      </c>
      <c r="C12" s="4">
        <v>0.95733332656065739</v>
      </c>
    </row>
    <row r="13" spans="1:3" x14ac:dyDescent="0.25">
      <c r="A13" s="7">
        <v>20</v>
      </c>
      <c r="B13" s="4">
        <v>0.89268033831537474</v>
      </c>
      <c r="C13" s="4">
        <v>0.94595133432824818</v>
      </c>
    </row>
    <row r="14" spans="1:3" x14ac:dyDescent="0.25">
      <c r="A14" s="7">
        <v>21</v>
      </c>
      <c r="B14" s="4">
        <v>0.89078187742519921</v>
      </c>
      <c r="C14" s="4">
        <v>0.92362931345437049</v>
      </c>
    </row>
    <row r="15" spans="1:3" x14ac:dyDescent="0.25">
      <c r="A15" s="7">
        <v>22</v>
      </c>
      <c r="B15" s="4">
        <v>0.92210501109094578</v>
      </c>
      <c r="C15" s="4">
        <v>1.0033094340827799</v>
      </c>
    </row>
    <row r="16" spans="1:3" x14ac:dyDescent="0.25">
      <c r="A16" s="3" t="s">
        <v>30</v>
      </c>
      <c r="B16" s="4">
        <v>0.90591270795767509</v>
      </c>
      <c r="C16" s="4">
        <v>0.94902267333612766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9630-2208-4FC3-8F91-1FDCD913D7A2}">
  <dimension ref="A1:C16"/>
  <sheetViews>
    <sheetView workbookViewId="0">
      <selection activeCell="G35" sqref="G35"/>
    </sheetView>
  </sheetViews>
  <sheetFormatPr baseColWidth="10" defaultRowHeight="15" x14ac:dyDescent="0.25"/>
  <cols>
    <col min="1" max="1" width="28.140625" bestFit="1" customWidth="1"/>
    <col min="2" max="3" width="12.140625" customWidth="1"/>
    <col min="4" max="4" width="7.28515625" bestFit="1" customWidth="1"/>
    <col min="5" max="6" width="6.140625" bestFit="1" customWidth="1"/>
    <col min="7" max="7" width="12.5703125" bestFit="1" customWidth="1"/>
    <col min="8" max="8" width="23" bestFit="1" customWidth="1"/>
    <col min="9" max="9" width="23.140625" bestFit="1" customWidth="1"/>
    <col min="10" max="10" width="23" bestFit="1" customWidth="1"/>
    <col min="11" max="11" width="23.140625" bestFit="1" customWidth="1"/>
    <col min="12" max="12" width="28" bestFit="1" customWidth="1"/>
    <col min="13" max="13" width="28.140625" bestFit="1" customWidth="1"/>
  </cols>
  <sheetData>
    <row r="1" spans="1:3" x14ac:dyDescent="0.25">
      <c r="A1" s="2" t="s">
        <v>1</v>
      </c>
      <c r="B1" t="s">
        <v>22</v>
      </c>
    </row>
    <row r="3" spans="1:3" ht="30" x14ac:dyDescent="0.25">
      <c r="B3" s="6" t="s">
        <v>34</v>
      </c>
      <c r="C3" s="6" t="s">
        <v>35</v>
      </c>
    </row>
    <row r="4" spans="1:3" x14ac:dyDescent="0.25">
      <c r="A4" s="3" t="s">
        <v>37</v>
      </c>
      <c r="B4" s="4">
        <v>0.90469185023377807</v>
      </c>
      <c r="C4" s="4">
        <v>0.92711869171680983</v>
      </c>
    </row>
    <row r="5" spans="1:3" x14ac:dyDescent="0.25">
      <c r="A5" s="5" t="s">
        <v>31</v>
      </c>
      <c r="B5" s="4">
        <v>0.89822729859544237</v>
      </c>
      <c r="C5" s="4">
        <v>0.92409277452287342</v>
      </c>
    </row>
    <row r="6" spans="1:3" x14ac:dyDescent="0.25">
      <c r="A6" s="7">
        <v>9</v>
      </c>
      <c r="B6" s="4">
        <v>0.89807891307680499</v>
      </c>
      <c r="C6" s="4">
        <v>0.92460244255352109</v>
      </c>
    </row>
    <row r="7" spans="1:3" x14ac:dyDescent="0.25">
      <c r="A7" s="7">
        <v>10</v>
      </c>
      <c r="B7" s="4">
        <v>0.90421532846715336</v>
      </c>
      <c r="C7" s="4">
        <v>0.931581508515815</v>
      </c>
    </row>
    <row r="8" spans="1:3" x14ac:dyDescent="0.25">
      <c r="A8" s="7">
        <v>11</v>
      </c>
      <c r="B8" s="4">
        <v>0.89236591621544592</v>
      </c>
      <c r="C8" s="4">
        <v>0.9163636363636366</v>
      </c>
    </row>
    <row r="9" spans="1:3" x14ac:dyDescent="0.25">
      <c r="A9" s="5" t="s">
        <v>32</v>
      </c>
      <c r="B9" s="4">
        <v>0.89803966705500882</v>
      </c>
      <c r="C9" s="4">
        <v>0.92739937889512436</v>
      </c>
    </row>
    <row r="10" spans="1:3" x14ac:dyDescent="0.25">
      <c r="A10" s="7">
        <v>14</v>
      </c>
      <c r="B10" s="4">
        <v>0.89600950512885857</v>
      </c>
      <c r="C10" s="4">
        <v>0.93116973474960263</v>
      </c>
    </row>
    <row r="11" spans="1:3" x14ac:dyDescent="0.25">
      <c r="A11" s="7">
        <v>16</v>
      </c>
      <c r="B11" s="4">
        <v>0.89986717449750342</v>
      </c>
      <c r="C11" s="4">
        <v>0.92405705545950245</v>
      </c>
    </row>
    <row r="12" spans="1:3" x14ac:dyDescent="0.25">
      <c r="A12" s="5" t="s">
        <v>33</v>
      </c>
      <c r="B12" s="4">
        <v>0.91200947780394581</v>
      </c>
      <c r="C12" s="4">
        <v>0.92912134699319548</v>
      </c>
    </row>
    <row r="13" spans="1:3" x14ac:dyDescent="0.25">
      <c r="A13" s="7">
        <v>18</v>
      </c>
      <c r="B13" s="4">
        <v>0.91061574317720484</v>
      </c>
      <c r="C13" s="4">
        <v>0.9039970268512495</v>
      </c>
    </row>
    <row r="14" spans="1:3" x14ac:dyDescent="0.25">
      <c r="A14" s="7">
        <v>20</v>
      </c>
      <c r="B14" s="4">
        <v>0.91029259311437005</v>
      </c>
      <c r="C14" s="4">
        <v>0.94268467770211672</v>
      </c>
    </row>
    <row r="15" spans="1:3" x14ac:dyDescent="0.25">
      <c r="A15" s="7">
        <v>21</v>
      </c>
      <c r="B15" s="4">
        <v>0.91782789023372302</v>
      </c>
      <c r="C15" s="4">
        <v>0.91540412569439722</v>
      </c>
    </row>
    <row r="16" spans="1:3" x14ac:dyDescent="0.25">
      <c r="A16" s="3" t="s">
        <v>30</v>
      </c>
      <c r="B16" s="4">
        <v>0.90469185023377807</v>
      </c>
      <c r="C16" s="4">
        <v>0.92711869171680983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fab_queso_bm</vt:lpstr>
      <vt:lpstr>TD densidad</vt:lpstr>
      <vt:lpstr>TD cr vaca</vt:lpstr>
      <vt:lpstr>TD cr mezcla</vt:lpstr>
      <vt:lpstr>TD cr oveja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Riera</cp:lastModifiedBy>
  <dcterms:created xsi:type="dcterms:W3CDTF">2025-12-20T10:13:24Z</dcterms:created>
  <dcterms:modified xsi:type="dcterms:W3CDTF">2026-01-07T12:20:26Z</dcterms:modified>
</cp:coreProperties>
</file>