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4bf2af71bbc2e43/Documentos/GitHub/master-queseria/website/datos/"/>
    </mc:Choice>
  </mc:AlternateContent>
  <xr:revisionPtr revIDLastSave="226" documentId="8_{CF1E59C1-CA92-4C88-887C-A78A793F0426}" xr6:coauthVersionLast="47" xr6:coauthVersionMax="47" xr10:uidLastSave="{20642B36-B1ED-4D65-A4FD-93209E7EFA57}"/>
  <bookViews>
    <workbookView xWindow="-120" yWindow="-120" windowWidth="29040" windowHeight="16440" activeTab="3" xr2:uid="{3820C6B5-2803-4858-AF88-A2FCB3D2881D}"/>
  </bookViews>
  <sheets>
    <sheet name="fab_queso_sim" sheetId="1" r:id="rId1"/>
    <sheet name="BM sencillo" sheetId="2" r:id="rId2"/>
    <sheet name="BM MG TD" sheetId="4" r:id="rId3"/>
    <sheet name="BM MP TD" sheetId="5" r:id="rId4"/>
    <sheet name="TD rendim" sheetId="7" r:id="rId5"/>
  </sheets>
  <calcPr calcId="191029"/>
  <pivotCaches>
    <pivotCache cacheId="6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" i="5" l="1"/>
  <c r="F19" i="5" s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S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B8" i="2"/>
  <c r="B17" i="2" s="1"/>
  <c r="B18" i="2" s="1"/>
  <c r="C8" i="2"/>
  <c r="D8" i="2"/>
  <c r="B16" i="2"/>
  <c r="C16" i="2"/>
  <c r="D16" i="2"/>
  <c r="D17" i="2" s="1"/>
  <c r="D18" i="2" s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C17" i="2" l="1"/>
  <c r="C18" i="2" s="1"/>
  <c r="N5" i="1" l="1"/>
  <c r="M3" i="1"/>
  <c r="M7" i="1"/>
  <c r="N7" i="1"/>
  <c r="N3" i="1"/>
  <c r="M5" i="1"/>
  <c r="M6" i="1"/>
  <c r="M4" i="1"/>
  <c r="N6" i="1"/>
  <c r="M2" i="1"/>
  <c r="N4" i="1"/>
  <c r="N2" i="1"/>
</calcChain>
</file>

<file path=xl/sharedStrings.xml><?xml version="1.0" encoding="utf-8"?>
<sst xmlns="http://schemas.openxmlformats.org/spreadsheetml/2006/main" count="81" uniqueCount="58">
  <si>
    <t>fecha</t>
  </si>
  <si>
    <t>entrada_kg</t>
  </si>
  <si>
    <t>entrada_litros</t>
  </si>
  <si>
    <t>entrada_grasa_g_l</t>
  </si>
  <si>
    <t>entrada_prot_g_l</t>
  </si>
  <si>
    <t>cuba_fab_litros</t>
  </si>
  <si>
    <t>cuba_fab_grasa_g_l</t>
  </si>
  <si>
    <t>cuba_fab_prot_g_l</t>
  </si>
  <si>
    <t>stock_cierre_litros</t>
  </si>
  <si>
    <t>queso_kg</t>
  </si>
  <si>
    <t>queso_est_pct</t>
  </si>
  <si>
    <t>queso_mg_pct</t>
  </si>
  <si>
    <t>entrada_grasa_kg</t>
  </si>
  <si>
    <t>entrada_prot_kg</t>
  </si>
  <si>
    <t>cuba_fab_grasa_kg</t>
  </si>
  <si>
    <t>cuba_fab_prot_kg</t>
  </si>
  <si>
    <t>Desviación (%)</t>
  </si>
  <si>
    <t>Balance</t>
  </si>
  <si>
    <t>Total</t>
  </si>
  <si>
    <t>MP (kg)</t>
  </si>
  <si>
    <t>MG (kg)</t>
  </si>
  <si>
    <t>Litros</t>
  </si>
  <si>
    <t>Envío a fabricación</t>
  </si>
  <si>
    <t>Entradas de leche</t>
  </si>
  <si>
    <t>Total general</t>
  </si>
  <si>
    <t>2023</t>
  </si>
  <si>
    <t>2024</t>
  </si>
  <si>
    <t>semana</t>
  </si>
  <si>
    <t>semanaISO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</si>
  <si>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</si>
  <si>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</si>
  <si>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</si>
  <si>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</si>
  <si>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</si>
  <si>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</si>
  <si>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</si>
  <si>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</si>
  <si>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</si>
  <si>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</si>
  <si>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</si>
  <si>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</si>
  <si>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Entrada en fábrica
(kg MG)</t>
  </si>
  <si>
    <t>Leche en cubas
(kg MG)</t>
  </si>
  <si>
    <t>Mes</t>
  </si>
  <si>
    <t>Desviación cubas
(%)</t>
  </si>
  <si>
    <t>queso_mg_kg</t>
  </si>
  <si>
    <t>Queso 
(Kg MG)</t>
  </si>
  <si>
    <t>Dif de balance 
cubas
(kg MG)</t>
  </si>
  <si>
    <t>Dif de balance
queso
(kg MG)</t>
  </si>
  <si>
    <t>Desviación
queso
(%)</t>
  </si>
  <si>
    <t>Dif de balance
total
(kg MG)</t>
  </si>
  <si>
    <t>Desviación
total
(%)</t>
  </si>
  <si>
    <t>queso_est_kg</t>
  </si>
  <si>
    <t>Suma de entrada_prot_kg</t>
  </si>
  <si>
    <t>Suma de cuba_fab_prot_kg</t>
  </si>
  <si>
    <t>Etiquetas de fila</t>
  </si>
  <si>
    <t>Suma de Rendim (L/kg)</t>
  </si>
  <si>
    <t>Suma de EST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</si>
</sst>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0.0%"/>
    <numFmt numFmtId="165" formatCode="#,##0_ ;[Red]\-#,##0\ "/>
    <numFmt numFmtId="166" formatCode="#,##0.0_ ;[Red]\-#,##0.0\ "/>
    <numFmt numFmtId="167" formatCode="#,##0.00_ ;[Red]\-#,##0.00\ 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59999389629810485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7">
    <xf numFmtId="0" fontId="0" fillId="0" borderId="0" xfId="0"/>
    <xf numFmtId="14" fontId="0" fillId="0" borderId="0" xfId="0" applyNumberFormat="1"/>
    <xf numFmtId="164" fontId="0" fillId="33" borderId="10" xfId="1" applyNumberFormat="1" applyFont="1" applyFill="1" applyBorder="1"/>
    <xf numFmtId="0" fontId="16" fillId="33" borderId="10" xfId="0" applyFont="1" applyFill="1" applyBorder="1"/>
    <xf numFmtId="165" fontId="0" fillId="0" borderId="10" xfId="0" applyNumberFormat="1" applyBorder="1"/>
    <xf numFmtId="0" fontId="16" fillId="34" borderId="10" xfId="0" applyFont="1" applyFill="1" applyBorder="1"/>
    <xf numFmtId="166" fontId="16" fillId="33" borderId="10" xfId="0" applyNumberFormat="1" applyFont="1" applyFill="1" applyBorder="1"/>
    <xf numFmtId="166" fontId="16" fillId="33" borderId="11" xfId="0" applyNumberFormat="1" applyFont="1" applyFill="1" applyBorder="1"/>
    <xf numFmtId="165" fontId="16" fillId="33" borderId="10" xfId="0" applyNumberFormat="1" applyFont="1" applyFill="1" applyBorder="1"/>
    <xf numFmtId="0" fontId="16" fillId="33" borderId="12" xfId="0" applyFont="1" applyFill="1" applyBorder="1"/>
    <xf numFmtId="166" fontId="0" fillId="0" borderId="13" xfId="0" applyNumberFormat="1" applyBorder="1"/>
    <xf numFmtId="166" fontId="0" fillId="0" borderId="0" xfId="0" applyNumberFormat="1"/>
    <xf numFmtId="165" fontId="0" fillId="0" borderId="13" xfId="0" applyNumberFormat="1" applyBorder="1"/>
    <xf numFmtId="14" fontId="0" fillId="0" borderId="14" xfId="0" applyNumberFormat="1" applyBorder="1"/>
    <xf numFmtId="0" fontId="16" fillId="34" borderId="10" xfId="0" applyFont="1" applyFill="1" applyBorder="1" applyAlignment="1">
      <alignment horizontal="center"/>
    </xf>
    <xf numFmtId="0" fontId="16" fillId="34" borderId="11" xfId="0" applyFont="1" applyFill="1" applyBorder="1" applyAlignment="1">
      <alignment horizontal="center"/>
    </xf>
    <xf numFmtId="0" fontId="16" fillId="34" borderId="12" xfId="0" applyFont="1" applyFill="1" applyBorder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4" fontId="0" fillId="0" borderId="0" xfId="0" applyNumberFormat="1"/>
    <xf numFmtId="0" fontId="0" fillId="0" borderId="0" xfId="0" applyAlignment="1">
      <alignment horizontal="center" vertical="center" wrapText="1"/>
    </xf>
    <xf numFmtId="0" fontId="0" fillId="0" borderId="0" xfId="0" pivotButton="1" applyAlignment="1">
      <alignment vertical="center"/>
    </xf>
    <xf numFmtId="164" fontId="0" fillId="0" borderId="0" xfId="1" applyNumberFormat="1" applyFont="1"/>
    <xf numFmtId="0" fontId="0" fillId="0" borderId="0" xfId="0" pivotButton="1"/>
    <xf numFmtId="0" fontId="0" fillId="0" borderId="0" xfId="0" applyNumberFormat="1"/>
    <xf numFmtId="167" fontId="0" fillId="0" borderId="0" xfId="0" applyNumberFormat="1"/>
    <xf numFmtId="10" fontId="0" fillId="0" borderId="0" xfId="0" applyNumberFormat="1"/>
  </cellXfs>
  <cellStyles count="43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Neutral" xfId="9" builtinId="28" customBuiltin="1"/>
    <cellStyle name="Normal" xfId="0" builtinId="0"/>
    <cellStyle name="Notas" xfId="16" builtinId="10" customBuiltin="1"/>
    <cellStyle name="Porcentaje" xfId="1" builtinId="5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25">
    <dxf>
      <alignment horizontal="general"/>
    </dxf>
    <dxf>
      <alignment vertical="center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wrapText="1"/>
    </dxf>
    <dxf>
      <alignment horizontal="center"/>
    </dxf>
    <dxf>
      <alignment vertical="center"/>
    </dxf>
    <dxf>
      <alignment wrapText="1"/>
    </dxf>
    <dxf>
      <alignment horizontal="center"/>
    </dxf>
    <dxf>
      <alignment vertical="center"/>
    </dxf>
    <dxf>
      <alignment horizontal="general"/>
    </dxf>
    <dxf>
      <alignment vertical="center"/>
    </dxf>
    <dxf>
      <alignment wrapText="1"/>
    </dxf>
    <dxf>
      <alignment horizontal="center"/>
    </dxf>
    <dxf>
      <alignment vertical="center"/>
    </dxf>
  </dxfs>
  <tableStyles count="1" defaultTableStyle="TableStyleMedium2" defaultPivotStyle="PivotStyleLight16">
    <tableStyle name="Invisible" pivot="0" table="0" count="0" xr9:uid="{DADACEEB-7279-4D6E-B5FC-344BE187462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[fab_queso_sim.xlsx]TD rendim!TablaDinámica1</c:name>
    <c:fmtId val="3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'TD rendim'!$B$3</c:f>
              <c:strCache>
                <c:ptCount val="1"/>
                <c:pt idx="0">
                  <c:v>Suma de Rendim (L/kg)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'TD rendim'!$A$4:$A$56</c:f>
              <c:strCache>
                <c:ptCount val="5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</c:strCache>
            </c:strRef>
          </c:cat>
          <c:val>
            <c:numRef>
              <c:f>'TD rendim'!$B$4:$B$56</c:f>
              <c:numCache>
                <c:formatCode>#,##0.00_ ;[Red]\-#,##0.00\ </c:formatCode>
                <c:ptCount val="52"/>
                <c:pt idx="0">
                  <c:v>8.5925321308382454</c:v>
                </c:pt>
                <c:pt idx="1">
                  <c:v>8.4627009204561059</c:v>
                </c:pt>
                <c:pt idx="2">
                  <c:v>8.3391525331853824</c:v>
                </c:pt>
                <c:pt idx="3">
                  <c:v>8.5966793521302467</c:v>
                </c:pt>
                <c:pt idx="4">
                  <c:v>8.5356136362852411</c:v>
                </c:pt>
                <c:pt idx="5">
                  <c:v>8.4086099913791053</c:v>
                </c:pt>
                <c:pt idx="6">
                  <c:v>8.5702965564733962</c:v>
                </c:pt>
                <c:pt idx="7">
                  <c:v>8.4982714736162279</c:v>
                </c:pt>
                <c:pt idx="8">
                  <c:v>8.4886551508936083</c:v>
                </c:pt>
                <c:pt idx="9">
                  <c:v>8.5580589620897634</c:v>
                </c:pt>
                <c:pt idx="10">
                  <c:v>8.5047505484076176</c:v>
                </c:pt>
                <c:pt idx="11">
                  <c:v>8.4425556475523305</c:v>
                </c:pt>
                <c:pt idx="12">
                  <c:v>8.6061121502157771</c:v>
                </c:pt>
                <c:pt idx="13">
                  <c:v>8.578786912343153</c:v>
                </c:pt>
                <c:pt idx="14">
                  <c:v>8.4959861342425</c:v>
                </c:pt>
                <c:pt idx="15">
                  <c:v>8.6128565188830759</c:v>
                </c:pt>
                <c:pt idx="16">
                  <c:v>8.4248451663805337</c:v>
                </c:pt>
                <c:pt idx="17">
                  <c:v>8.4595769228247963</c:v>
                </c:pt>
                <c:pt idx="18">
                  <c:v>8.3467634292720074</c:v>
                </c:pt>
                <c:pt idx="19">
                  <c:v>8.5361796318551875</c:v>
                </c:pt>
                <c:pt idx="20">
                  <c:v>8.3774768801733384</c:v>
                </c:pt>
                <c:pt idx="21">
                  <c:v>8.2734812642096358</c:v>
                </c:pt>
                <c:pt idx="22">
                  <c:v>8.4116166478695025</c:v>
                </c:pt>
                <c:pt idx="23">
                  <c:v>8.4691929626949474</c:v>
                </c:pt>
                <c:pt idx="24">
                  <c:v>8.3999791256246024</c:v>
                </c:pt>
                <c:pt idx="25">
                  <c:v>8.5750220441977625</c:v>
                </c:pt>
                <c:pt idx="26">
                  <c:v>8.3519497023610469</c:v>
                </c:pt>
                <c:pt idx="27">
                  <c:v>8.5408507678037715</c:v>
                </c:pt>
                <c:pt idx="28">
                  <c:v>8.3390291743626754</c:v>
                </c:pt>
                <c:pt idx="29">
                  <c:v>8.5109318359758994</c:v>
                </c:pt>
                <c:pt idx="30">
                  <c:v>8.4096253278127513</c:v>
                </c:pt>
                <c:pt idx="31">
                  <c:v>8.5439994126069223</c:v>
                </c:pt>
                <c:pt idx="32">
                  <c:v>8.5014643670680119</c:v>
                </c:pt>
                <c:pt idx="33">
                  <c:v>8.5167421374140222</c:v>
                </c:pt>
                <c:pt idx="34">
                  <c:v>8.3137117125029985</c:v>
                </c:pt>
                <c:pt idx="35">
                  <c:v>8.4716971764555691</c:v>
                </c:pt>
                <c:pt idx="36">
                  <c:v>8.6007595042356968</c:v>
                </c:pt>
                <c:pt idx="37">
                  <c:v>8.6021395510416774</c:v>
                </c:pt>
                <c:pt idx="38">
                  <c:v>8.345706227509968</c:v>
                </c:pt>
                <c:pt idx="39">
                  <c:v>8.5859322281036672</c:v>
                </c:pt>
                <c:pt idx="40">
                  <c:v>8.4186789439067926</c:v>
                </c:pt>
                <c:pt idx="41">
                  <c:v>8.5399956462767292</c:v>
                </c:pt>
                <c:pt idx="42">
                  <c:v>8.4656731004153443</c:v>
                </c:pt>
                <c:pt idx="43">
                  <c:v>8.4680395507650168</c:v>
                </c:pt>
                <c:pt idx="44">
                  <c:v>8.567021536072664</c:v>
                </c:pt>
                <c:pt idx="45">
                  <c:v>8.5034127408993569</c:v>
                </c:pt>
                <c:pt idx="46">
                  <c:v>8.6785636234497083</c:v>
                </c:pt>
                <c:pt idx="47">
                  <c:v>8.4410770778156365</c:v>
                </c:pt>
                <c:pt idx="48">
                  <c:v>8.6513192833624011</c:v>
                </c:pt>
                <c:pt idx="49">
                  <c:v>8.4051223135985236</c:v>
                </c:pt>
                <c:pt idx="50">
                  <c:v>8.5812126924285259</c:v>
                </c:pt>
                <c:pt idx="51">
                  <c:v>8.5657730868509496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2C-45E0-944D-9DD934A380D8}"/>
            </c:ext>
          </c:extLst>
        </c:ser>
        <c:ser>
          <c:idx val="1"/>
          <c:order val="1"/>
          <c:tx>
            <c:strRef>
              <c:f>'TD rendim'!$C$3</c:f>
              <c:strCache>
                <c:ptCount val="1"/>
                <c:pt idx="0">
                  <c:v>Suma de EST (%)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'TD rendim'!$A$4:$A$56</c:f>
              <c:strCache>
                <c:ptCount val="5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</c:strCache>
            </c:strRef>
          </c:cat>
          <c:val>
            <c:numRef>
              <c:f>'TD rendim'!$C$4:$C$56</c:f>
              <c:numCache>
                <c:formatCode>0.00%</c:formatCode>
                <c:ptCount val="52"/>
                <c:pt idx="0">
                  <c:v>0.52699224477643891</c:v>
                </c:pt>
                <c:pt idx="1">
                  <c:v>0.52093436007373872</c:v>
                </c:pt>
                <c:pt idx="2">
                  <c:v>0.52452011370557072</c:v>
                </c:pt>
                <c:pt idx="3">
                  <c:v>0.52306823973423611</c:v>
                </c:pt>
                <c:pt idx="4">
                  <c:v>0.51942986033259408</c:v>
                </c:pt>
                <c:pt idx="5">
                  <c:v>0.5273420294200829</c:v>
                </c:pt>
                <c:pt idx="6">
                  <c:v>0.52582391098589076</c:v>
                </c:pt>
                <c:pt idx="7">
                  <c:v>0.51859308831198436</c:v>
                </c:pt>
                <c:pt idx="8">
                  <c:v>0.52439853540680514</c:v>
                </c:pt>
                <c:pt idx="9">
                  <c:v>0.52496663990732817</c:v>
                </c:pt>
                <c:pt idx="10">
                  <c:v>0.52708840678461044</c:v>
                </c:pt>
                <c:pt idx="11">
                  <c:v>0.50709130939661184</c:v>
                </c:pt>
                <c:pt idx="12">
                  <c:v>0.51451801419900545</c:v>
                </c:pt>
                <c:pt idx="13">
                  <c:v>0.51964364015459374</c:v>
                </c:pt>
                <c:pt idx="14">
                  <c:v>0.52442633851991582</c:v>
                </c:pt>
                <c:pt idx="15">
                  <c:v>0.52626022430639385</c:v>
                </c:pt>
                <c:pt idx="16">
                  <c:v>0.5193749668999752</c:v>
                </c:pt>
                <c:pt idx="17">
                  <c:v>0.5227203315000426</c:v>
                </c:pt>
                <c:pt idx="18">
                  <c:v>0.51519009995946263</c:v>
                </c:pt>
                <c:pt idx="19">
                  <c:v>0.51455234486926171</c:v>
                </c:pt>
                <c:pt idx="20">
                  <c:v>0.51869450489737057</c:v>
                </c:pt>
                <c:pt idx="21">
                  <c:v>0.53132142319012365</c:v>
                </c:pt>
                <c:pt idx="22">
                  <c:v>0.52071251891178172</c:v>
                </c:pt>
                <c:pt idx="23">
                  <c:v>0.53238094276050174</c:v>
                </c:pt>
                <c:pt idx="24">
                  <c:v>0.52644291217106554</c:v>
                </c:pt>
                <c:pt idx="25">
                  <c:v>0.52483300477795169</c:v>
                </c:pt>
                <c:pt idx="26">
                  <c:v>0.51765034178315839</c:v>
                </c:pt>
                <c:pt idx="27">
                  <c:v>0.51746691744821183</c:v>
                </c:pt>
                <c:pt idx="28">
                  <c:v>0.51709506575914699</c:v>
                </c:pt>
                <c:pt idx="29">
                  <c:v>0.51200874926276074</c:v>
                </c:pt>
                <c:pt idx="30">
                  <c:v>0.51559170862444015</c:v>
                </c:pt>
                <c:pt idx="31">
                  <c:v>0.51526854326517124</c:v>
                </c:pt>
                <c:pt idx="32">
                  <c:v>0.52541216611074959</c:v>
                </c:pt>
                <c:pt idx="33">
                  <c:v>0.51661916189677803</c:v>
                </c:pt>
                <c:pt idx="34">
                  <c:v>0.51091401642473233</c:v>
                </c:pt>
                <c:pt idx="35">
                  <c:v>0.51943052350116681</c:v>
                </c:pt>
                <c:pt idx="36">
                  <c:v>0.51838583371586755</c:v>
                </c:pt>
                <c:pt idx="37">
                  <c:v>0.54174447282647564</c:v>
                </c:pt>
                <c:pt idx="38">
                  <c:v>0.52146446720912887</c:v>
                </c:pt>
                <c:pt idx="39">
                  <c:v>0.52344849898779577</c:v>
                </c:pt>
                <c:pt idx="40">
                  <c:v>0.52215226439913565</c:v>
                </c:pt>
                <c:pt idx="41">
                  <c:v>0.53166875667710434</c:v>
                </c:pt>
                <c:pt idx="42">
                  <c:v>0.52239785779243708</c:v>
                </c:pt>
                <c:pt idx="43">
                  <c:v>0.51549603827407597</c:v>
                </c:pt>
                <c:pt idx="44">
                  <c:v>0.52678281064814347</c:v>
                </c:pt>
                <c:pt idx="45">
                  <c:v>0.51773493944057802</c:v>
                </c:pt>
                <c:pt idx="46">
                  <c:v>0.50789555981259904</c:v>
                </c:pt>
                <c:pt idx="47">
                  <c:v>0.51539365822930194</c:v>
                </c:pt>
                <c:pt idx="48">
                  <c:v>0.51723306859725282</c:v>
                </c:pt>
                <c:pt idx="49">
                  <c:v>0.52405014335335676</c:v>
                </c:pt>
                <c:pt idx="50">
                  <c:v>0.52767110053408739</c:v>
                </c:pt>
                <c:pt idx="51">
                  <c:v>0.51469315169520424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22C-45E0-944D-9DD934A380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85114783"/>
        <c:axId val="1485114303"/>
      </c:lineChart>
      <c:catAx>
        <c:axId val="1485114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85114303"/>
        <c:crosses val="autoZero"/>
        <c:auto val="1"/>
        <c:lblAlgn val="ctr"/>
        <c:lblOffset val="100"/>
        <c:noMultiLvlLbl val="0"/>
      </c:catAx>
      <c:valAx>
        <c:axId val="1485114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_ ;[Red]\-#,##0.0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85114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"EST'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'TD rendim'!$C$4:$C$55</c:f>
              <c:numCache>
                <c:formatCode>0.00%</c:formatCode>
                <c:ptCount val="52"/>
                <c:pt idx="0">
                  <c:v>0.52699224477643891</c:v>
                </c:pt>
                <c:pt idx="1">
                  <c:v>0.52093436007373872</c:v>
                </c:pt>
                <c:pt idx="2">
                  <c:v>0.52452011370557072</c:v>
                </c:pt>
                <c:pt idx="3">
                  <c:v>0.52306823973423611</c:v>
                </c:pt>
                <c:pt idx="4">
                  <c:v>0.51942986033259408</c:v>
                </c:pt>
                <c:pt idx="5">
                  <c:v>0.5273420294200829</c:v>
                </c:pt>
                <c:pt idx="6">
                  <c:v>0.52582391098589076</c:v>
                </c:pt>
                <c:pt idx="7">
                  <c:v>0.51859308831198436</c:v>
                </c:pt>
                <c:pt idx="8">
                  <c:v>0.52439853540680514</c:v>
                </c:pt>
                <c:pt idx="9">
                  <c:v>0.52496663990732817</c:v>
                </c:pt>
                <c:pt idx="10">
                  <c:v>0.52708840678461044</c:v>
                </c:pt>
                <c:pt idx="11">
                  <c:v>0.50709130939661184</c:v>
                </c:pt>
                <c:pt idx="12">
                  <c:v>0.51451801419900545</c:v>
                </c:pt>
                <c:pt idx="13">
                  <c:v>0.51964364015459374</c:v>
                </c:pt>
                <c:pt idx="14">
                  <c:v>0.52442633851991582</c:v>
                </c:pt>
                <c:pt idx="15">
                  <c:v>0.52626022430639385</c:v>
                </c:pt>
                <c:pt idx="16">
                  <c:v>0.5193749668999752</c:v>
                </c:pt>
                <c:pt idx="17">
                  <c:v>0.5227203315000426</c:v>
                </c:pt>
                <c:pt idx="18">
                  <c:v>0.51519009995946263</c:v>
                </c:pt>
                <c:pt idx="19">
                  <c:v>0.51455234486926171</c:v>
                </c:pt>
                <c:pt idx="20">
                  <c:v>0.51869450489737057</c:v>
                </c:pt>
                <c:pt idx="21">
                  <c:v>0.53132142319012365</c:v>
                </c:pt>
                <c:pt idx="22">
                  <c:v>0.52071251891178172</c:v>
                </c:pt>
                <c:pt idx="23">
                  <c:v>0.53238094276050174</c:v>
                </c:pt>
                <c:pt idx="24">
                  <c:v>0.52644291217106554</c:v>
                </c:pt>
                <c:pt idx="25">
                  <c:v>0.52483300477795169</c:v>
                </c:pt>
                <c:pt idx="26">
                  <c:v>0.51765034178315839</c:v>
                </c:pt>
                <c:pt idx="27">
                  <c:v>0.51746691744821183</c:v>
                </c:pt>
                <c:pt idx="28">
                  <c:v>0.51709506575914699</c:v>
                </c:pt>
                <c:pt idx="29">
                  <c:v>0.51200874926276074</c:v>
                </c:pt>
                <c:pt idx="30">
                  <c:v>0.51559170862444015</c:v>
                </c:pt>
                <c:pt idx="31">
                  <c:v>0.51526854326517124</c:v>
                </c:pt>
                <c:pt idx="32">
                  <c:v>0.52541216611074959</c:v>
                </c:pt>
                <c:pt idx="33">
                  <c:v>0.51661916189677803</c:v>
                </c:pt>
                <c:pt idx="34">
                  <c:v>0.51091401642473233</c:v>
                </c:pt>
                <c:pt idx="35">
                  <c:v>0.51943052350116681</c:v>
                </c:pt>
                <c:pt idx="36">
                  <c:v>0.51838583371586755</c:v>
                </c:pt>
                <c:pt idx="37">
                  <c:v>0.54174447282647564</c:v>
                </c:pt>
                <c:pt idx="38">
                  <c:v>0.52146446720912887</c:v>
                </c:pt>
                <c:pt idx="39">
                  <c:v>0.52344849898779577</c:v>
                </c:pt>
                <c:pt idx="40">
                  <c:v>0.52215226439913565</c:v>
                </c:pt>
                <c:pt idx="41">
                  <c:v>0.53166875667710434</c:v>
                </c:pt>
                <c:pt idx="42">
                  <c:v>0.52239785779243708</c:v>
                </c:pt>
                <c:pt idx="43">
                  <c:v>0.51549603827407597</c:v>
                </c:pt>
                <c:pt idx="44">
                  <c:v>0.52678281064814347</c:v>
                </c:pt>
                <c:pt idx="45">
                  <c:v>0.51773493944057802</c:v>
                </c:pt>
                <c:pt idx="46">
                  <c:v>0.50789555981259904</c:v>
                </c:pt>
                <c:pt idx="47">
                  <c:v>0.51539365822930194</c:v>
                </c:pt>
                <c:pt idx="48">
                  <c:v>0.51723306859725282</c:v>
                </c:pt>
                <c:pt idx="49">
                  <c:v>0.52405014335335676</c:v>
                </c:pt>
                <c:pt idx="50">
                  <c:v>0.52767110053408739</c:v>
                </c:pt>
                <c:pt idx="51">
                  <c:v>0.51469315169520424</c:v>
                </c:pt>
              </c:numCache>
            </c:numRef>
          </c:xVal>
          <c:yVal>
            <c:numRef>
              <c:f>'TD rendim'!$B$4:$B$55</c:f>
              <c:numCache>
                <c:formatCode>General</c:formatCode>
                <c:ptCount val="52"/>
                <c:pt idx="0">
                  <c:v>8.5925321308382454</c:v>
                </c:pt>
                <c:pt idx="1">
                  <c:v>8.4627009204561059</c:v>
                </c:pt>
                <c:pt idx="2">
                  <c:v>8.3391525331853824</c:v>
                </c:pt>
                <c:pt idx="3">
                  <c:v>8.5966793521302467</c:v>
                </c:pt>
                <c:pt idx="4">
                  <c:v>8.5356136362852411</c:v>
                </c:pt>
                <c:pt idx="5">
                  <c:v>8.4086099913791053</c:v>
                </c:pt>
                <c:pt idx="6">
                  <c:v>8.5702965564733962</c:v>
                </c:pt>
                <c:pt idx="7">
                  <c:v>8.4982714736162279</c:v>
                </c:pt>
                <c:pt idx="8">
                  <c:v>8.4886551508936083</c:v>
                </c:pt>
                <c:pt idx="9">
                  <c:v>8.5580589620897634</c:v>
                </c:pt>
                <c:pt idx="10">
                  <c:v>8.5047505484076176</c:v>
                </c:pt>
                <c:pt idx="11">
                  <c:v>8.4425556475523305</c:v>
                </c:pt>
                <c:pt idx="12">
                  <c:v>8.6061121502157771</c:v>
                </c:pt>
                <c:pt idx="13">
                  <c:v>8.578786912343153</c:v>
                </c:pt>
                <c:pt idx="14">
                  <c:v>8.4959861342425</c:v>
                </c:pt>
                <c:pt idx="15">
                  <c:v>8.6128565188830759</c:v>
                </c:pt>
                <c:pt idx="16">
                  <c:v>8.4248451663805337</c:v>
                </c:pt>
                <c:pt idx="17">
                  <c:v>8.4595769228247963</c:v>
                </c:pt>
                <c:pt idx="18">
                  <c:v>8.3467634292720074</c:v>
                </c:pt>
                <c:pt idx="19">
                  <c:v>8.5361796318551875</c:v>
                </c:pt>
                <c:pt idx="20">
                  <c:v>8.3774768801733384</c:v>
                </c:pt>
                <c:pt idx="21">
                  <c:v>8.2734812642096358</c:v>
                </c:pt>
                <c:pt idx="22">
                  <c:v>8.4116166478695025</c:v>
                </c:pt>
                <c:pt idx="23">
                  <c:v>8.4691929626949474</c:v>
                </c:pt>
                <c:pt idx="24">
                  <c:v>8.3999791256246024</c:v>
                </c:pt>
                <c:pt idx="25">
                  <c:v>8.5750220441977625</c:v>
                </c:pt>
                <c:pt idx="26">
                  <c:v>8.3519497023610469</c:v>
                </c:pt>
                <c:pt idx="27">
                  <c:v>8.5408507678037715</c:v>
                </c:pt>
                <c:pt idx="28">
                  <c:v>8.3390291743626754</c:v>
                </c:pt>
                <c:pt idx="29">
                  <c:v>8.5109318359758994</c:v>
                </c:pt>
                <c:pt idx="30">
                  <c:v>8.4096253278127513</c:v>
                </c:pt>
                <c:pt idx="31">
                  <c:v>8.5439994126069223</c:v>
                </c:pt>
                <c:pt idx="32">
                  <c:v>8.5014643670680119</c:v>
                </c:pt>
                <c:pt idx="33">
                  <c:v>8.5167421374140222</c:v>
                </c:pt>
                <c:pt idx="34">
                  <c:v>8.3137117125029985</c:v>
                </c:pt>
                <c:pt idx="35">
                  <c:v>8.4716971764555691</c:v>
                </c:pt>
                <c:pt idx="36">
                  <c:v>8.6007595042356968</c:v>
                </c:pt>
                <c:pt idx="37">
                  <c:v>8.6021395510416774</c:v>
                </c:pt>
                <c:pt idx="38">
                  <c:v>8.345706227509968</c:v>
                </c:pt>
                <c:pt idx="39">
                  <c:v>8.5859322281036672</c:v>
                </c:pt>
                <c:pt idx="40">
                  <c:v>8.4186789439067926</c:v>
                </c:pt>
                <c:pt idx="41">
                  <c:v>8.5399956462767292</c:v>
                </c:pt>
                <c:pt idx="42">
                  <c:v>8.4656731004153443</c:v>
                </c:pt>
                <c:pt idx="43">
                  <c:v>8.4680395507650168</c:v>
                </c:pt>
                <c:pt idx="44">
                  <c:v>8.567021536072664</c:v>
                </c:pt>
                <c:pt idx="45">
                  <c:v>8.5034127408993569</c:v>
                </c:pt>
                <c:pt idx="46">
                  <c:v>8.6785636234497083</c:v>
                </c:pt>
                <c:pt idx="47">
                  <c:v>8.4410770778156365</c:v>
                </c:pt>
                <c:pt idx="48">
                  <c:v>8.6513192833624011</c:v>
                </c:pt>
                <c:pt idx="49">
                  <c:v>8.4051223135985236</c:v>
                </c:pt>
                <c:pt idx="50">
                  <c:v>8.5812126924285259</c:v>
                </c:pt>
                <c:pt idx="51">
                  <c:v>8.5657730868509496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07-4CF9-A71F-3845435CB3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711119"/>
        <c:axId val="47718799"/>
      </c:scatterChart>
      <c:valAx>
        <c:axId val="477111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EST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7718799"/>
        <c:crosses val="autoZero"/>
        <c:crossBetween val="midCat"/>
      </c:valAx>
      <c:valAx>
        <c:axId val="47718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Rendimiento</a:t>
                </a:r>
                <a:r>
                  <a:rPr lang="en-US" baseline="0"/>
                  <a:t> (L/kg)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77111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1</xdr:row>
      <xdr:rowOff>161925</xdr:rowOff>
    </xdr:from>
    <xdr:to>
      <xdr:col>10</xdr:col>
      <xdr:colOff>9525</xdr:colOff>
      <xdr:row>16</xdr:row>
      <xdr:rowOff>47625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D492087-E903-6002-AF64-08081EBA8D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19050</xdr:colOff>
      <xdr:row>17</xdr:row>
      <xdr:rowOff>38100</xdr:rowOff>
    </xdr:from>
    <xdr:to>
      <xdr:col>10</xdr:col>
      <xdr:colOff>19050</xdr:colOff>
      <xdr:row>31</xdr:row>
      <xdr:rowOff>114300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A273F68-29C5-07AB-77AC-83BF757855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an Riera" refreshedDate="46062.724478587967" createdVersion="8" refreshedVersion="8" minRefreshableVersion="3" recordCount="364" xr:uid="{E9312885-E643-4E50-B02B-C3CAE6402964}">
  <cacheSource type="worksheet">
    <worksheetSource name="Tabla2"/>
  </cacheSource>
  <cacheFields count="34">
    <cacheField name="fecha" numFmtId="14">
      <sharedItems containsSemiMixedTypes="0" containsNonDate="0" containsDate="1" containsString="0" minDate="2023-12-31T00:00:00" maxDate="2024-12-29T00:00:00" count="364">
        <d v="2023-12-31T00:00:00"/>
        <d v="2024-01-01T00:00:00"/>
        <d v="2024-01-02T00:00:00"/>
        <d v="2024-01-03T00:00:00"/>
        <d v="2024-01-04T00:00:00"/>
        <d v="2024-01-05T00:00:00"/>
        <d v="2024-01-06T00:00:00"/>
        <d v="2024-01-07T00:00:00"/>
        <d v="2024-01-08T00:00:00"/>
        <d v="2024-01-09T00:00:00"/>
        <d v="2024-01-10T00:00:00"/>
        <d v="2024-01-11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  <d v="2024-02-20T00:00:00"/>
        <d v="2024-02-21T00:00:00"/>
        <d v="2024-02-22T00:00:00"/>
        <d v="2024-02-23T00:00:00"/>
        <d v="2024-02-24T00:00:00"/>
        <d v="2024-02-25T00:00:00"/>
        <d v="2024-02-26T00:00:00"/>
        <d v="2024-02-27T00:00:00"/>
        <d v="2024-02-28T00:00:00"/>
        <d v="2024-02-29T00:00:00"/>
        <d v="2024-03-01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5T00:00:00"/>
        <d v="2024-12-26T00:00:00"/>
        <d v="2024-12-27T00:00:00"/>
        <d v="2024-12-28T00:00:00"/>
      </sharedItems>
      <fieldGroup par="22"/>
    </cacheField>
    <cacheField name="entrada_kg" numFmtId="0">
      <sharedItems containsString="0" containsBlank="1" containsNumber="1" containsInteger="1" minValue="4445" maxValue="6071"/>
    </cacheField>
    <cacheField name="entrada_litros" numFmtId="0">
      <sharedItems containsString="0" containsBlank="1" containsNumber="1" containsInteger="1" minValue="4316" maxValue="5894"/>
    </cacheField>
    <cacheField name="entrada_grasa_g_l" numFmtId="0">
      <sharedItems containsString="0" containsBlank="1" containsNumber="1" minValue="36.71" maxValue="46.9"/>
    </cacheField>
    <cacheField name="entrada_prot_g_l" numFmtId="0">
      <sharedItems containsString="0" containsBlank="1" containsNumber="1" minValue="33.06" maxValue="38.42"/>
    </cacheField>
    <cacheField name="cuba_fab_litros" numFmtId="0">
      <sharedItems containsString="0" containsBlank="1" containsNumber="1" containsInteger="1" minValue="3149" maxValue="7194"/>
    </cacheField>
    <cacheField name="cuba_fab_grasa_g_l" numFmtId="0">
      <sharedItems containsString="0" containsBlank="1" containsNumber="1" minValue="37.6" maxValue="43.12"/>
    </cacheField>
    <cacheField name="cuba_fab_prot_g_l" numFmtId="0">
      <sharedItems containsString="0" containsBlank="1" containsNumber="1" minValue="32.44" maxValue="35.869999999999997"/>
    </cacheField>
    <cacheField name="stock_cierre_litros" numFmtId="0">
      <sharedItems containsString="0" containsBlank="1" containsNumber="1" containsInteger="1" minValue="3128" maxValue="7166"/>
    </cacheField>
    <cacheField name="queso_kg" numFmtId="0">
      <sharedItems containsString="0" containsBlank="1" containsNumber="1" minValue="361.26" maxValue="834.99"/>
    </cacheField>
    <cacheField name="queso_est_pct" numFmtId="0">
      <sharedItems containsString="0" containsBlank="1" containsNumber="1" minValue="48.68" maxValue="56.15"/>
    </cacheField>
    <cacheField name="queso_mg_pct" numFmtId="0">
      <sharedItems containsString="0" containsBlank="1" containsNumber="1" minValue="24.55" maxValue="29.21"/>
    </cacheField>
    <cacheField name="entrada_grasa_kg" numFmtId="0">
      <sharedItems containsSemiMixedTypes="0" containsString="0" containsNumber="1" minValue="0" maxValue="248.17099999999999"/>
    </cacheField>
    <cacheField name="entrada_prot_kg" numFmtId="0">
      <sharedItems containsSemiMixedTypes="0" containsString="0" containsNumber="1" minValue="0" maxValue="211.31891999999999"/>
    </cacheField>
    <cacheField name="cuba_fab_grasa_kg" numFmtId="0">
      <sharedItems containsSemiMixedTypes="0" containsString="0" containsNumber="1" minValue="0" maxValue="290.63759999999996"/>
    </cacheField>
    <cacheField name="cuba_fab_prot_kg" numFmtId="0">
      <sharedItems containsSemiMixedTypes="0" containsString="0" containsNumber="1" minValue="0" maxValue="245.17151999999999"/>
    </cacheField>
    <cacheField name="queso_est_kg" numFmtId="0">
      <sharedItems containsSemiMixedTypes="0" containsString="0" containsNumber="1" minValue="0" maxValue="442.04370600000004"/>
    </cacheField>
    <cacheField name="queso_mg_kg" numFmtId="0">
      <sharedItems containsSemiMixedTypes="0" containsString="0" containsNumber="1" minValue="0" maxValue="225.67735999999996"/>
    </cacheField>
    <cacheField name="semanaISO" numFmtId="0">
      <sharedItems containsSemiMixedTypes="0" containsString="0" containsNumber="1" containsInteger="1" minValue="1" maxValue="52"/>
    </cacheField>
    <cacheField name="semana" numFmtId="0">
      <sharedItems containsSemiMixedTypes="0" containsString="0" containsNumber="1" containsInteger="1" minValue="1" maxValue="52" count="52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</sharedItems>
    </cacheField>
    <cacheField name="Meses (fecha)" numFmtId="0" databaseField="0">
      <fieldGroup base="0">
        <rangePr groupBy="months" startDate="2023-12-31T00:00:00" endDate="2024-12-29T00:00:00"/>
        <groupItems count="14">
          <s v="&lt;31/12/2023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29/12/2024"/>
        </groupItems>
      </fieldGroup>
    </cacheField>
    <cacheField name="Trimestres (fecha)" numFmtId="0" databaseField="0">
      <fieldGroup base="0">
        <rangePr groupBy="quarters" startDate="2023-12-31T00:00:00" endDate="2024-12-29T00:00:00"/>
        <groupItems count="6">
          <s v="&lt;31/12/2023"/>
          <s v="Trim.1"/>
          <s v="Trim.2"/>
          <s v="Trim.3"/>
          <s v="Trim.4"/>
          <s v="&gt;29/12/2024"/>
        </groupItems>
      </fieldGroup>
    </cacheField>
    <cacheField name="Años (fecha)" numFmtId="0" databaseField="0">
      <fieldGroup base="0">
        <rangePr groupBy="years" startDate="2023-12-31T00:00:00" endDate="2024-12-29T00:00:00"/>
        <groupItems count="4">
          <s v="&lt;31/12/2023"/>
          <s v="2023"/>
          <s v="2024"/>
          <s v="&gt;29/12/2024"/>
        </groupItems>
      </fieldGroup>
    </cacheField>
    <cacheField name="Campo1" numFmtId="0" formula="cuba_fab_grasa_kg-entrada_grasa_kg" databaseField="0"/>
    <cacheField name="Campo2" numFmtId="0" formula="(cuba_fab_grasa_kg-entrada_grasa_kg) /entrada_grasa_kg" databaseField="0"/>
    <cacheField name="Diferencia de balance" numFmtId="0" formula="cuba_fab_grasa_kg-entrada_grasa_kg" databaseField="0"/>
    <cacheField name="Desviación:pct" numFmtId="0" formula="(cuba_fab_grasa_kg-entrada_grasa_kg) /entrada_grasa_kg" databaseField="0"/>
    <cacheField name="Desviación.pct" numFmtId="0" formula="(cuba_fab_grasa_kg-entrada_grasa_kg) /entrada_grasa_kg" databaseField="0"/>
    <cacheField name="Dif de balance queso" numFmtId="0" formula="queso_mg_kg-cuba_fab_grasa_kg" databaseField="0"/>
    <cacheField name="Desvicaión queso" numFmtId="0" formula=" (queso_mg_kg-cuba_fab_grasa_kg)/cuba_fab_grasa_kg" databaseField="0"/>
    <cacheField name="Desviacion total" numFmtId="0" formula="queso_mg_kg-entrada_grasa_kg" databaseField="0"/>
    <cacheField name="desv total" numFmtId="0" formula=" (queso_mg_kg-entrada_grasa_kg)/entrada_grasa_kg" databaseField="0"/>
    <cacheField name="Rendim (L/kg)" numFmtId="0" formula="cuba_fab_litros /queso_kg" databaseField="0"/>
    <cacheField name="EST (%)" numFmtId="0" formula="queso_est_kg/queso_kg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4">
  <r>
    <x v="0"/>
    <n v="5572"/>
    <n v="5410"/>
    <n v="43.64"/>
    <n v="38.42"/>
    <m/>
    <m/>
    <m/>
    <n v="5410"/>
    <m/>
    <m/>
    <m/>
    <n v="236.0924"/>
    <n v="207.85220000000001"/>
    <n v="0"/>
    <n v="0"/>
    <n v="0"/>
    <n v="0"/>
    <n v="52"/>
    <x v="0"/>
  </r>
  <r>
    <x v="1"/>
    <n v="5181"/>
    <n v="5030"/>
    <n v="44.12"/>
    <n v="36.56"/>
    <n v="5027"/>
    <n v="42.24"/>
    <n v="35.869999999999997"/>
    <n v="5440"/>
    <n v="596.79"/>
    <n v="53.43"/>
    <n v="25.95"/>
    <n v="221.92359999999996"/>
    <n v="183.89680000000001"/>
    <n v="212.34048000000001"/>
    <n v="180.31849"/>
    <n v="318.86489699999998"/>
    <n v="154.86700499999998"/>
    <n v="1"/>
    <x v="0"/>
  </r>
  <r>
    <x v="2"/>
    <n v="5269"/>
    <n v="5116"/>
    <n v="43.4"/>
    <n v="36.54"/>
    <n v="5025"/>
    <n v="41.7"/>
    <n v="35.799999999999997"/>
    <n v="5556"/>
    <n v="583.70000000000005"/>
    <n v="51.91"/>
    <n v="28.44"/>
    <n v="222.03440000000001"/>
    <n v="186.93863999999999"/>
    <n v="209.54249999999999"/>
    <n v="179.89500000000001"/>
    <n v="302.99867"/>
    <n v="166.00428000000002"/>
    <n v="1"/>
    <x v="0"/>
  </r>
  <r>
    <x v="3"/>
    <n v="5186"/>
    <n v="5035"/>
    <n v="41.73"/>
    <n v="35.450000000000003"/>
    <n v="5019"/>
    <n v="40.659999999999997"/>
    <n v="34.67"/>
    <n v="5591"/>
    <n v="581.04999999999995"/>
    <n v="52.23"/>
    <n v="27.17"/>
    <n v="210.11054999999999"/>
    <n v="178.49074999999999"/>
    <n v="204.07253999999998"/>
    <n v="174.00873000000001"/>
    <n v="303.48241499999995"/>
    <n v="157.871285"/>
    <n v="1"/>
    <x v="0"/>
  </r>
  <r>
    <x v="4"/>
    <n v="5118"/>
    <n v="4969"/>
    <n v="41.97"/>
    <n v="36.67"/>
    <n v="5023"/>
    <n v="40.549999999999997"/>
    <n v="35.14"/>
    <n v="5560"/>
    <n v="585.35"/>
    <n v="52.8"/>
    <n v="27.39"/>
    <n v="208.54892999999998"/>
    <n v="182.21323000000001"/>
    <n v="203.68265"/>
    <n v="176.50821999999999"/>
    <n v="309.06479999999999"/>
    <n v="160.32736500000001"/>
    <n v="1"/>
    <x v="0"/>
  </r>
  <r>
    <x v="5"/>
    <m/>
    <m/>
    <m/>
    <m/>
    <n v="5592"/>
    <n v="40.590000000000003"/>
    <n v="34.9"/>
    <m/>
    <n v="642.45000000000005"/>
    <n v="53.07"/>
    <n v="26.86"/>
    <n v="0"/>
    <n v="0"/>
    <n v="226.97928000000002"/>
    <n v="195.16079999999999"/>
    <n v="340.94821500000006"/>
    <n v="172.56207000000003"/>
    <n v="1"/>
    <x v="0"/>
  </r>
  <r>
    <x v="6"/>
    <m/>
    <m/>
    <m/>
    <m/>
    <m/>
    <m/>
    <m/>
    <m/>
    <m/>
    <m/>
    <m/>
    <n v="0"/>
    <n v="0"/>
    <n v="0"/>
    <n v="0"/>
    <n v="0"/>
    <n v="0"/>
    <n v="1"/>
    <x v="0"/>
  </r>
  <r>
    <x v="7"/>
    <n v="5170"/>
    <n v="5019"/>
    <n v="39.950000000000003"/>
    <n v="37.29"/>
    <m/>
    <m/>
    <m/>
    <n v="5019"/>
    <m/>
    <m/>
    <m/>
    <n v="200.50905000000003"/>
    <n v="187.15851000000001"/>
    <n v="0"/>
    <n v="0"/>
    <n v="0"/>
    <n v="0"/>
    <n v="1"/>
    <x v="1"/>
  </r>
  <r>
    <x v="8"/>
    <n v="5814"/>
    <n v="5645"/>
    <n v="39.6"/>
    <n v="36.08"/>
    <n v="5030"/>
    <n v="37.64"/>
    <n v="34.97"/>
    <n v="5664"/>
    <n v="589.63"/>
    <n v="51.99"/>
    <n v="27.32"/>
    <n v="223.542"/>
    <n v="203.67159999999998"/>
    <n v="189.32920000000001"/>
    <n v="175.8991"/>
    <n v="306.54863700000004"/>
    <n v="161.086916"/>
    <n v="2"/>
    <x v="1"/>
  </r>
  <r>
    <x v="9"/>
    <n v="5067"/>
    <n v="4919"/>
    <n v="42.63"/>
    <n v="34.08"/>
    <n v="5024"/>
    <n v="38.86"/>
    <n v="33.71"/>
    <n v="5583"/>
    <n v="601.84"/>
    <n v="53.68"/>
    <n v="27.48"/>
    <n v="209.69696999999999"/>
    <n v="167.63951999999998"/>
    <n v="195.23263999999998"/>
    <n v="169.35904000000002"/>
    <n v="323.06771200000003"/>
    <n v="165.38563200000002"/>
    <n v="2"/>
    <x v="1"/>
  </r>
  <r>
    <x v="10"/>
    <n v="5203"/>
    <n v="5051"/>
    <n v="42.24"/>
    <n v="37.76"/>
    <n v="5020"/>
    <n v="39.909999999999997"/>
    <n v="34.97"/>
    <n v="5634"/>
    <n v="582.51"/>
    <n v="51.93"/>
    <n v="25.84"/>
    <n v="213.35424000000003"/>
    <n v="190.72575999999998"/>
    <n v="200.34819999999999"/>
    <n v="175.54939999999999"/>
    <n v="302.49744299999998"/>
    <n v="150.52058399999999"/>
    <n v="2"/>
    <x v="1"/>
  </r>
  <r>
    <x v="11"/>
    <n v="5907"/>
    <n v="5735"/>
    <n v="41"/>
    <n v="35.1"/>
    <n v="5022"/>
    <n v="39.42"/>
    <n v="34.15"/>
    <n v="6369"/>
    <n v="602.77"/>
    <n v="51.51"/>
    <n v="26.02"/>
    <n v="235.13499999999999"/>
    <n v="201.29849999999999"/>
    <n v="197.96724000000003"/>
    <n v="171.50129999999999"/>
    <n v="310.48682699999995"/>
    <n v="156.840754"/>
    <n v="2"/>
    <x v="1"/>
  </r>
  <r>
    <x v="12"/>
    <m/>
    <m/>
    <m/>
    <m/>
    <n v="6392"/>
    <n v="39.450000000000003"/>
    <n v="34.200000000000003"/>
    <m/>
    <n v="753.22"/>
    <n v="51.5"/>
    <n v="27.25"/>
    <n v="0"/>
    <n v="0"/>
    <n v="252.16440000000003"/>
    <n v="218.60640000000004"/>
    <n v="387.9083"/>
    <n v="205.25244999999998"/>
    <n v="2"/>
    <x v="1"/>
  </r>
  <r>
    <x v="13"/>
    <m/>
    <m/>
    <m/>
    <m/>
    <m/>
    <m/>
    <m/>
    <m/>
    <m/>
    <m/>
    <m/>
    <n v="0"/>
    <n v="0"/>
    <n v="0"/>
    <n v="0"/>
    <n v="0"/>
    <n v="0"/>
    <n v="2"/>
    <x v="1"/>
  </r>
  <r>
    <x v="14"/>
    <n v="6036"/>
    <n v="5860"/>
    <n v="42.35"/>
    <n v="35.200000000000003"/>
    <m/>
    <m/>
    <m/>
    <n v="5860"/>
    <m/>
    <m/>
    <m/>
    <n v="248.17099999999999"/>
    <n v="206.27200000000002"/>
    <n v="0"/>
    <n v="0"/>
    <n v="0"/>
    <n v="0"/>
    <n v="2"/>
    <x v="2"/>
  </r>
  <r>
    <x v="15"/>
    <n v="5413"/>
    <n v="5255"/>
    <n v="39.549999999999997"/>
    <n v="34.090000000000003"/>
    <n v="5024"/>
    <n v="39.01"/>
    <n v="33.19"/>
    <n v="6115"/>
    <n v="587.28"/>
    <n v="51.43"/>
    <n v="28.48"/>
    <n v="207.83524999999997"/>
    <n v="179.14295000000001"/>
    <n v="195.98623999999998"/>
    <n v="166.74655999999999"/>
    <n v="302.03810399999998"/>
    <n v="167.25734400000002"/>
    <n v="3"/>
    <x v="2"/>
  </r>
  <r>
    <x v="16"/>
    <n v="5217"/>
    <n v="5065"/>
    <n v="42.31"/>
    <n v="35.340000000000003"/>
    <n v="5023"/>
    <n v="39.840000000000003"/>
    <n v="33.619999999999997"/>
    <n v="6180"/>
    <n v="601.08000000000004"/>
    <n v="52.39"/>
    <n v="26.61"/>
    <n v="214.30015000000003"/>
    <n v="178.99710000000002"/>
    <n v="200.11632"/>
    <n v="168.87325999999999"/>
    <n v="314.90581200000003"/>
    <n v="159.94738800000002"/>
    <n v="3"/>
    <x v="2"/>
  </r>
  <r>
    <x v="17"/>
    <n v="5249"/>
    <n v="5096"/>
    <n v="42.19"/>
    <n v="37.04"/>
    <n v="5030"/>
    <n v="40.01"/>
    <n v="34.229999999999997"/>
    <n v="6276"/>
    <n v="621.52"/>
    <n v="51.04"/>
    <n v="25.64"/>
    <n v="215.00023999999999"/>
    <n v="188.75584000000001"/>
    <n v="201.25029999999998"/>
    <n v="172.17689999999999"/>
    <n v="317.22380799999996"/>
    <n v="159.35772800000001"/>
    <n v="3"/>
    <x v="2"/>
  </r>
  <r>
    <x v="18"/>
    <n v="4883"/>
    <n v="4741"/>
    <n v="38.39"/>
    <n v="35.83"/>
    <n v="5028"/>
    <n v="38.57"/>
    <n v="34.229999999999997"/>
    <n v="6017"/>
    <n v="622.27"/>
    <n v="53.95"/>
    <n v="27.67"/>
    <n v="182.00699"/>
    <n v="169.87002999999999"/>
    <n v="193.92995999999999"/>
    <n v="172.10843999999997"/>
    <n v="335.71466500000002"/>
    <n v="172.18210900000003"/>
    <n v="3"/>
    <x v="2"/>
  </r>
  <r>
    <x v="19"/>
    <m/>
    <m/>
    <m/>
    <m/>
    <n v="6048"/>
    <n v="38.81"/>
    <n v="34.11"/>
    <m/>
    <n v="704.02"/>
    <n v="53.28"/>
    <n v="28.55"/>
    <n v="0"/>
    <n v="0"/>
    <n v="234.72288"/>
    <n v="206.29728"/>
    <n v="375.101856"/>
    <n v="200.99771000000001"/>
    <n v="3"/>
    <x v="2"/>
  </r>
  <r>
    <x v="20"/>
    <m/>
    <m/>
    <m/>
    <m/>
    <m/>
    <m/>
    <m/>
    <m/>
    <m/>
    <m/>
    <m/>
    <n v="0"/>
    <n v="0"/>
    <n v="0"/>
    <n v="0"/>
    <n v="0"/>
    <n v="0"/>
    <n v="3"/>
    <x v="2"/>
  </r>
  <r>
    <x v="21"/>
    <n v="4886"/>
    <n v="4744"/>
    <n v="40.770000000000003"/>
    <n v="35.93"/>
    <m/>
    <m/>
    <m/>
    <n v="4744"/>
    <m/>
    <m/>
    <m/>
    <n v="193.41288"/>
    <n v="170.45192"/>
    <n v="0"/>
    <n v="0"/>
    <n v="0"/>
    <n v="0"/>
    <n v="3"/>
    <x v="3"/>
  </r>
  <r>
    <x v="22"/>
    <n v="5336"/>
    <n v="5181"/>
    <n v="40.69"/>
    <n v="35.630000000000003"/>
    <n v="5030"/>
    <n v="39.04"/>
    <n v="34.08"/>
    <n v="4925"/>
    <n v="591.33000000000004"/>
    <n v="50.76"/>
    <n v="25.86"/>
    <n v="210.81488999999999"/>
    <n v="184.59903"/>
    <n v="196.37119999999999"/>
    <n v="171.42239999999998"/>
    <n v="300.159108"/>
    <n v="152.91793800000002"/>
    <n v="4"/>
    <x v="3"/>
  </r>
  <r>
    <x v="23"/>
    <n v="4632"/>
    <n v="4497"/>
    <n v="40.020000000000003"/>
    <n v="35.08"/>
    <n v="5028"/>
    <n v="38.520000000000003"/>
    <n v="33.549999999999997"/>
    <n v="4422"/>
    <n v="584.72"/>
    <n v="51.52"/>
    <n v="26.88"/>
    <n v="179.96994000000001"/>
    <n v="157.75475999999998"/>
    <n v="193.67856000000003"/>
    <n v="168.68940000000001"/>
    <n v="301.24774400000001"/>
    <n v="157.17273600000001"/>
    <n v="4"/>
    <x v="3"/>
  </r>
  <r>
    <x v="24"/>
    <n v="5031"/>
    <n v="4884"/>
    <n v="42.1"/>
    <n v="36.58"/>
    <n v="5017"/>
    <n v="39.299999999999997"/>
    <n v="34.78"/>
    <n v="4306"/>
    <n v="599.92999999999995"/>
    <n v="52.93"/>
    <n v="25.73"/>
    <n v="205.6164"/>
    <n v="178.65672000000001"/>
    <n v="197.16809999999998"/>
    <n v="174.49126000000001"/>
    <n v="317.54294899999996"/>
    <n v="154.36198899999999"/>
    <n v="4"/>
    <x v="3"/>
  </r>
  <r>
    <x v="25"/>
    <n v="5245"/>
    <n v="5092"/>
    <n v="44.18"/>
    <n v="35.950000000000003"/>
    <n v="5034"/>
    <n v="40.67"/>
    <n v="34.24"/>
    <n v="4398"/>
    <n v="586.55999999999995"/>
    <n v="53.19"/>
    <n v="27.42"/>
    <n v="224.96456000000001"/>
    <n v="183.05740000000003"/>
    <n v="204.73277999999999"/>
    <n v="172.36416"/>
    <n v="311.991264"/>
    <n v="160.83475199999998"/>
    <n v="4"/>
    <x v="3"/>
  </r>
  <r>
    <x v="26"/>
    <m/>
    <m/>
    <m/>
    <m/>
    <n v="4423"/>
    <n v="40.93"/>
    <n v="34.15"/>
    <m/>
    <n v="491.12"/>
    <n v="53.29"/>
    <n v="26.69"/>
    <n v="0"/>
    <n v="0"/>
    <n v="181.03339"/>
    <n v="151.04544999999999"/>
    <n v="261.717848"/>
    <n v="131.079928"/>
    <n v="4"/>
    <x v="3"/>
  </r>
  <r>
    <x v="27"/>
    <m/>
    <m/>
    <m/>
    <m/>
    <m/>
    <m/>
    <m/>
    <m/>
    <m/>
    <m/>
    <m/>
    <n v="0"/>
    <n v="0"/>
    <n v="0"/>
    <n v="0"/>
    <n v="0"/>
    <n v="0"/>
    <n v="4"/>
    <x v="3"/>
  </r>
  <r>
    <x v="28"/>
    <n v="5167"/>
    <n v="5017"/>
    <n v="42.34"/>
    <n v="37.08"/>
    <m/>
    <m/>
    <m/>
    <n v="5017"/>
    <m/>
    <m/>
    <m/>
    <n v="212.41978000000003"/>
    <n v="186.03035999999997"/>
    <n v="0"/>
    <n v="0"/>
    <n v="0"/>
    <n v="0"/>
    <n v="4"/>
    <x v="4"/>
  </r>
  <r>
    <x v="29"/>
    <n v="5069"/>
    <n v="4921"/>
    <n v="42.5"/>
    <n v="35.979999999999997"/>
    <n v="5026"/>
    <n v="40.24"/>
    <n v="34.979999999999997"/>
    <n v="4938"/>
    <n v="572.55999999999995"/>
    <n v="52.19"/>
    <n v="27.65"/>
    <n v="209.14250000000001"/>
    <n v="177.05757999999997"/>
    <n v="202.24624000000003"/>
    <n v="175.80947999999998"/>
    <n v="298.81906399999997"/>
    <n v="158.31283999999997"/>
    <n v="5"/>
    <x v="4"/>
  </r>
  <r>
    <x v="30"/>
    <n v="5229"/>
    <n v="5077"/>
    <n v="39.6"/>
    <n v="35.57"/>
    <n v="5030"/>
    <n v="38.78"/>
    <n v="34.340000000000003"/>
    <n v="5015"/>
    <n v="605.80999999999995"/>
    <n v="52.05"/>
    <n v="27.97"/>
    <n v="201.04920000000001"/>
    <n v="180.58889000000002"/>
    <n v="195.0634"/>
    <n v="172.73020000000002"/>
    <n v="315.32410499999992"/>
    <n v="169.44505699999999"/>
    <n v="5"/>
    <x v="4"/>
  </r>
  <r>
    <x v="31"/>
    <n v="4669"/>
    <n v="4533"/>
    <n v="43.36"/>
    <n v="36.729999999999997"/>
    <n v="5027"/>
    <n v="40.22"/>
    <n v="34.82"/>
    <n v="4548"/>
    <n v="579.69000000000005"/>
    <n v="51.38"/>
    <n v="26.33"/>
    <n v="196.55088000000001"/>
    <n v="166.49708999999999"/>
    <n v="202.18594000000002"/>
    <n v="175.04014000000001"/>
    <n v="297.84472200000005"/>
    <n v="152.63237699999999"/>
    <n v="5"/>
    <x v="4"/>
  </r>
  <r>
    <x v="32"/>
    <n v="5215"/>
    <n v="5063"/>
    <n v="42.23"/>
    <n v="36.25"/>
    <n v="5022"/>
    <n v="40.11"/>
    <n v="34.53"/>
    <n v="4611"/>
    <n v="601.19000000000005"/>
    <n v="51.49"/>
    <n v="27.35"/>
    <n v="213.81048999999999"/>
    <n v="183.53375"/>
    <n v="201.43241999999998"/>
    <n v="173.40966"/>
    <n v="309.55273100000005"/>
    <n v="164.42546500000003"/>
    <n v="5"/>
    <x v="4"/>
  </r>
  <r>
    <x v="33"/>
    <m/>
    <m/>
    <m/>
    <m/>
    <n v="4640"/>
    <n v="39.96"/>
    <n v="34.71"/>
    <m/>
    <n v="539.78"/>
    <n v="52.67"/>
    <n v="26.55"/>
    <n v="0"/>
    <n v="0"/>
    <n v="185.4144"/>
    <n v="161.05439999999999"/>
    <n v="284.30212599999999"/>
    <n v="143.31159"/>
    <n v="5"/>
    <x v="4"/>
  </r>
  <r>
    <x v="34"/>
    <m/>
    <m/>
    <m/>
    <m/>
    <m/>
    <m/>
    <m/>
    <m/>
    <m/>
    <m/>
    <m/>
    <n v="0"/>
    <n v="0"/>
    <n v="0"/>
    <n v="0"/>
    <n v="0"/>
    <n v="0"/>
    <n v="5"/>
    <x v="4"/>
  </r>
  <r>
    <x v="35"/>
    <n v="5112"/>
    <n v="4963"/>
    <n v="44.29"/>
    <n v="34.97"/>
    <m/>
    <m/>
    <m/>
    <n v="4963"/>
    <m/>
    <m/>
    <m/>
    <n v="219.81126999999998"/>
    <n v="173.55610999999999"/>
    <n v="0"/>
    <n v="0"/>
    <n v="0"/>
    <n v="0"/>
    <n v="5"/>
    <x v="5"/>
  </r>
  <r>
    <x v="36"/>
    <n v="5042"/>
    <n v="4895"/>
    <n v="45.35"/>
    <n v="35.19"/>
    <n v="5023"/>
    <n v="42.78"/>
    <n v="33.35"/>
    <n v="4858"/>
    <n v="591.73"/>
    <n v="53.1"/>
    <n v="26.96"/>
    <n v="221.98824999999999"/>
    <n v="172.25504999999998"/>
    <n v="214.88394"/>
    <n v="167.51705000000001"/>
    <n v="314.20863000000003"/>
    <n v="159.53040799999999"/>
    <n v="6"/>
    <x v="5"/>
  </r>
  <r>
    <x v="37"/>
    <n v="4935"/>
    <n v="4791"/>
    <n v="44.54"/>
    <n v="34.46"/>
    <n v="5017"/>
    <n v="43.12"/>
    <n v="33.26"/>
    <n v="4649"/>
    <n v="595.66"/>
    <n v="53.51"/>
    <n v="26.74"/>
    <n v="213.39113999999998"/>
    <n v="165.09786000000003"/>
    <n v="216.33303999999998"/>
    <n v="166.86541999999997"/>
    <n v="318.73766599999993"/>
    <n v="159.27948399999997"/>
    <n v="6"/>
    <x v="5"/>
  </r>
  <r>
    <x v="38"/>
    <n v="4981"/>
    <n v="4836"/>
    <n v="44.62"/>
    <n v="34.78"/>
    <n v="5030"/>
    <n v="42.23"/>
    <n v="33.33"/>
    <n v="4485"/>
    <n v="614.04999999999995"/>
    <n v="52.43"/>
    <n v="27.03"/>
    <n v="215.78231999999997"/>
    <n v="168.19608000000002"/>
    <n v="212.4169"/>
    <n v="167.6499"/>
    <n v="321.946415"/>
    <n v="165.97771499999999"/>
    <n v="6"/>
    <x v="5"/>
  </r>
  <r>
    <x v="39"/>
    <n v="5234"/>
    <n v="5082"/>
    <n v="43.96"/>
    <n v="34.869999999999997"/>
    <n v="5018"/>
    <n v="42.43"/>
    <n v="33.39"/>
    <n v="4567"/>
    <n v="609.44000000000005"/>
    <n v="52.12"/>
    <n v="27.37"/>
    <n v="223.40472"/>
    <n v="177.20934"/>
    <n v="212.91373999999999"/>
    <n v="167.55101999999999"/>
    <n v="317.640128"/>
    <n v="166.80372800000001"/>
    <n v="6"/>
    <x v="5"/>
  </r>
  <r>
    <x v="40"/>
    <m/>
    <m/>
    <m/>
    <m/>
    <n v="4589"/>
    <n v="42.24"/>
    <n v="32.96"/>
    <m/>
    <n v="523.85"/>
    <n v="52.51"/>
    <n v="27.65"/>
    <n v="0"/>
    <n v="0"/>
    <n v="193.83936000000003"/>
    <n v="151.25344000000001"/>
    <n v="275.07363499999997"/>
    <n v="144.844525"/>
    <n v="6"/>
    <x v="5"/>
  </r>
  <r>
    <x v="41"/>
    <m/>
    <m/>
    <m/>
    <m/>
    <m/>
    <m/>
    <m/>
    <m/>
    <m/>
    <m/>
    <m/>
    <n v="0"/>
    <n v="0"/>
    <n v="0"/>
    <n v="0"/>
    <n v="0"/>
    <n v="0"/>
    <n v="6"/>
    <x v="5"/>
  </r>
  <r>
    <x v="42"/>
    <n v="5598"/>
    <n v="5435"/>
    <n v="44.05"/>
    <n v="35.200000000000003"/>
    <m/>
    <m/>
    <m/>
    <n v="5435"/>
    <m/>
    <m/>
    <m/>
    <n v="239.41174999999998"/>
    <n v="191.31200000000004"/>
    <n v="0"/>
    <n v="0"/>
    <n v="0"/>
    <n v="0"/>
    <n v="6"/>
    <x v="6"/>
  </r>
  <r>
    <x v="43"/>
    <n v="5827"/>
    <n v="5657"/>
    <n v="42.79"/>
    <n v="34.53"/>
    <n v="5026"/>
    <n v="41.32"/>
    <n v="33.43"/>
    <n v="6092"/>
    <n v="615.14"/>
    <n v="54.33"/>
    <n v="27.83"/>
    <n v="242.06303"/>
    <n v="195.33621000000002"/>
    <n v="207.67431999999999"/>
    <n v="168.01918000000001"/>
    <n v="334.20556199999999"/>
    <n v="171.19346200000001"/>
    <n v="7"/>
    <x v="6"/>
  </r>
  <r>
    <x v="44"/>
    <n v="5422"/>
    <n v="5264"/>
    <n v="44.23"/>
    <n v="36.21"/>
    <n v="5031"/>
    <n v="41.68"/>
    <n v="34.15"/>
    <n v="6356"/>
    <n v="584.83000000000004"/>
    <n v="53.05"/>
    <n v="26.32"/>
    <n v="232.82671999999997"/>
    <n v="190.60944000000001"/>
    <n v="209.69207999999998"/>
    <n v="171.80865"/>
    <n v="310.25231500000001"/>
    <n v="153.92725600000003"/>
    <n v="7"/>
    <x v="6"/>
  </r>
  <r>
    <x v="45"/>
    <n v="5858"/>
    <n v="5687"/>
    <n v="40.79"/>
    <n v="35.32"/>
    <n v="5025"/>
    <n v="40.28"/>
    <n v="33.72"/>
    <n v="7043"/>
    <n v="574.23"/>
    <n v="52.6"/>
    <n v="26.44"/>
    <n v="231.97272999999998"/>
    <n v="200.86483999999999"/>
    <n v="202.40700000000001"/>
    <n v="169.44300000000001"/>
    <n v="302.04498000000001"/>
    <n v="151.826412"/>
    <n v="7"/>
    <x v="6"/>
  </r>
  <r>
    <x v="46"/>
    <n v="5209"/>
    <n v="5057"/>
    <n v="42.22"/>
    <n v="35.369999999999997"/>
    <n v="5029"/>
    <n v="39.869999999999997"/>
    <n v="33.770000000000003"/>
    <n v="7100"/>
    <n v="570.98"/>
    <n v="49.68"/>
    <n v="28.21"/>
    <n v="213.50654"/>
    <n v="178.86608999999999"/>
    <n v="200.50622999999999"/>
    <n v="169.82933000000003"/>
    <n v="283.66286400000001"/>
    <n v="161.07345800000002"/>
    <n v="7"/>
    <x v="6"/>
  </r>
  <r>
    <x v="47"/>
    <m/>
    <m/>
    <m/>
    <m/>
    <n v="7144"/>
    <n v="40.619999999999997"/>
    <n v="34.08"/>
    <m/>
    <n v="834.99"/>
    <n v="52.94"/>
    <n v="26.5"/>
    <n v="0"/>
    <n v="0"/>
    <n v="290.18928"/>
    <n v="243.46751999999998"/>
    <n v="442.04370600000004"/>
    <n v="221.27235000000002"/>
    <n v="7"/>
    <x v="6"/>
  </r>
  <r>
    <x v="48"/>
    <m/>
    <m/>
    <m/>
    <m/>
    <m/>
    <m/>
    <m/>
    <m/>
    <m/>
    <m/>
    <m/>
    <n v="0"/>
    <n v="0"/>
    <n v="0"/>
    <n v="0"/>
    <n v="0"/>
    <n v="0"/>
    <n v="7"/>
    <x v="6"/>
  </r>
  <r>
    <x v="49"/>
    <n v="4633"/>
    <n v="4498"/>
    <n v="42.17"/>
    <n v="35.659999999999997"/>
    <m/>
    <m/>
    <m/>
    <n v="4498"/>
    <m/>
    <m/>
    <m/>
    <n v="189.68066000000002"/>
    <n v="160.39867999999998"/>
    <n v="0"/>
    <n v="0"/>
    <n v="0"/>
    <n v="0"/>
    <n v="7"/>
    <x v="7"/>
  </r>
  <r>
    <x v="50"/>
    <n v="5549"/>
    <n v="5387"/>
    <n v="42.66"/>
    <n v="36.42"/>
    <n v="5033"/>
    <n v="40.53"/>
    <n v="34.78"/>
    <n v="4885"/>
    <n v="578.01"/>
    <n v="51.02"/>
    <n v="25.76"/>
    <n v="229.80941999999999"/>
    <n v="196.19454000000002"/>
    <n v="203.98749000000001"/>
    <n v="175.04774000000003"/>
    <n v="294.90070200000002"/>
    <n v="148.89537600000003"/>
    <n v="8"/>
    <x v="7"/>
  </r>
  <r>
    <x v="51"/>
    <n v="4712"/>
    <n v="4575"/>
    <n v="44.79"/>
    <n v="36.340000000000003"/>
    <n v="5028"/>
    <n v="41.4"/>
    <n v="34.5"/>
    <n v="4460"/>
    <n v="593.45000000000005"/>
    <n v="53.14"/>
    <n v="27.11"/>
    <n v="204.91425000000001"/>
    <n v="166.25550000000004"/>
    <n v="208.15919999999997"/>
    <n v="173.46600000000001"/>
    <n v="315.35933000000006"/>
    <n v="160.88429500000001"/>
    <n v="8"/>
    <x v="7"/>
  </r>
  <r>
    <x v="52"/>
    <n v="4951"/>
    <n v="4807"/>
    <n v="43.11"/>
    <n v="34.97"/>
    <n v="5020"/>
    <n v="41.68"/>
    <n v="33.9"/>
    <n v="4267"/>
    <n v="602.51"/>
    <n v="52.47"/>
    <n v="27.67"/>
    <n v="207.22977"/>
    <n v="168.10079000000002"/>
    <n v="209.2336"/>
    <n v="170.178"/>
    <n v="316.13699699999995"/>
    <n v="166.714517"/>
    <n v="8"/>
    <x v="7"/>
  </r>
  <r>
    <x v="53"/>
    <n v="5364"/>
    <n v="5208"/>
    <n v="41.05"/>
    <n v="33.06"/>
    <n v="5026"/>
    <n v="39.9"/>
    <n v="32.799999999999997"/>
    <n v="4475"/>
    <n v="574.54"/>
    <n v="49.94"/>
    <n v="27.19"/>
    <n v="213.7884"/>
    <n v="172.17648"/>
    <n v="200.53739999999999"/>
    <n v="164.8528"/>
    <n v="286.925276"/>
    <n v="156.21742599999999"/>
    <n v="8"/>
    <x v="7"/>
  </r>
  <r>
    <x v="54"/>
    <m/>
    <m/>
    <m/>
    <m/>
    <n v="4500"/>
    <n v="40.020000000000003"/>
    <n v="32.71"/>
    <m/>
    <n v="547.02"/>
    <n v="52.7"/>
    <n v="26.3"/>
    <n v="0"/>
    <n v="0"/>
    <n v="180.09"/>
    <n v="147.19499999999999"/>
    <n v="288.27954"/>
    <n v="143.86626000000001"/>
    <n v="8"/>
    <x v="7"/>
  </r>
  <r>
    <x v="55"/>
    <m/>
    <m/>
    <m/>
    <m/>
    <m/>
    <m/>
    <m/>
    <m/>
    <m/>
    <m/>
    <m/>
    <n v="0"/>
    <n v="0"/>
    <n v="0"/>
    <n v="0"/>
    <n v="0"/>
    <n v="0"/>
    <n v="8"/>
    <x v="7"/>
  </r>
  <r>
    <x v="56"/>
    <n v="4477"/>
    <n v="4347"/>
    <n v="40.53"/>
    <n v="36.229999999999997"/>
    <m/>
    <m/>
    <m/>
    <n v="4347"/>
    <m/>
    <m/>
    <m/>
    <n v="176.18391"/>
    <n v="157.49180999999999"/>
    <n v="0"/>
    <n v="0"/>
    <n v="0"/>
    <n v="0"/>
    <n v="8"/>
    <x v="8"/>
  </r>
  <r>
    <x v="57"/>
    <n v="4445"/>
    <n v="4316"/>
    <n v="40.71"/>
    <n v="35.119999999999997"/>
    <n v="5031"/>
    <n v="38.89"/>
    <n v="33.979999999999997"/>
    <n v="3663"/>
    <n v="567.51"/>
    <n v="51.98"/>
    <n v="27.32"/>
    <n v="175.70436000000001"/>
    <n v="151.57791999999998"/>
    <n v="195.65558999999999"/>
    <n v="170.95337999999998"/>
    <n v="294.99169799999999"/>
    <n v="155.04373200000001"/>
    <n v="9"/>
    <x v="8"/>
  </r>
  <r>
    <x v="58"/>
    <n v="4821"/>
    <n v="4681"/>
    <n v="42.34"/>
    <n v="35.72"/>
    <n v="5029"/>
    <n v="39.53"/>
    <n v="33.81"/>
    <n v="3344"/>
    <n v="582.94000000000005"/>
    <n v="53.13"/>
    <n v="26.4"/>
    <n v="198.19354000000001"/>
    <n v="167.20532"/>
    <n v="198.79637"/>
    <n v="170.03049000000001"/>
    <n v="309.71602200000007"/>
    <n v="153.89616000000001"/>
    <n v="9"/>
    <x v="8"/>
  </r>
  <r>
    <x v="59"/>
    <n v="5007"/>
    <n v="4861"/>
    <n v="43.4"/>
    <n v="35.58"/>
    <n v="5024"/>
    <n v="40.770000000000003"/>
    <n v="33.92"/>
    <n v="3205"/>
    <n v="566.9"/>
    <n v="50.83"/>
    <n v="27.24"/>
    <n v="210.9674"/>
    <n v="172.95438000000001"/>
    <n v="204.82848000000001"/>
    <n v="170.41408000000001"/>
    <n v="288.15526999999997"/>
    <n v="154.42355999999998"/>
    <n v="9"/>
    <x v="8"/>
  </r>
  <r>
    <x v="60"/>
    <n v="5071"/>
    <n v="4923"/>
    <n v="41.91"/>
    <n v="34.49"/>
    <n v="5026"/>
    <n v="40.08"/>
    <n v="33.46"/>
    <n v="3128"/>
    <n v="630.99"/>
    <n v="53.06"/>
    <n v="26.9"/>
    <n v="206.32292999999999"/>
    <n v="169.79427000000001"/>
    <n v="201.44207999999998"/>
    <n v="168.16996"/>
    <n v="334.80329400000005"/>
    <n v="169.73630999999997"/>
    <n v="9"/>
    <x v="8"/>
  </r>
  <r>
    <x v="61"/>
    <m/>
    <m/>
    <m/>
    <m/>
    <n v="3149"/>
    <n v="40.200000000000003"/>
    <n v="33.61"/>
    <m/>
    <n v="391.67"/>
    <n v="53.41"/>
    <n v="27.62"/>
    <n v="0"/>
    <n v="0"/>
    <n v="126.5898"/>
    <n v="105.83789"/>
    <n v="209.19094699999997"/>
    <n v="108.179254"/>
    <n v="9"/>
    <x v="8"/>
  </r>
  <r>
    <x v="62"/>
    <m/>
    <m/>
    <m/>
    <m/>
    <m/>
    <m/>
    <m/>
    <m/>
    <m/>
    <m/>
    <m/>
    <n v="0"/>
    <n v="0"/>
    <n v="0"/>
    <n v="0"/>
    <n v="0"/>
    <n v="0"/>
    <n v="9"/>
    <x v="8"/>
  </r>
  <r>
    <x v="63"/>
    <n v="5191"/>
    <n v="5040"/>
    <n v="43.3"/>
    <n v="34.28"/>
    <m/>
    <m/>
    <m/>
    <n v="5040"/>
    <m/>
    <m/>
    <m/>
    <n v="218.232"/>
    <n v="172.77120000000002"/>
    <n v="0"/>
    <n v="0"/>
    <n v="0"/>
    <n v="0"/>
    <n v="9"/>
    <x v="9"/>
  </r>
  <r>
    <x v="64"/>
    <n v="5014"/>
    <n v="4868"/>
    <n v="42.55"/>
    <n v="35.65"/>
    <n v="5028"/>
    <n v="41.04"/>
    <n v="33.51"/>
    <n v="4908"/>
    <n v="591.79"/>
    <n v="51.32"/>
    <n v="25.32"/>
    <n v="207.13339999999999"/>
    <n v="173.54419999999999"/>
    <n v="206.34912"/>
    <n v="168.48828"/>
    <n v="303.70662799999997"/>
    <n v="149.841228"/>
    <n v="10"/>
    <x v="9"/>
  </r>
  <r>
    <x v="65"/>
    <n v="4888"/>
    <n v="4746"/>
    <n v="40.409999999999997"/>
    <n v="35.69"/>
    <n v="5023"/>
    <n v="40.19"/>
    <n v="33.72"/>
    <n v="4654"/>
    <n v="581.70000000000005"/>
    <n v="54.21"/>
    <n v="27.77"/>
    <n v="191.78585999999999"/>
    <n v="169.38473999999999"/>
    <n v="201.87437"/>
    <n v="169.37556000000001"/>
    <n v="315.33957000000004"/>
    <n v="161.53809000000001"/>
    <n v="10"/>
    <x v="9"/>
  </r>
  <r>
    <x v="66"/>
    <n v="4773"/>
    <n v="4634"/>
    <n v="43.19"/>
    <n v="36.26"/>
    <n v="5026"/>
    <n v="40.56"/>
    <n v="33.85"/>
    <n v="4288"/>
    <n v="591.15"/>
    <n v="53.39"/>
    <n v="25.78"/>
    <n v="200.14246"/>
    <n v="168.02884"/>
    <n v="203.85455999999999"/>
    <n v="170.1301"/>
    <n v="315.61498499999999"/>
    <n v="152.39847"/>
    <n v="10"/>
    <x v="9"/>
  </r>
  <r>
    <x v="67"/>
    <n v="5046"/>
    <n v="4899"/>
    <n v="44.45"/>
    <n v="34.86"/>
    <n v="5021"/>
    <n v="41.53"/>
    <n v="33.92"/>
    <n v="4187"/>
    <n v="577.32000000000005"/>
    <n v="50.8"/>
    <n v="27.52"/>
    <n v="217.76055000000002"/>
    <n v="170.77913999999998"/>
    <n v="208.52213"/>
    <n v="170.31232"/>
    <n v="293.27855999999997"/>
    <n v="158.87846400000001"/>
    <n v="10"/>
    <x v="9"/>
  </r>
  <r>
    <x v="68"/>
    <m/>
    <m/>
    <m/>
    <m/>
    <n v="4208"/>
    <n v="41.5"/>
    <n v="33.68"/>
    <m/>
    <n v="498.17"/>
    <n v="52.8"/>
    <n v="27.64"/>
    <n v="0"/>
    <n v="0"/>
    <n v="174.63200000000001"/>
    <n v="141.72543999999999"/>
    <n v="263.03376000000003"/>
    <n v="137.69418800000003"/>
    <n v="10"/>
    <x v="9"/>
  </r>
  <r>
    <x v="69"/>
    <m/>
    <m/>
    <m/>
    <m/>
    <m/>
    <m/>
    <m/>
    <m/>
    <m/>
    <m/>
    <m/>
    <n v="0"/>
    <n v="0"/>
    <n v="0"/>
    <n v="0"/>
    <n v="0"/>
    <n v="0"/>
    <n v="10"/>
    <x v="9"/>
  </r>
  <r>
    <x v="70"/>
    <n v="5175"/>
    <n v="5024"/>
    <n v="41.81"/>
    <n v="34.19"/>
    <m/>
    <m/>
    <m/>
    <n v="5024"/>
    <m/>
    <m/>
    <m/>
    <n v="210.05343999999999"/>
    <n v="171.77055999999999"/>
    <n v="0"/>
    <n v="0"/>
    <n v="0"/>
    <n v="0"/>
    <n v="10"/>
    <x v="10"/>
  </r>
  <r>
    <x v="71"/>
    <n v="4975"/>
    <n v="4830"/>
    <n v="42.99"/>
    <n v="34.340000000000003"/>
    <n v="5034"/>
    <n v="40.17"/>
    <n v="32.5"/>
    <n v="4854"/>
    <n v="605.83000000000004"/>
    <n v="52.63"/>
    <n v="27.97"/>
    <n v="207.64170000000001"/>
    <n v="165.8622"/>
    <n v="202.21578"/>
    <n v="163.60499999999999"/>
    <n v="318.84832900000004"/>
    <n v="169.45065099999999"/>
    <n v="11"/>
    <x v="10"/>
  </r>
  <r>
    <x v="72"/>
    <n v="4754"/>
    <n v="4616"/>
    <n v="41.88"/>
    <n v="35.869999999999997"/>
    <n v="5021"/>
    <n v="40.26"/>
    <n v="33.61"/>
    <n v="4470"/>
    <n v="592.57000000000005"/>
    <n v="52.37"/>
    <n v="26.32"/>
    <n v="193.31808000000001"/>
    <n v="165.57592"/>
    <n v="202.14545999999999"/>
    <n v="168.75581"/>
    <n v="310.32890900000001"/>
    <n v="155.96442400000001"/>
    <n v="11"/>
    <x v="10"/>
  </r>
  <r>
    <x v="73"/>
    <n v="4965"/>
    <n v="4820"/>
    <n v="45.21"/>
    <n v="35.89"/>
    <n v="5024"/>
    <n v="41.86"/>
    <n v="33.86"/>
    <n v="4290"/>
    <n v="593.64"/>
    <n v="53.28"/>
    <n v="26.98"/>
    <n v="217.91220000000001"/>
    <n v="172.9898"/>
    <n v="210.30463999999998"/>
    <n v="170.11264"/>
    <n v="316.29139200000003"/>
    <n v="160.164072"/>
    <n v="11"/>
    <x v="10"/>
  </r>
  <r>
    <x v="74"/>
    <n v="5194"/>
    <n v="5043"/>
    <n v="40.51"/>
    <n v="34.57"/>
    <n v="5025"/>
    <n v="40.18"/>
    <n v="33.229999999999997"/>
    <n v="4333"/>
    <n v="578.79999999999995"/>
    <n v="51.87"/>
    <n v="27.76"/>
    <n v="204.29192999999998"/>
    <n v="174.33651"/>
    <n v="201.90450000000001"/>
    <n v="166.98074999999997"/>
    <n v="300.22355999999996"/>
    <n v="160.67488"/>
    <n v="11"/>
    <x v="10"/>
  </r>
  <r>
    <x v="75"/>
    <m/>
    <m/>
    <m/>
    <m/>
    <n v="4360"/>
    <n v="40.35"/>
    <n v="33.5"/>
    <m/>
    <n v="505.67"/>
    <n v="53.49"/>
    <n v="28.32"/>
    <n v="0"/>
    <n v="0"/>
    <n v="175.92599999999999"/>
    <n v="146.06"/>
    <n v="270.48288300000002"/>
    <n v="143.20574400000001"/>
    <n v="11"/>
    <x v="10"/>
  </r>
  <r>
    <x v="76"/>
    <m/>
    <m/>
    <m/>
    <m/>
    <m/>
    <m/>
    <m/>
    <m/>
    <m/>
    <m/>
    <m/>
    <n v="0"/>
    <n v="0"/>
    <n v="0"/>
    <n v="0"/>
    <n v="0"/>
    <n v="0"/>
    <n v="11"/>
    <x v="10"/>
  </r>
  <r>
    <x v="77"/>
    <n v="5370"/>
    <n v="5214"/>
    <n v="42.77"/>
    <n v="36.799999999999997"/>
    <m/>
    <m/>
    <m/>
    <n v="5214"/>
    <m/>
    <m/>
    <m/>
    <n v="223.00278000000003"/>
    <n v="191.87519999999998"/>
    <n v="0"/>
    <n v="0"/>
    <n v="0"/>
    <n v="0"/>
    <n v="11"/>
    <x v="11"/>
  </r>
  <r>
    <x v="78"/>
    <n v="4719"/>
    <n v="4582"/>
    <n v="40.549999999999997"/>
    <n v="34.159999999999997"/>
    <n v="5028"/>
    <n v="39.85"/>
    <n v="33.770000000000003"/>
    <n v="4796"/>
    <n v="594.11"/>
    <n v="50.74"/>
    <n v="27.56"/>
    <n v="185.80009999999999"/>
    <n v="156.52112"/>
    <n v="200.36580000000001"/>
    <n v="169.79556000000002"/>
    <n v="301.451414"/>
    <n v="163.736716"/>
    <n v="12"/>
    <x v="11"/>
  </r>
  <r>
    <x v="79"/>
    <n v="4766"/>
    <n v="4627"/>
    <n v="42.55"/>
    <n v="36.44"/>
    <n v="5030"/>
    <n v="40.32"/>
    <n v="34.090000000000003"/>
    <n v="4423"/>
    <n v="589.25"/>
    <n v="50.38"/>
    <n v="27.71"/>
    <n v="196.87884999999997"/>
    <n v="168.60787999999997"/>
    <n v="202.80960000000002"/>
    <n v="171.4727"/>
    <n v="296.86415"/>
    <n v="163.28117499999999"/>
    <n v="12"/>
    <x v="11"/>
  </r>
  <r>
    <x v="80"/>
    <n v="4977"/>
    <n v="4832"/>
    <n v="42.39"/>
    <n v="35.619999999999997"/>
    <n v="5034"/>
    <n v="40.299999999999997"/>
    <n v="34.229999999999997"/>
    <n v="4255"/>
    <n v="601.12"/>
    <n v="51.31"/>
    <n v="29.21"/>
    <n v="204.82848000000001"/>
    <n v="172.11583999999999"/>
    <n v="202.87019999999998"/>
    <n v="172.31381999999996"/>
    <n v="308.43467200000003"/>
    <n v="175.58715200000003"/>
    <n v="12"/>
    <x v="11"/>
  </r>
  <r>
    <x v="81"/>
    <n v="5331"/>
    <n v="5176"/>
    <n v="45.36"/>
    <n v="36.03"/>
    <n v="5030"/>
    <n v="41.96"/>
    <n v="34.69"/>
    <n v="4431"/>
    <n v="593.53"/>
    <n v="50.27"/>
    <n v="26.6"/>
    <n v="234.78335999999999"/>
    <n v="186.49127999999999"/>
    <n v="211.05880000000002"/>
    <n v="174.49069999999998"/>
    <n v="298.36753100000004"/>
    <n v="157.87897999999998"/>
    <n v="12"/>
    <x v="11"/>
  </r>
  <r>
    <x v="82"/>
    <m/>
    <m/>
    <m/>
    <m/>
    <n v="4452"/>
    <n v="42.08"/>
    <n v="34.53"/>
    <m/>
    <n v="532.72"/>
    <n v="50.85"/>
    <n v="27.42"/>
    <n v="0"/>
    <n v="0"/>
    <n v="187.34016"/>
    <n v="153.72756000000001"/>
    <n v="270.88812000000001"/>
    <n v="146.07182400000002"/>
    <n v="12"/>
    <x v="11"/>
  </r>
  <r>
    <x v="83"/>
    <m/>
    <m/>
    <m/>
    <m/>
    <m/>
    <m/>
    <m/>
    <m/>
    <m/>
    <m/>
    <m/>
    <n v="0"/>
    <n v="0"/>
    <n v="0"/>
    <n v="0"/>
    <n v="0"/>
    <n v="0"/>
    <n v="12"/>
    <x v="11"/>
  </r>
  <r>
    <x v="84"/>
    <n v="5396"/>
    <n v="5239"/>
    <n v="42.6"/>
    <n v="36.35"/>
    <m/>
    <m/>
    <m/>
    <n v="5239"/>
    <m/>
    <m/>
    <m/>
    <n v="223.1814"/>
    <n v="190.43764999999999"/>
    <n v="0"/>
    <n v="0"/>
    <n v="0"/>
    <n v="0"/>
    <n v="12"/>
    <x v="12"/>
  </r>
  <r>
    <x v="85"/>
    <n v="5149"/>
    <n v="4999"/>
    <n v="43.03"/>
    <n v="35.44"/>
    <n v="5020"/>
    <n v="40.97"/>
    <n v="34.29"/>
    <n v="5238"/>
    <n v="577.79"/>
    <n v="50.34"/>
    <n v="25.81"/>
    <n v="215.10696999999999"/>
    <n v="177.16455999999999"/>
    <n v="205.6694"/>
    <n v="172.13579999999999"/>
    <n v="290.859486"/>
    <n v="149.127599"/>
    <n v="13"/>
    <x v="12"/>
  </r>
  <r>
    <x v="86"/>
    <n v="5487"/>
    <n v="5327"/>
    <n v="43.19"/>
    <n v="35.03"/>
    <n v="5026"/>
    <n v="41.03"/>
    <n v="34.01"/>
    <n v="5565"/>
    <n v="589.29"/>
    <n v="53.84"/>
    <n v="27.67"/>
    <n v="230.07312999999996"/>
    <n v="186.60480999999999"/>
    <n v="206.21678"/>
    <n v="170.93425999999997"/>
    <n v="317.27373599999999"/>
    <n v="163.056543"/>
    <n v="13"/>
    <x v="12"/>
  </r>
  <r>
    <x v="87"/>
    <n v="5334"/>
    <n v="5179"/>
    <n v="41.03"/>
    <n v="35.75"/>
    <n v="5030"/>
    <n v="39.92"/>
    <n v="33.869999999999997"/>
    <n v="5744"/>
    <n v="582.54999999999995"/>
    <n v="53.33"/>
    <n v="25.89"/>
    <n v="212.49437"/>
    <n v="185.14924999999999"/>
    <n v="200.79760000000002"/>
    <n v="170.36609999999999"/>
    <n v="310.67391499999997"/>
    <n v="150.82219499999999"/>
    <n v="13"/>
    <x v="12"/>
  </r>
  <r>
    <x v="88"/>
    <n v="5181"/>
    <n v="5030"/>
    <n v="45.59"/>
    <n v="36.75"/>
    <n v="5030"/>
    <n v="41.79"/>
    <n v="34.520000000000003"/>
    <n v="5774"/>
    <n v="576.86"/>
    <n v="50.85"/>
    <n v="26.2"/>
    <n v="229.3177"/>
    <n v="184.85249999999999"/>
    <n v="210.20369999999997"/>
    <n v="173.63560000000001"/>
    <n v="293.33331000000004"/>
    <n v="151.13731999999999"/>
    <n v="13"/>
    <x v="12"/>
  </r>
  <r>
    <x v="89"/>
    <m/>
    <m/>
    <m/>
    <m/>
    <n v="5799"/>
    <n v="41.8"/>
    <n v="34.549999999999997"/>
    <m/>
    <n v="683.58"/>
    <n v="49.24"/>
    <n v="26.64"/>
    <n v="0"/>
    <n v="0"/>
    <n v="242.39819999999997"/>
    <n v="200.35544999999999"/>
    <n v="336.59479200000004"/>
    <n v="182.10571200000001"/>
    <n v="13"/>
    <x v="12"/>
  </r>
  <r>
    <x v="90"/>
    <m/>
    <m/>
    <m/>
    <m/>
    <m/>
    <m/>
    <m/>
    <m/>
    <m/>
    <m/>
    <m/>
    <n v="0"/>
    <n v="0"/>
    <n v="0"/>
    <n v="0"/>
    <n v="0"/>
    <n v="0"/>
    <n v="13"/>
    <x v="12"/>
  </r>
  <r>
    <x v="91"/>
    <n v="5377"/>
    <n v="5220"/>
    <n v="43.3"/>
    <n v="36.380000000000003"/>
    <m/>
    <m/>
    <m/>
    <n v="5220"/>
    <m/>
    <m/>
    <m/>
    <n v="226.02599999999998"/>
    <n v="189.90360000000001"/>
    <n v="0"/>
    <n v="0"/>
    <n v="0"/>
    <n v="0"/>
    <n v="13"/>
    <x v="13"/>
  </r>
  <r>
    <x v="92"/>
    <n v="5163"/>
    <n v="5013"/>
    <n v="42.2"/>
    <n v="35.04"/>
    <n v="5021"/>
    <n v="40.76"/>
    <n v="33.93"/>
    <n v="5233"/>
    <n v="566.61"/>
    <n v="50.82"/>
    <n v="26.33"/>
    <n v="211.54859999999999"/>
    <n v="175.65552"/>
    <n v="204.65595999999999"/>
    <n v="170.36252999999999"/>
    <n v="287.95120200000002"/>
    <n v="149.188413"/>
    <n v="14"/>
    <x v="13"/>
  </r>
  <r>
    <x v="93"/>
    <n v="5425"/>
    <n v="5267"/>
    <n v="43.84"/>
    <n v="35.08"/>
    <n v="5026"/>
    <n v="41.26"/>
    <n v="33.79"/>
    <n v="5500"/>
    <n v="600.17999999999995"/>
    <n v="52.19"/>
    <n v="27.12"/>
    <n v="230.90528000000003"/>
    <n v="184.76635999999999"/>
    <n v="207.37275999999997"/>
    <n v="169.82854"/>
    <n v="313.23394199999996"/>
    <n v="162.76881599999999"/>
    <n v="14"/>
    <x v="13"/>
  </r>
  <r>
    <x v="94"/>
    <n v="4690"/>
    <n v="4553"/>
    <n v="42.79"/>
    <n v="36.18"/>
    <n v="5025"/>
    <n v="41.03"/>
    <n v="34"/>
    <n v="5053"/>
    <n v="599.24"/>
    <n v="54.44"/>
    <n v="26.04"/>
    <n v="194.82286999999999"/>
    <n v="164.72754"/>
    <n v="206.17574999999999"/>
    <n v="170.85"/>
    <n v="326.22625599999998"/>
    <n v="156.04209600000002"/>
    <n v="14"/>
    <x v="13"/>
  </r>
  <r>
    <x v="95"/>
    <n v="4997"/>
    <n v="4851"/>
    <n v="43"/>
    <n v="35.19"/>
    <n v="5022"/>
    <n v="41.48"/>
    <n v="33.61"/>
    <n v="4904"/>
    <n v="585.78"/>
    <n v="50.62"/>
    <n v="25.81"/>
    <n v="208.59299999999999"/>
    <n v="170.70669000000001"/>
    <n v="208.31255999999999"/>
    <n v="168.78941999999998"/>
    <n v="296.52183599999995"/>
    <n v="151.18981799999997"/>
    <n v="14"/>
    <x v="13"/>
  </r>
  <r>
    <x v="96"/>
    <m/>
    <m/>
    <m/>
    <m/>
    <n v="4922"/>
    <n v="40.94"/>
    <n v="34.07"/>
    <m/>
    <n v="564.22"/>
    <n v="51.64"/>
    <n v="26.63"/>
    <n v="0"/>
    <n v="0"/>
    <n v="201.50667999999999"/>
    <n v="167.69254000000001"/>
    <n v="291.36320799999999"/>
    <n v="150.25178599999998"/>
    <n v="14"/>
    <x v="13"/>
  </r>
  <r>
    <x v="97"/>
    <m/>
    <m/>
    <m/>
    <m/>
    <m/>
    <m/>
    <m/>
    <m/>
    <m/>
    <m/>
    <m/>
    <n v="0"/>
    <n v="0"/>
    <n v="0"/>
    <n v="0"/>
    <n v="0"/>
    <n v="0"/>
    <n v="14"/>
    <x v="13"/>
  </r>
  <r>
    <x v="98"/>
    <n v="4879"/>
    <n v="4737"/>
    <n v="42.96"/>
    <n v="36.58"/>
    <m/>
    <m/>
    <m/>
    <n v="4737"/>
    <m/>
    <m/>
    <m/>
    <n v="203.50152"/>
    <n v="173.27946"/>
    <n v="0"/>
    <n v="0"/>
    <n v="0"/>
    <n v="0"/>
    <n v="14"/>
    <x v="14"/>
  </r>
  <r>
    <x v="99"/>
    <n v="4920"/>
    <n v="4777"/>
    <n v="41.41"/>
    <n v="34.01"/>
    <n v="5028"/>
    <n v="40.31"/>
    <n v="33.729999999999997"/>
    <n v="4514"/>
    <n v="584.66999999999996"/>
    <n v="52.64"/>
    <n v="27.64"/>
    <n v="197.81556999999998"/>
    <n v="162.46576999999999"/>
    <n v="202.67868000000001"/>
    <n v="169.59443999999996"/>
    <n v="307.77028799999994"/>
    <n v="161.602788"/>
    <n v="15"/>
    <x v="14"/>
  </r>
  <r>
    <x v="100"/>
    <n v="5036"/>
    <n v="4889"/>
    <n v="42.02"/>
    <n v="35.590000000000003"/>
    <n v="5026"/>
    <n v="40.119999999999997"/>
    <n v="33.93"/>
    <n v="4403"/>
    <n v="579.5"/>
    <n v="53.15"/>
    <n v="27.07"/>
    <n v="205.43578000000002"/>
    <n v="173.99951000000001"/>
    <n v="201.64311999999998"/>
    <n v="170.53217999999998"/>
    <n v="308.00425000000001"/>
    <n v="156.87065000000001"/>
    <n v="15"/>
    <x v="14"/>
  </r>
  <r>
    <x v="101"/>
    <n v="4853"/>
    <n v="4712"/>
    <n v="42.35"/>
    <n v="36.72"/>
    <n v="5021"/>
    <n v="40.49"/>
    <n v="34.22"/>
    <n v="4115"/>
    <n v="611.9"/>
    <n v="53.58"/>
    <n v="27.69"/>
    <n v="199.5532"/>
    <n v="173.02463999999998"/>
    <n v="203.30029000000002"/>
    <n v="171.81861999999998"/>
    <n v="327.85602"/>
    <n v="169.43510999999998"/>
    <n v="15"/>
    <x v="14"/>
  </r>
  <r>
    <x v="102"/>
    <n v="4726"/>
    <n v="4588"/>
    <n v="43.4"/>
    <n v="34.75"/>
    <n v="5031"/>
    <n v="40.630000000000003"/>
    <n v="34"/>
    <n v="3703"/>
    <n v="585.84"/>
    <n v="49.96"/>
    <n v="28.39"/>
    <n v="199.11919999999998"/>
    <n v="159.43299999999999"/>
    <n v="204.40952999999999"/>
    <n v="171.054"/>
    <n v="292.68566400000003"/>
    <n v="166.31997600000003"/>
    <n v="15"/>
    <x v="14"/>
  </r>
  <r>
    <x v="103"/>
    <m/>
    <m/>
    <m/>
    <m/>
    <n v="3717"/>
    <n v="40.700000000000003"/>
    <n v="33.64"/>
    <m/>
    <n v="442.12"/>
    <n v="52.97"/>
    <n v="26.94"/>
    <n v="0"/>
    <n v="0"/>
    <n v="151.28190000000004"/>
    <n v="125.03988000000001"/>
    <n v="234.19096399999998"/>
    <n v="119.10712800000002"/>
    <n v="15"/>
    <x v="14"/>
  </r>
  <r>
    <x v="104"/>
    <m/>
    <m/>
    <m/>
    <m/>
    <m/>
    <m/>
    <m/>
    <m/>
    <m/>
    <m/>
    <m/>
    <n v="0"/>
    <n v="0"/>
    <n v="0"/>
    <n v="0"/>
    <n v="0"/>
    <n v="0"/>
    <n v="15"/>
    <x v="14"/>
  </r>
  <r>
    <x v="105"/>
    <n v="5111"/>
    <n v="4962"/>
    <n v="41.18"/>
    <n v="35.17"/>
    <m/>
    <m/>
    <m/>
    <n v="4962"/>
    <m/>
    <m/>
    <m/>
    <n v="204.33516"/>
    <n v="174.51354000000001"/>
    <n v="0"/>
    <n v="0"/>
    <n v="0"/>
    <n v="0"/>
    <n v="15"/>
    <x v="15"/>
  </r>
  <r>
    <x v="106"/>
    <n v="5547"/>
    <n v="5385"/>
    <n v="41.5"/>
    <n v="36.18"/>
    <n v="5035"/>
    <n v="39.51"/>
    <n v="34.32"/>
    <n v="5347"/>
    <n v="593.98"/>
    <n v="51.01"/>
    <n v="25.94"/>
    <n v="223.47749999999999"/>
    <n v="194.82929999999999"/>
    <n v="198.93284999999997"/>
    <n v="172.80120000000002"/>
    <n v="302.98919799999999"/>
    <n v="154.07841200000001"/>
    <n v="16"/>
    <x v="15"/>
  </r>
  <r>
    <x v="107"/>
    <n v="5070"/>
    <n v="4922"/>
    <n v="44.03"/>
    <n v="36.65"/>
    <n v="5021"/>
    <n v="41.01"/>
    <n v="34.909999999999997"/>
    <n v="5269"/>
    <n v="591.94000000000005"/>
    <n v="53.98"/>
    <n v="26.04"/>
    <n v="216.71566000000001"/>
    <n v="180.3913"/>
    <n v="205.91120999999998"/>
    <n v="175.28310999999999"/>
    <n v="319.52921200000003"/>
    <n v="154.141176"/>
    <n v="16"/>
    <x v="15"/>
  </r>
  <r>
    <x v="108"/>
    <n v="4961"/>
    <n v="4817"/>
    <n v="43.29"/>
    <n v="35.35"/>
    <n v="5027"/>
    <n v="40.880000000000003"/>
    <n v="34.159999999999997"/>
    <n v="5086"/>
    <n v="577.84"/>
    <n v="52.21"/>
    <n v="26.16"/>
    <n v="208.52793"/>
    <n v="170.28095000000002"/>
    <n v="205.50376"/>
    <n v="171.72231999999997"/>
    <n v="301.69026400000001"/>
    <n v="151.16294400000001"/>
    <n v="16"/>
    <x v="15"/>
  </r>
  <r>
    <x v="109"/>
    <n v="4970"/>
    <n v="4825"/>
    <n v="44.92"/>
    <n v="35.81"/>
    <n v="5029"/>
    <n v="41.66"/>
    <n v="34"/>
    <n v="4911"/>
    <n v="580.86"/>
    <n v="53.9"/>
    <n v="27.47"/>
    <n v="216.739"/>
    <n v="172.78325000000001"/>
    <n v="209.50814"/>
    <n v="170.98599999999999"/>
    <n v="313.08353999999997"/>
    <n v="159.562242"/>
    <n v="16"/>
    <x v="15"/>
  </r>
  <r>
    <x v="110"/>
    <m/>
    <m/>
    <m/>
    <m/>
    <n v="4931"/>
    <n v="41.91"/>
    <n v="34.44"/>
    <m/>
    <n v="563.01"/>
    <n v="52.02"/>
    <n v="26.06"/>
    <n v="0"/>
    <n v="0"/>
    <n v="206.65821"/>
    <n v="169.82363999999998"/>
    <n v="292.87780200000003"/>
    <n v="146.720406"/>
    <n v="16"/>
    <x v="15"/>
  </r>
  <r>
    <x v="111"/>
    <m/>
    <m/>
    <m/>
    <m/>
    <m/>
    <m/>
    <m/>
    <m/>
    <m/>
    <m/>
    <m/>
    <n v="0"/>
    <n v="0"/>
    <n v="0"/>
    <n v="0"/>
    <n v="0"/>
    <n v="0"/>
    <n v="16"/>
    <x v="15"/>
  </r>
  <r>
    <x v="112"/>
    <n v="5001"/>
    <n v="4855"/>
    <n v="43.13"/>
    <n v="34.729999999999997"/>
    <m/>
    <m/>
    <m/>
    <n v="4855"/>
    <m/>
    <m/>
    <m/>
    <n v="209.39615000000003"/>
    <n v="168.61415"/>
    <n v="0"/>
    <n v="0"/>
    <n v="0"/>
    <n v="0"/>
    <n v="16"/>
    <x v="16"/>
  </r>
  <r>
    <x v="113"/>
    <n v="5341"/>
    <n v="5185"/>
    <n v="42.69"/>
    <n v="36.21"/>
    <n v="5018"/>
    <n v="41.02"/>
    <n v="33.65"/>
    <n v="5040"/>
    <n v="575.83000000000004"/>
    <n v="52.16"/>
    <n v="26.09"/>
    <n v="221.34764999999999"/>
    <n v="187.74885"/>
    <n v="205.83836000000002"/>
    <n v="168.85569999999998"/>
    <n v="300.35292800000002"/>
    <n v="150.234047"/>
    <n v="17"/>
    <x v="16"/>
  </r>
  <r>
    <x v="114"/>
    <n v="5218"/>
    <n v="5066"/>
    <n v="42.56"/>
    <n v="37.93"/>
    <n v="5021"/>
    <n v="40.72"/>
    <n v="35.39"/>
    <n v="5106"/>
    <n v="603.15"/>
    <n v="52.07"/>
    <n v="26.43"/>
    <n v="215.60896000000002"/>
    <n v="192.15338"/>
    <n v="204.45511999999999"/>
    <n v="177.69319000000002"/>
    <n v="314.060205"/>
    <n v="159.41254499999999"/>
    <n v="17"/>
    <x v="16"/>
  </r>
  <r>
    <x v="115"/>
    <n v="4737"/>
    <n v="4599"/>
    <n v="40.51"/>
    <n v="37.270000000000003"/>
    <n v="5030"/>
    <n v="39.880000000000003"/>
    <n v="35.17"/>
    <n v="4705"/>
    <n v="590.59"/>
    <n v="51.22"/>
    <n v="26.08"/>
    <n v="186.30548999999999"/>
    <n v="171.40473"/>
    <n v="200.59640000000002"/>
    <n v="176.9051"/>
    <n v="302.50019800000001"/>
    <n v="154.02587199999999"/>
    <n v="17"/>
    <x v="16"/>
  </r>
  <r>
    <x v="116"/>
    <n v="5207"/>
    <n v="5055"/>
    <n v="41.56"/>
    <n v="36.5"/>
    <n v="5030"/>
    <n v="39.840000000000003"/>
    <n v="35.57"/>
    <n v="4760"/>
    <n v="623.79999999999995"/>
    <n v="52.64"/>
    <n v="26.86"/>
    <n v="210.08580000000001"/>
    <n v="184.50749999999999"/>
    <n v="200.39520000000002"/>
    <n v="178.9171"/>
    <n v="328.36831999999993"/>
    <n v="167.55268000000001"/>
    <n v="17"/>
    <x v="16"/>
  </r>
  <r>
    <x v="117"/>
    <m/>
    <m/>
    <m/>
    <m/>
    <n v="4781"/>
    <n v="39.56"/>
    <n v="34.51"/>
    <m/>
    <n v="559.79999999999995"/>
    <n v="51.54"/>
    <n v="27.34"/>
    <n v="0"/>
    <n v="0"/>
    <n v="189.13636000000002"/>
    <n v="164.99231"/>
    <n v="288.52091999999999"/>
    <n v="153.04931999999999"/>
    <n v="17"/>
    <x v="16"/>
  </r>
  <r>
    <x v="118"/>
    <m/>
    <m/>
    <m/>
    <m/>
    <m/>
    <m/>
    <m/>
    <m/>
    <m/>
    <m/>
    <m/>
    <n v="0"/>
    <n v="0"/>
    <n v="0"/>
    <n v="0"/>
    <n v="0"/>
    <n v="0"/>
    <n v="17"/>
    <x v="16"/>
  </r>
  <r>
    <x v="119"/>
    <n v="5162"/>
    <n v="5012"/>
    <n v="39.81"/>
    <n v="37.04"/>
    <m/>
    <m/>
    <m/>
    <n v="5012"/>
    <m/>
    <m/>
    <m/>
    <n v="199.52771999999999"/>
    <n v="185.64447999999999"/>
    <n v="0"/>
    <n v="0"/>
    <n v="0"/>
    <n v="0"/>
    <n v="17"/>
    <x v="17"/>
  </r>
  <r>
    <x v="120"/>
    <n v="5180"/>
    <n v="5029"/>
    <n v="42.89"/>
    <n v="37.549999999999997"/>
    <n v="5024"/>
    <n v="39.479999999999997"/>
    <n v="35.659999999999997"/>
    <n v="5041"/>
    <n v="603.73"/>
    <n v="51.52"/>
    <n v="26.6"/>
    <n v="215.69380999999998"/>
    <n v="188.83894999999998"/>
    <n v="198.34752"/>
    <n v="179.15583999999998"/>
    <n v="311.041696"/>
    <n v="160.59218000000001"/>
    <n v="18"/>
    <x v="17"/>
  </r>
  <r>
    <x v="121"/>
    <n v="5579"/>
    <n v="5417"/>
    <n v="42.47"/>
    <n v="35.14"/>
    <n v="5030"/>
    <n v="40.270000000000003"/>
    <n v="34.68"/>
    <n v="5458"/>
    <n v="575.14"/>
    <n v="51.76"/>
    <n v="25.51"/>
    <n v="230.05999"/>
    <n v="190.35338000000002"/>
    <n v="202.5581"/>
    <n v="174.44039999999998"/>
    <n v="297.69246399999997"/>
    <n v="146.71821400000002"/>
    <n v="18"/>
    <x v="17"/>
  </r>
  <r>
    <x v="122"/>
    <n v="5311"/>
    <n v="5156"/>
    <n v="43.24"/>
    <n v="34.78"/>
    <n v="5021"/>
    <n v="40.64"/>
    <n v="33.869999999999997"/>
    <n v="5614"/>
    <n v="581.29999999999995"/>
    <n v="53.32"/>
    <n v="26.31"/>
    <n v="222.94543999999999"/>
    <n v="179.32568000000001"/>
    <n v="204.05343999999999"/>
    <n v="170.06126999999998"/>
    <n v="309.94915999999995"/>
    <n v="152.94002999999998"/>
    <n v="18"/>
    <x v="17"/>
  </r>
  <r>
    <x v="123"/>
    <n v="5218"/>
    <n v="5066"/>
    <n v="41.67"/>
    <n v="35.69"/>
    <n v="5035"/>
    <n v="40.14"/>
    <n v="33.74"/>
    <n v="5680"/>
    <n v="588"/>
    <n v="52.87"/>
    <n v="27"/>
    <n v="211.10022000000001"/>
    <n v="180.80553999999998"/>
    <n v="202.10489999999999"/>
    <n v="169.88090000000003"/>
    <n v="310.87559999999996"/>
    <n v="158.76"/>
    <n v="18"/>
    <x v="17"/>
  </r>
  <r>
    <x v="124"/>
    <m/>
    <m/>
    <m/>
    <m/>
    <n v="5700"/>
    <n v="40.25"/>
    <n v="33.79"/>
    <m/>
    <n v="702.81"/>
    <n v="51.97"/>
    <n v="25.97"/>
    <n v="0"/>
    <n v="0"/>
    <n v="229.42500000000001"/>
    <n v="192.60300000000001"/>
    <n v="365.25035699999995"/>
    <n v="182.519757"/>
    <n v="18"/>
    <x v="17"/>
  </r>
  <r>
    <x v="125"/>
    <m/>
    <m/>
    <m/>
    <m/>
    <m/>
    <m/>
    <m/>
    <m/>
    <m/>
    <m/>
    <m/>
    <n v="0"/>
    <n v="0"/>
    <n v="0"/>
    <n v="0"/>
    <n v="0"/>
    <n v="0"/>
    <n v="18"/>
    <x v="17"/>
  </r>
  <r>
    <x v="126"/>
    <n v="5000"/>
    <n v="4854"/>
    <n v="42.08"/>
    <n v="36.090000000000003"/>
    <m/>
    <m/>
    <m/>
    <n v="4854"/>
    <m/>
    <m/>
    <m/>
    <n v="204.25631999999999"/>
    <n v="175.18086000000002"/>
    <n v="0"/>
    <n v="0"/>
    <n v="0"/>
    <n v="0"/>
    <n v="18"/>
    <x v="18"/>
  </r>
  <r>
    <x v="127"/>
    <n v="5175"/>
    <n v="5024"/>
    <n v="43.66"/>
    <n v="36.1"/>
    <n v="5032"/>
    <n v="40.83"/>
    <n v="34.299999999999997"/>
    <n v="4878"/>
    <n v="605.17999999999995"/>
    <n v="50.6"/>
    <n v="27.3"/>
    <n v="219.34783999999999"/>
    <n v="181.3664"/>
    <n v="205.45656"/>
    <n v="172.59759999999997"/>
    <n v="306.22107999999997"/>
    <n v="165.21414000000001"/>
    <n v="19"/>
    <x v="18"/>
  </r>
  <r>
    <x v="128"/>
    <n v="5117"/>
    <n v="4968"/>
    <n v="42.2"/>
    <n v="37.049999999999997"/>
    <n v="5031"/>
    <n v="40.68"/>
    <n v="35.090000000000003"/>
    <n v="4846"/>
    <n v="610.79"/>
    <n v="52.2"/>
    <n v="25.58"/>
    <n v="209.64959999999999"/>
    <n v="184.06440000000001"/>
    <n v="204.66108"/>
    <n v="176.53779"/>
    <n v="318.83238"/>
    <n v="156.24008199999997"/>
    <n v="19"/>
    <x v="18"/>
  </r>
  <r>
    <x v="129"/>
    <n v="5251"/>
    <n v="5098"/>
    <n v="42.1"/>
    <n v="35.450000000000003"/>
    <n v="5018"/>
    <n v="40.33"/>
    <n v="34.36"/>
    <n v="4944"/>
    <n v="588.05999999999995"/>
    <n v="51.53"/>
    <n v="26.85"/>
    <n v="214.62580000000003"/>
    <n v="180.72409999999999"/>
    <n v="202.37594000000001"/>
    <n v="172.41848000000002"/>
    <n v="303.02731799999998"/>
    <n v="157.89411000000001"/>
    <n v="19"/>
    <x v="18"/>
  </r>
  <r>
    <x v="130"/>
    <n v="5413"/>
    <n v="5255"/>
    <n v="39.18"/>
    <n v="36.03"/>
    <n v="5028"/>
    <n v="38.92"/>
    <n v="34.46"/>
    <n v="5199"/>
    <n v="584.89"/>
    <n v="52.21"/>
    <n v="25.94"/>
    <n v="205.89089999999999"/>
    <n v="189.33765"/>
    <n v="195.68976000000001"/>
    <n v="173.26488000000001"/>
    <n v="305.37106899999998"/>
    <n v="151.72046599999999"/>
    <n v="19"/>
    <x v="18"/>
  </r>
  <r>
    <x v="131"/>
    <m/>
    <m/>
    <m/>
    <m/>
    <n v="5217"/>
    <n v="39.28"/>
    <n v="34.46"/>
    <m/>
    <n v="645.30999999999995"/>
    <n v="51.1"/>
    <n v="27.76"/>
    <n v="0"/>
    <n v="0"/>
    <n v="204.92376000000002"/>
    <n v="179.77782000000002"/>
    <n v="329.75341000000003"/>
    <n v="179.13805600000001"/>
    <n v="19"/>
    <x v="18"/>
  </r>
  <r>
    <x v="132"/>
    <m/>
    <m/>
    <m/>
    <m/>
    <m/>
    <m/>
    <m/>
    <m/>
    <m/>
    <m/>
    <m/>
    <n v="0"/>
    <n v="0"/>
    <n v="0"/>
    <n v="0"/>
    <n v="0"/>
    <n v="0"/>
    <n v="19"/>
    <x v="18"/>
  </r>
  <r>
    <x v="133"/>
    <n v="5116"/>
    <n v="4967"/>
    <n v="42.88"/>
    <n v="36.79"/>
    <m/>
    <m/>
    <m/>
    <n v="4967"/>
    <m/>
    <m/>
    <m/>
    <n v="212.98496000000003"/>
    <n v="182.73593"/>
    <n v="0"/>
    <n v="0"/>
    <n v="0"/>
    <n v="0"/>
    <n v="19"/>
    <x v="19"/>
  </r>
  <r>
    <x v="134"/>
    <n v="5136"/>
    <n v="4986"/>
    <n v="43.03"/>
    <n v="35.99"/>
    <n v="5024"/>
    <n v="41.27"/>
    <n v="34.880000000000003"/>
    <n v="4953"/>
    <n v="588.12"/>
    <n v="50.47"/>
    <n v="26.58"/>
    <n v="214.54758000000001"/>
    <n v="179.44614000000001"/>
    <n v="207.34048000000001"/>
    <n v="175.23712000000003"/>
    <n v="296.824164"/>
    <n v="156.32229599999999"/>
    <n v="20"/>
    <x v="19"/>
  </r>
  <r>
    <x v="135"/>
    <n v="5496"/>
    <n v="5336"/>
    <n v="43.4"/>
    <n v="35.47"/>
    <n v="5022"/>
    <n v="40.880000000000003"/>
    <n v="34.28"/>
    <n v="5289"/>
    <n v="577.21"/>
    <n v="51.81"/>
    <n v="27.76"/>
    <n v="231.58240000000001"/>
    <n v="189.26791999999998"/>
    <n v="205.29936000000001"/>
    <n v="172.15415999999999"/>
    <n v="299.05250100000006"/>
    <n v="160.233496"/>
    <n v="20"/>
    <x v="19"/>
  </r>
  <r>
    <x v="136"/>
    <n v="4650"/>
    <n v="4515"/>
    <n v="46.9"/>
    <n v="35.44"/>
    <n v="5029"/>
    <n v="42.89"/>
    <n v="34.19"/>
    <n v="4804"/>
    <n v="585.78"/>
    <n v="52.56"/>
    <n v="26.94"/>
    <n v="211.7535"/>
    <n v="160.01159999999999"/>
    <n v="215.69380999999998"/>
    <n v="171.94150999999999"/>
    <n v="307.88596799999999"/>
    <n v="157.80913200000001"/>
    <n v="20"/>
    <x v="19"/>
  </r>
  <r>
    <x v="137"/>
    <n v="5386"/>
    <n v="5229"/>
    <n v="43.09"/>
    <n v="35.049999999999997"/>
    <n v="5013"/>
    <n v="41.69"/>
    <n v="33.94"/>
    <n v="5033"/>
    <n v="599.85"/>
    <n v="50.57"/>
    <n v="26.74"/>
    <n v="225.31761"/>
    <n v="183.27644999999998"/>
    <n v="208.99197000000001"/>
    <n v="170.14122"/>
    <n v="303.34414500000003"/>
    <n v="160.39989"/>
    <n v="20"/>
    <x v="19"/>
  </r>
  <r>
    <x v="138"/>
    <m/>
    <m/>
    <m/>
    <m/>
    <n v="5056"/>
    <n v="41.83"/>
    <n v="34.130000000000003"/>
    <m/>
    <n v="594.62"/>
    <n v="51.89"/>
    <n v="25.62"/>
    <n v="0"/>
    <n v="0"/>
    <n v="211.49247999999997"/>
    <n v="172.56128000000001"/>
    <n v="308.54831799999999"/>
    <n v="152.341644"/>
    <n v="20"/>
    <x v="19"/>
  </r>
  <r>
    <x v="139"/>
    <m/>
    <m/>
    <m/>
    <m/>
    <m/>
    <m/>
    <m/>
    <m/>
    <m/>
    <m/>
    <m/>
    <n v="0"/>
    <n v="0"/>
    <n v="0"/>
    <n v="0"/>
    <n v="0"/>
    <n v="0"/>
    <n v="20"/>
    <x v="19"/>
  </r>
  <r>
    <x v="140"/>
    <n v="5527"/>
    <n v="5366"/>
    <n v="40.840000000000003"/>
    <n v="35.83"/>
    <m/>
    <m/>
    <m/>
    <n v="5366"/>
    <m/>
    <m/>
    <m/>
    <n v="219.14744000000002"/>
    <n v="192.26378"/>
    <n v="0"/>
    <n v="0"/>
    <n v="0"/>
    <n v="0"/>
    <n v="20"/>
    <x v="20"/>
  </r>
  <r>
    <x v="141"/>
    <n v="4930"/>
    <n v="4786"/>
    <n v="42.04"/>
    <n v="34.71"/>
    <n v="5026"/>
    <n v="39.68"/>
    <n v="33.79"/>
    <n v="5152"/>
    <n v="581.75"/>
    <n v="52.7"/>
    <n v="27.89"/>
    <n v="201.20344"/>
    <n v="166.12206"/>
    <n v="199.43168"/>
    <n v="169.82854"/>
    <n v="306.58225000000004"/>
    <n v="162.25007500000001"/>
    <n v="21"/>
    <x v="20"/>
  </r>
  <r>
    <x v="142"/>
    <n v="4466"/>
    <n v="4336"/>
    <n v="40.840000000000003"/>
    <n v="35.92"/>
    <n v="5017"/>
    <n v="39.11"/>
    <n v="34.07"/>
    <n v="4488"/>
    <n v="603.97"/>
    <n v="51.71"/>
    <n v="25.61"/>
    <n v="177.08224000000001"/>
    <n v="155.74912"/>
    <n v="196.21486999999999"/>
    <n v="170.92919000000001"/>
    <n v="312.31288699999999"/>
    <n v="154.676717"/>
    <n v="21"/>
    <x v="20"/>
  </r>
  <r>
    <x v="143"/>
    <n v="5341"/>
    <n v="5185"/>
    <n v="41.51"/>
    <n v="35.9"/>
    <n v="5028"/>
    <n v="39.270000000000003"/>
    <n v="34.130000000000003"/>
    <n v="4673"/>
    <n v="618.46"/>
    <n v="50.35"/>
    <n v="27.38"/>
    <n v="215.22934999999998"/>
    <n v="186.14150000000001"/>
    <n v="197.44956000000002"/>
    <n v="171.60564000000002"/>
    <n v="311.39461000000006"/>
    <n v="169.33434799999998"/>
    <n v="21"/>
    <x v="20"/>
  </r>
  <r>
    <x v="144"/>
    <n v="4859"/>
    <n v="4717"/>
    <n v="42.14"/>
    <n v="34.64"/>
    <n v="5026"/>
    <n v="40.11"/>
    <n v="33.409999999999997"/>
    <n v="4390"/>
    <n v="602.45000000000005"/>
    <n v="52.14"/>
    <n v="28.09"/>
    <n v="198.77438000000001"/>
    <n v="163.39688000000001"/>
    <n v="201.59285999999997"/>
    <n v="167.91865999999999"/>
    <n v="314.11743000000001"/>
    <n v="169.228205"/>
    <n v="21"/>
    <x v="20"/>
  </r>
  <r>
    <x v="145"/>
    <m/>
    <m/>
    <m/>
    <m/>
    <n v="4416"/>
    <n v="39.94"/>
    <n v="33.68"/>
    <m/>
    <n v="519.42999999999995"/>
    <n v="52.62"/>
    <n v="27.23"/>
    <n v="0"/>
    <n v="0"/>
    <n v="176.37503999999998"/>
    <n v="148.73088000000001"/>
    <n v="273.32406599999996"/>
    <n v="141.440789"/>
    <n v="21"/>
    <x v="20"/>
  </r>
  <r>
    <x v="146"/>
    <m/>
    <m/>
    <m/>
    <m/>
    <m/>
    <m/>
    <m/>
    <m/>
    <m/>
    <m/>
    <m/>
    <n v="0"/>
    <n v="0"/>
    <n v="0"/>
    <n v="0"/>
    <n v="0"/>
    <n v="0"/>
    <n v="21"/>
    <x v="20"/>
  </r>
  <r>
    <x v="147"/>
    <n v="4817"/>
    <n v="4677"/>
    <n v="46.09"/>
    <n v="35.1"/>
    <m/>
    <m/>
    <m/>
    <n v="4677"/>
    <m/>
    <m/>
    <m/>
    <n v="215.56293000000002"/>
    <n v="164.1627"/>
    <n v="0"/>
    <n v="0"/>
    <n v="0"/>
    <n v="0"/>
    <n v="21"/>
    <x v="21"/>
  </r>
  <r>
    <x v="148"/>
    <n v="4942"/>
    <n v="4798"/>
    <n v="43.22"/>
    <n v="34.9"/>
    <n v="5021"/>
    <n v="42.91"/>
    <n v="33.659999999999997"/>
    <n v="4475"/>
    <n v="628.9"/>
    <n v="53.73"/>
    <n v="25.74"/>
    <n v="207.36956000000001"/>
    <n v="167.4502"/>
    <n v="215.45111"/>
    <n v="169.00685999999999"/>
    <n v="337.90796999999998"/>
    <n v="161.87885999999997"/>
    <n v="22"/>
    <x v="21"/>
  </r>
  <r>
    <x v="149"/>
    <n v="5144"/>
    <n v="4994"/>
    <n v="39.68"/>
    <n v="34.92"/>
    <n v="5028"/>
    <n v="39.979999999999997"/>
    <n v="33.65"/>
    <n v="4469"/>
    <n v="598.9"/>
    <n v="53.85"/>
    <n v="27.34"/>
    <n v="198.16192000000001"/>
    <n v="174.39048"/>
    <n v="201.01943999999997"/>
    <n v="169.19219999999999"/>
    <n v="322.50765000000001"/>
    <n v="163.73926"/>
    <n v="22"/>
    <x v="21"/>
  </r>
  <r>
    <x v="150"/>
    <n v="5434"/>
    <n v="5276"/>
    <n v="41.58"/>
    <n v="35.770000000000003"/>
    <n v="5025"/>
    <n v="40.39"/>
    <n v="33.96"/>
    <n v="4745"/>
    <n v="608.14"/>
    <n v="52.59"/>
    <n v="25.89"/>
    <n v="219.37607999999997"/>
    <n v="188.72252000000003"/>
    <n v="202.95975000000001"/>
    <n v="170.649"/>
    <n v="319.82082600000001"/>
    <n v="157.44744600000001"/>
    <n v="22"/>
    <x v="21"/>
  </r>
  <r>
    <x v="151"/>
    <n v="4990"/>
    <n v="4845"/>
    <n v="42.32"/>
    <n v="35.659999999999997"/>
    <n v="5025"/>
    <n v="40.25"/>
    <n v="33.76"/>
    <n v="4590"/>
    <n v="609.29999999999995"/>
    <n v="52.77"/>
    <n v="27.21"/>
    <n v="205.04040000000001"/>
    <n v="172.77269999999999"/>
    <n v="202.25624999999999"/>
    <n v="169.64400000000001"/>
    <n v="321.52760999999998"/>
    <n v="165.79052999999999"/>
    <n v="22"/>
    <x v="21"/>
  </r>
  <r>
    <x v="152"/>
    <m/>
    <m/>
    <m/>
    <m/>
    <n v="4610"/>
    <n v="40.119999999999997"/>
    <n v="33.950000000000003"/>
    <m/>
    <n v="541.29"/>
    <n v="52.66"/>
    <n v="28.88"/>
    <n v="0"/>
    <n v="0"/>
    <n v="184.95319999999998"/>
    <n v="156.5095"/>
    <n v="285.04331399999995"/>
    <n v="156.32455199999998"/>
    <n v="22"/>
    <x v="21"/>
  </r>
  <r>
    <x v="153"/>
    <m/>
    <m/>
    <m/>
    <m/>
    <m/>
    <m/>
    <m/>
    <m/>
    <m/>
    <m/>
    <m/>
    <n v="0"/>
    <n v="0"/>
    <n v="0"/>
    <n v="0"/>
    <n v="0"/>
    <n v="0"/>
    <n v="22"/>
    <x v="21"/>
  </r>
  <r>
    <x v="154"/>
    <n v="4970"/>
    <n v="4825"/>
    <n v="43"/>
    <n v="35.89"/>
    <m/>
    <m/>
    <m/>
    <n v="4825"/>
    <m/>
    <m/>
    <m/>
    <n v="207.47499999999999"/>
    <n v="173.16925000000001"/>
    <n v="0"/>
    <n v="0"/>
    <n v="0"/>
    <n v="0"/>
    <n v="22"/>
    <x v="22"/>
  </r>
  <r>
    <x v="155"/>
    <n v="4926"/>
    <n v="4783"/>
    <n v="42.44"/>
    <n v="35.42"/>
    <n v="5018"/>
    <n v="40.89"/>
    <n v="34.11"/>
    <n v="4608"/>
    <n v="580.99"/>
    <n v="51.39"/>
    <n v="27.2"/>
    <n v="202.99052"/>
    <n v="169.41386000000003"/>
    <n v="205.18601999999998"/>
    <n v="171.16398000000001"/>
    <n v="298.570761"/>
    <n v="158.02928"/>
    <n v="23"/>
    <x v="22"/>
  </r>
  <r>
    <x v="156"/>
    <n v="4909"/>
    <n v="4766"/>
    <n v="41.11"/>
    <n v="35.979999999999997"/>
    <n v="5026"/>
    <n v="39.99"/>
    <n v="34.33"/>
    <n v="4374"/>
    <n v="606.69000000000005"/>
    <n v="52.51"/>
    <n v="27.26"/>
    <n v="195.93026"/>
    <n v="171.48068000000001"/>
    <n v="200.98974000000001"/>
    <n v="172.54257999999999"/>
    <n v="318.57291900000001"/>
    <n v="165.38369400000002"/>
    <n v="23"/>
    <x v="22"/>
  </r>
  <r>
    <x v="157"/>
    <n v="5279"/>
    <n v="5125"/>
    <n v="44.54"/>
    <n v="35.47"/>
    <n v="5023"/>
    <n v="41.6"/>
    <n v="33.94"/>
    <n v="4499"/>
    <n v="619.67999999999995"/>
    <n v="51.22"/>
    <n v="26.45"/>
    <n v="228.26750000000001"/>
    <n v="181.78375"/>
    <n v="208.95680000000002"/>
    <n v="170.48061999999999"/>
    <n v="317.40009599999996"/>
    <n v="163.90535999999997"/>
    <n v="23"/>
    <x v="22"/>
  </r>
  <r>
    <x v="158"/>
    <n v="4999"/>
    <n v="4853"/>
    <n v="43.18"/>
    <n v="37.85"/>
    <n v="5025"/>
    <n v="41.45"/>
    <n v="34.92"/>
    <n v="4352"/>
    <n v="605.67999999999995"/>
    <n v="51.8"/>
    <n v="25.58"/>
    <n v="209.55254000000002"/>
    <n v="183.68605000000002"/>
    <n v="208.28625"/>
    <n v="175.47300000000001"/>
    <n v="313.74223999999992"/>
    <n v="154.93294399999996"/>
    <n v="23"/>
    <x v="22"/>
  </r>
  <r>
    <x v="159"/>
    <m/>
    <m/>
    <m/>
    <m/>
    <n v="4371"/>
    <n v="41.22"/>
    <n v="35.4"/>
    <m/>
    <n v="495.2"/>
    <n v="53.73"/>
    <n v="27.92"/>
    <n v="0"/>
    <n v="0"/>
    <n v="180.17261999999999"/>
    <n v="154.73339999999999"/>
    <n v="266.07095999999996"/>
    <n v="138.25984"/>
    <n v="23"/>
    <x v="22"/>
  </r>
  <r>
    <x v="160"/>
    <m/>
    <m/>
    <m/>
    <m/>
    <m/>
    <m/>
    <m/>
    <m/>
    <m/>
    <m/>
    <m/>
    <n v="0"/>
    <n v="0"/>
    <n v="0"/>
    <n v="0"/>
    <n v="0"/>
    <n v="0"/>
    <n v="23"/>
    <x v="22"/>
  </r>
  <r>
    <x v="161"/>
    <n v="5561"/>
    <n v="5399"/>
    <n v="41.57"/>
    <n v="36.24"/>
    <m/>
    <m/>
    <m/>
    <n v="5399"/>
    <m/>
    <m/>
    <m/>
    <n v="224.43643"/>
    <n v="195.65976000000001"/>
    <n v="0"/>
    <n v="0"/>
    <n v="0"/>
    <n v="0"/>
    <n v="23"/>
    <x v="23"/>
  </r>
  <r>
    <x v="162"/>
    <n v="5337"/>
    <n v="5182"/>
    <n v="43.99"/>
    <n v="36.57"/>
    <n v="5026"/>
    <n v="40.840000000000003"/>
    <n v="34.89"/>
    <n v="5581"/>
    <n v="578.75"/>
    <n v="53.21"/>
    <n v="26.82"/>
    <n v="227.95618000000002"/>
    <n v="189.50574"/>
    <n v="205.26184000000003"/>
    <n v="175.35714000000002"/>
    <n v="307.95287500000001"/>
    <n v="155.22075000000001"/>
    <n v="24"/>
    <x v="23"/>
  </r>
  <r>
    <x v="163"/>
    <n v="5108"/>
    <n v="4959"/>
    <n v="42.16"/>
    <n v="34.18"/>
    <n v="5030"/>
    <n v="40.54"/>
    <n v="33.630000000000003"/>
    <n v="5540"/>
    <n v="605.02"/>
    <n v="53.13"/>
    <n v="26.97"/>
    <n v="209.07143999999997"/>
    <n v="169.49861999999999"/>
    <n v="203.91619999999998"/>
    <n v="169.15890000000002"/>
    <n v="321.44712599999997"/>
    <n v="163.17389399999999"/>
    <n v="24"/>
    <x v="23"/>
  </r>
  <r>
    <x v="164"/>
    <n v="5488"/>
    <n v="5328"/>
    <n v="42.97"/>
    <n v="33.96"/>
    <n v="5027"/>
    <n v="40.81"/>
    <n v="32.76"/>
    <n v="5868"/>
    <n v="584.17999999999995"/>
    <n v="52.87"/>
    <n v="27.28"/>
    <n v="228.94416000000001"/>
    <n v="180.93888000000001"/>
    <n v="205.15187000000003"/>
    <n v="164.68451999999999"/>
    <n v="308.85596599999997"/>
    <n v="159.364304"/>
    <n v="24"/>
    <x v="23"/>
  </r>
  <r>
    <x v="165"/>
    <n v="5013"/>
    <n v="4867"/>
    <n v="41.94"/>
    <n v="34.36"/>
    <n v="5021"/>
    <n v="40.32"/>
    <n v="33.020000000000003"/>
    <n v="5735"/>
    <n v="614.59"/>
    <n v="55.15"/>
    <n v="27.61"/>
    <n v="204.12197999999998"/>
    <n v="167.23012"/>
    <n v="202.44672"/>
    <n v="165.79342000000003"/>
    <n v="338.94638500000002"/>
    <n v="169.688299"/>
    <n v="24"/>
    <x v="23"/>
  </r>
  <r>
    <x v="166"/>
    <m/>
    <m/>
    <m/>
    <m/>
    <n v="5761"/>
    <n v="39.82"/>
    <n v="33.07"/>
    <m/>
    <n v="671.47"/>
    <n v="51.93"/>
    <n v="27.03"/>
    <n v="0"/>
    <n v="0"/>
    <n v="229.40302"/>
    <n v="190.51626999999999"/>
    <n v="348.69437100000005"/>
    <n v="181.49834100000001"/>
    <n v="24"/>
    <x v="23"/>
  </r>
  <r>
    <x v="167"/>
    <m/>
    <m/>
    <m/>
    <m/>
    <m/>
    <m/>
    <m/>
    <m/>
    <m/>
    <m/>
    <m/>
    <n v="0"/>
    <n v="0"/>
    <n v="0"/>
    <n v="0"/>
    <n v="0"/>
    <n v="0"/>
    <n v="24"/>
    <x v="23"/>
  </r>
  <r>
    <x v="168"/>
    <n v="5224"/>
    <n v="5072"/>
    <n v="42.4"/>
    <n v="35.869999999999997"/>
    <m/>
    <m/>
    <m/>
    <n v="5072"/>
    <m/>
    <m/>
    <m/>
    <n v="215.05279999999999"/>
    <n v="181.93263999999999"/>
    <n v="0"/>
    <n v="0"/>
    <n v="0"/>
    <n v="0"/>
    <n v="24"/>
    <x v="24"/>
  </r>
  <r>
    <x v="169"/>
    <n v="5260"/>
    <n v="5107"/>
    <n v="44.01"/>
    <n v="35.659999999999997"/>
    <n v="5037"/>
    <n v="41.02"/>
    <n v="33.89"/>
    <n v="5179"/>
    <n v="615.78"/>
    <n v="53.18"/>
    <n v="27.25"/>
    <n v="224.75906999999998"/>
    <n v="182.11562000000001"/>
    <n v="206.61774000000003"/>
    <n v="170.70392999999999"/>
    <n v="327.47180399999996"/>
    <n v="167.80005"/>
    <n v="25"/>
    <x v="24"/>
  </r>
  <r>
    <x v="170"/>
    <n v="5091"/>
    <n v="4943"/>
    <n v="41.48"/>
    <n v="38.159999999999997"/>
    <n v="5022"/>
    <n v="40.43"/>
    <n v="35.06"/>
    <n v="5122"/>
    <n v="594.26"/>
    <n v="52.53"/>
    <n v="26.67"/>
    <n v="205.03563999999997"/>
    <n v="188.62487999999996"/>
    <n v="203.03945999999999"/>
    <n v="176.07132000000001"/>
    <n v="312.16477800000001"/>
    <n v="158.48914200000002"/>
    <n v="25"/>
    <x v="24"/>
  </r>
  <r>
    <x v="171"/>
    <n v="5508"/>
    <n v="5348"/>
    <n v="42.74"/>
    <n v="37.78"/>
    <n v="5016"/>
    <n v="40.47"/>
    <n v="35.729999999999997"/>
    <n v="5470"/>
    <n v="603.92999999999995"/>
    <n v="51.91"/>
    <n v="27.07"/>
    <n v="228.57352000000003"/>
    <n v="202.04743999999999"/>
    <n v="202.99751999999998"/>
    <n v="179.22167999999999"/>
    <n v="313.50006299999995"/>
    <n v="163.48385099999999"/>
    <n v="25"/>
    <x v="24"/>
  </r>
  <r>
    <x v="172"/>
    <n v="5296"/>
    <n v="5142"/>
    <n v="40.729999999999997"/>
    <n v="35.93"/>
    <n v="5035"/>
    <n v="39.85"/>
    <n v="34.71"/>
    <n v="5612"/>
    <n v="589.08000000000004"/>
    <n v="53.88"/>
    <n v="27.4"/>
    <n v="209.43365999999997"/>
    <n v="184.75206"/>
    <n v="200.64474999999999"/>
    <n v="174.76485"/>
    <n v="317.39630400000004"/>
    <n v="161.40791999999999"/>
    <n v="25"/>
    <x v="24"/>
  </r>
  <r>
    <x v="173"/>
    <m/>
    <m/>
    <m/>
    <m/>
    <n v="5644"/>
    <n v="40.11"/>
    <n v="34.869999999999997"/>
    <m/>
    <n v="662.91"/>
    <n v="51.82"/>
    <n v="27.08"/>
    <n v="0"/>
    <n v="0"/>
    <n v="226.38084000000001"/>
    <n v="196.80627999999999"/>
    <n v="343.51996200000002"/>
    <n v="179.51602799999998"/>
    <n v="25"/>
    <x v="24"/>
  </r>
  <r>
    <x v="174"/>
    <m/>
    <m/>
    <m/>
    <m/>
    <m/>
    <m/>
    <m/>
    <m/>
    <m/>
    <m/>
    <m/>
    <n v="0"/>
    <n v="0"/>
    <n v="0"/>
    <n v="0"/>
    <n v="0"/>
    <n v="0"/>
    <n v="25"/>
    <x v="24"/>
  </r>
  <r>
    <x v="175"/>
    <n v="4940"/>
    <n v="4796"/>
    <n v="43.41"/>
    <n v="35.979999999999997"/>
    <m/>
    <m/>
    <m/>
    <n v="4796"/>
    <m/>
    <m/>
    <m/>
    <n v="208.19435999999999"/>
    <n v="172.56008"/>
    <n v="0"/>
    <n v="0"/>
    <n v="0"/>
    <n v="0"/>
    <n v="25"/>
    <x v="25"/>
  </r>
  <r>
    <x v="176"/>
    <n v="5261"/>
    <n v="5108"/>
    <n v="44.36"/>
    <n v="35.96"/>
    <n v="5019"/>
    <n v="41.8"/>
    <n v="34.21"/>
    <n v="4904"/>
    <n v="590"/>
    <n v="52.45"/>
    <n v="27.03"/>
    <n v="226.59088"/>
    <n v="183.68367999999998"/>
    <n v="209.79419999999999"/>
    <n v="171.69998999999999"/>
    <n v="309.45499999999998"/>
    <n v="159.477"/>
    <n v="26"/>
    <x v="25"/>
  </r>
  <r>
    <x v="177"/>
    <n v="4998"/>
    <n v="4852"/>
    <n v="42.41"/>
    <n v="36.01"/>
    <n v="5020"/>
    <n v="41.33"/>
    <n v="34.39"/>
    <n v="4756"/>
    <n v="581.79999999999995"/>
    <n v="52.63"/>
    <n v="25.23"/>
    <n v="205.77331999999998"/>
    <n v="174.72051999999999"/>
    <n v="207.47660000000002"/>
    <n v="172.6378"/>
    <n v="306.20133999999996"/>
    <n v="146.78814"/>
    <n v="26"/>
    <x v="25"/>
  </r>
  <r>
    <x v="178"/>
    <n v="5449"/>
    <n v="5290"/>
    <n v="40.81"/>
    <n v="35.020000000000003"/>
    <n v="5029"/>
    <n v="40.51"/>
    <n v="33.75"/>
    <n v="5046"/>
    <n v="564.55999999999995"/>
    <n v="51.7"/>
    <n v="27.33"/>
    <n v="215.88490000000002"/>
    <n v="185.25580000000002"/>
    <n v="203.72478999999998"/>
    <n v="169.72874999999999"/>
    <n v="291.87752"/>
    <n v="154.29424799999998"/>
    <n v="26"/>
    <x v="25"/>
  </r>
  <r>
    <x v="179"/>
    <n v="5064"/>
    <n v="4917"/>
    <n v="43.59"/>
    <n v="35.68"/>
    <n v="5035"/>
    <n v="41.45"/>
    <n v="33.6"/>
    <n v="4963"/>
    <n v="606.01"/>
    <n v="52.27"/>
    <n v="26.36"/>
    <n v="214.33203000000003"/>
    <n v="175.43856"/>
    <n v="208.70075"/>
    <n v="169.17599999999999"/>
    <n v="316.76142700000003"/>
    <n v="159.744236"/>
    <n v="26"/>
    <x v="25"/>
  </r>
  <r>
    <x v="180"/>
    <m/>
    <m/>
    <m/>
    <m/>
    <n v="4987"/>
    <n v="40.82"/>
    <n v="33.9"/>
    <m/>
    <n v="583.57000000000005"/>
    <n v="53.35"/>
    <n v="28.78"/>
    <n v="0"/>
    <n v="0"/>
    <n v="203.56933999999998"/>
    <n v="169.05929999999998"/>
    <n v="311.33459500000004"/>
    <n v="167.95144600000003"/>
    <n v="26"/>
    <x v="25"/>
  </r>
  <r>
    <x v="181"/>
    <m/>
    <m/>
    <m/>
    <m/>
    <m/>
    <m/>
    <m/>
    <m/>
    <m/>
    <m/>
    <m/>
    <n v="0"/>
    <n v="0"/>
    <n v="0"/>
    <n v="0"/>
    <n v="0"/>
    <n v="0"/>
    <n v="26"/>
    <x v="25"/>
  </r>
  <r>
    <x v="182"/>
    <n v="5077"/>
    <n v="4929"/>
    <n v="41.62"/>
    <n v="36.54"/>
    <m/>
    <m/>
    <m/>
    <n v="4929"/>
    <m/>
    <m/>
    <m/>
    <n v="205.14497999999998"/>
    <n v="180.10566"/>
    <n v="0"/>
    <n v="0"/>
    <n v="0"/>
    <n v="0"/>
    <n v="26"/>
    <x v="26"/>
  </r>
  <r>
    <x v="183"/>
    <n v="5493"/>
    <n v="5333"/>
    <n v="43.16"/>
    <n v="34.450000000000003"/>
    <n v="5027"/>
    <n v="40.32"/>
    <n v="33.82"/>
    <n v="5262"/>
    <n v="589.75"/>
    <n v="50.78"/>
    <n v="28.89"/>
    <n v="230.17227999999997"/>
    <n v="183.72185000000002"/>
    <n v="202.68864000000002"/>
    <n v="170.01314000000002"/>
    <n v="299.47505000000001"/>
    <n v="170.37877499999999"/>
    <n v="27"/>
    <x v="26"/>
  </r>
  <r>
    <x v="184"/>
    <n v="5009"/>
    <n v="4863"/>
    <n v="44.54"/>
    <n v="35.76"/>
    <n v="5022"/>
    <n v="41.4"/>
    <n v="34.049999999999997"/>
    <n v="5125"/>
    <n v="599.63"/>
    <n v="52.4"/>
    <n v="27.42"/>
    <n v="216.59801999999999"/>
    <n v="173.90088"/>
    <n v="207.91079999999999"/>
    <n v="170.99909999999997"/>
    <n v="314.20612"/>
    <n v="164.41854600000002"/>
    <n v="27"/>
    <x v="26"/>
  </r>
  <r>
    <x v="185"/>
    <n v="4847"/>
    <n v="4706"/>
    <n v="41.5"/>
    <n v="36.86"/>
    <n v="5021"/>
    <n v="40.619999999999997"/>
    <n v="34.799999999999997"/>
    <n v="4831"/>
    <n v="586.78"/>
    <n v="51.95"/>
    <n v="26.72"/>
    <n v="195.29900000000001"/>
    <n v="173.46316000000002"/>
    <n v="203.95301999999998"/>
    <n v="174.73079999999999"/>
    <n v="304.83221000000003"/>
    <n v="156.78761599999999"/>
    <n v="27"/>
    <x v="26"/>
  </r>
  <r>
    <x v="186"/>
    <n v="5168"/>
    <n v="5017"/>
    <n v="42.21"/>
    <n v="33.659999999999997"/>
    <n v="5025"/>
    <n v="40.200000000000003"/>
    <n v="33.19"/>
    <n v="4848"/>
    <n v="620.28"/>
    <n v="51.64"/>
    <n v="26.12"/>
    <n v="211.76757000000001"/>
    <n v="168.87221999999997"/>
    <n v="202.005"/>
    <n v="166.77975000000001"/>
    <n v="320.312592"/>
    <n v="162.01713599999999"/>
    <n v="27"/>
    <x v="26"/>
  </r>
  <r>
    <x v="187"/>
    <m/>
    <m/>
    <m/>
    <m/>
    <n v="4879"/>
    <n v="40.020000000000003"/>
    <n v="33.270000000000003"/>
    <m/>
    <n v="593.76"/>
    <n v="52.05"/>
    <n v="27.04"/>
    <n v="0"/>
    <n v="0"/>
    <n v="195.25758000000002"/>
    <n v="162.32433"/>
    <n v="309.05207999999999"/>
    <n v="160.55270400000001"/>
    <n v="27"/>
    <x v="26"/>
  </r>
  <r>
    <x v="188"/>
    <m/>
    <m/>
    <m/>
    <m/>
    <m/>
    <m/>
    <m/>
    <m/>
    <m/>
    <m/>
    <m/>
    <n v="0"/>
    <n v="0"/>
    <n v="0"/>
    <n v="0"/>
    <n v="0"/>
    <n v="0"/>
    <n v="27"/>
    <x v="26"/>
  </r>
  <r>
    <x v="189"/>
    <n v="5168"/>
    <n v="5017"/>
    <n v="45.69"/>
    <n v="35.020000000000003"/>
    <m/>
    <m/>
    <m/>
    <n v="5017"/>
    <m/>
    <m/>
    <m/>
    <n v="229.22672999999998"/>
    <n v="175.69534000000002"/>
    <n v="0"/>
    <n v="0"/>
    <n v="0"/>
    <n v="0"/>
    <n v="27"/>
    <x v="27"/>
  </r>
  <r>
    <x v="190"/>
    <n v="5074"/>
    <n v="4926"/>
    <n v="42.59"/>
    <n v="35.58"/>
    <n v="5030"/>
    <n v="42.01"/>
    <n v="33.630000000000003"/>
    <n v="4943"/>
    <n v="612.79999999999995"/>
    <n v="51.97"/>
    <n v="25.68"/>
    <n v="209.79834000000002"/>
    <n v="175.26707999999999"/>
    <n v="211.31029999999998"/>
    <n v="169.15890000000002"/>
    <n v="318.47215999999997"/>
    <n v="157.36703999999997"/>
    <n v="28"/>
    <x v="27"/>
  </r>
  <r>
    <x v="191"/>
    <n v="5624"/>
    <n v="5460"/>
    <n v="41.99"/>
    <n v="35.85"/>
    <n v="5026"/>
    <n v="41.08"/>
    <n v="34.119999999999997"/>
    <n v="5403"/>
    <n v="607.28"/>
    <n v="51.93"/>
    <n v="27.17"/>
    <n v="229.26540000000003"/>
    <n v="195.74100000000001"/>
    <n v="206.46807999999999"/>
    <n v="171.48712"/>
    <n v="315.36050399999999"/>
    <n v="164.99797600000002"/>
    <n v="28"/>
    <x v="27"/>
  </r>
  <r>
    <x v="192"/>
    <n v="6071"/>
    <n v="5894"/>
    <n v="41.74"/>
    <n v="35.659999999999997"/>
    <n v="5030"/>
    <n v="40.47"/>
    <n v="33.979999999999997"/>
    <n v="6297"/>
    <n v="587.47"/>
    <n v="50.93"/>
    <n v="26.73"/>
    <n v="246.01555999999999"/>
    <n v="210.18003999999999"/>
    <n v="203.5641"/>
    <n v="170.9194"/>
    <n v="299.19847100000004"/>
    <n v="157.030731"/>
    <n v="28"/>
    <x v="27"/>
  </r>
  <r>
    <x v="193"/>
    <n v="5221"/>
    <n v="5069"/>
    <n v="44.13"/>
    <n v="37.32"/>
    <n v="5021"/>
    <n v="41.2"/>
    <n v="35.04"/>
    <n v="6366"/>
    <n v="577"/>
    <n v="51.27"/>
    <n v="27.2"/>
    <n v="223.69497000000001"/>
    <n v="189.17507999999998"/>
    <n v="206.86520000000002"/>
    <n v="175.93583999999998"/>
    <n v="295.8279"/>
    <n v="156.94399999999999"/>
    <n v="28"/>
    <x v="27"/>
  </r>
  <r>
    <x v="194"/>
    <m/>
    <m/>
    <m/>
    <m/>
    <n v="6412"/>
    <n v="40.85"/>
    <n v="34.61"/>
    <m/>
    <n v="720.41"/>
    <n v="52.45"/>
    <n v="27.68"/>
    <n v="0"/>
    <n v="0"/>
    <n v="261.93020000000001"/>
    <n v="221.91932"/>
    <n v="377.85504500000002"/>
    <n v="199.40948799999998"/>
    <n v="28"/>
    <x v="27"/>
  </r>
  <r>
    <x v="195"/>
    <m/>
    <m/>
    <m/>
    <m/>
    <m/>
    <m/>
    <m/>
    <m/>
    <m/>
    <m/>
    <m/>
    <n v="0"/>
    <n v="0"/>
    <n v="0"/>
    <n v="0"/>
    <n v="0"/>
    <n v="0"/>
    <n v="28"/>
    <x v="27"/>
  </r>
  <r>
    <x v="196"/>
    <n v="5255"/>
    <n v="5102"/>
    <n v="40.14"/>
    <n v="37.93"/>
    <m/>
    <m/>
    <m/>
    <n v="5102"/>
    <m/>
    <m/>
    <m/>
    <n v="204.79427999999999"/>
    <n v="193.51885999999999"/>
    <n v="0"/>
    <n v="0"/>
    <n v="0"/>
    <n v="0"/>
    <n v="28"/>
    <x v="28"/>
  </r>
  <r>
    <x v="197"/>
    <n v="5366"/>
    <n v="5210"/>
    <n v="44.87"/>
    <n v="36.61"/>
    <n v="5024"/>
    <n v="40.6"/>
    <n v="35.4"/>
    <n v="5312"/>
    <n v="632.48"/>
    <n v="51.09"/>
    <n v="26.66"/>
    <n v="233.77269999999999"/>
    <n v="190.7381"/>
    <n v="203.9744"/>
    <n v="177.84960000000001"/>
    <n v="323.13403200000005"/>
    <n v="168.619168"/>
    <n v="29"/>
    <x v="28"/>
  </r>
  <r>
    <x v="198"/>
    <n v="5283"/>
    <n v="5129"/>
    <n v="43.75"/>
    <n v="35.81"/>
    <n v="5034"/>
    <n v="41.17"/>
    <n v="34.49"/>
    <n v="5441"/>
    <n v="593.26"/>
    <n v="51.15"/>
    <n v="26.7"/>
    <n v="224.39375000000001"/>
    <n v="183.66949000000002"/>
    <n v="207.24977999999999"/>
    <n v="173.62266"/>
    <n v="303.45249000000001"/>
    <n v="158.40042"/>
    <n v="29"/>
    <x v="28"/>
  </r>
  <r>
    <x v="199"/>
    <n v="5583"/>
    <n v="5420"/>
    <n v="41.57"/>
    <n v="35.46"/>
    <n v="5022"/>
    <n v="40.61"/>
    <n v="34.619999999999997"/>
    <n v="5861"/>
    <n v="585.33000000000004"/>
    <n v="53.08"/>
    <n v="28.3"/>
    <n v="225.30939999999998"/>
    <n v="192.19320000000002"/>
    <n v="203.94341999999997"/>
    <n v="173.86163999999999"/>
    <n v="310.69316400000002"/>
    <n v="165.64839000000001"/>
    <n v="29"/>
    <x v="28"/>
  </r>
  <r>
    <x v="200"/>
    <n v="5390"/>
    <n v="5233"/>
    <n v="43.61"/>
    <n v="37.39"/>
    <n v="5018"/>
    <n v="41.37"/>
    <n v="35.299999999999997"/>
    <n v="6094"/>
    <n v="600.08000000000004"/>
    <n v="50.44"/>
    <n v="26.29"/>
    <n v="228.21113"/>
    <n v="195.66186999999999"/>
    <n v="207.59465999999998"/>
    <n v="177.1354"/>
    <n v="302.68035200000003"/>
    <n v="157.761032"/>
    <n v="29"/>
    <x v="28"/>
  </r>
  <r>
    <x v="201"/>
    <m/>
    <m/>
    <m/>
    <m/>
    <n v="6133"/>
    <n v="41.02"/>
    <n v="34.979999999999997"/>
    <m/>
    <n v="734.42"/>
    <n v="52.64"/>
    <n v="27.91"/>
    <n v="0"/>
    <n v="0"/>
    <n v="251.57566000000003"/>
    <n v="214.53233999999998"/>
    <n v="386.59868799999998"/>
    <n v="204.97662199999999"/>
    <n v="29"/>
    <x v="28"/>
  </r>
  <r>
    <x v="202"/>
    <m/>
    <m/>
    <m/>
    <m/>
    <m/>
    <m/>
    <m/>
    <m/>
    <m/>
    <m/>
    <m/>
    <n v="0"/>
    <n v="0"/>
    <n v="0"/>
    <n v="0"/>
    <n v="0"/>
    <n v="0"/>
    <n v="29"/>
    <x v="28"/>
  </r>
  <r>
    <x v="203"/>
    <n v="4966"/>
    <n v="4821"/>
    <n v="42.56"/>
    <n v="35.74"/>
    <m/>
    <m/>
    <m/>
    <n v="4821"/>
    <m/>
    <m/>
    <m/>
    <n v="205.18176"/>
    <n v="172.30254000000002"/>
    <n v="0"/>
    <n v="0"/>
    <n v="0"/>
    <n v="0"/>
    <n v="29"/>
    <x v="29"/>
  </r>
  <r>
    <x v="204"/>
    <n v="5137"/>
    <n v="4987"/>
    <n v="40.64"/>
    <n v="35.35"/>
    <n v="5026"/>
    <n v="39.369999999999997"/>
    <n v="33.869999999999997"/>
    <n v="4808"/>
    <n v="596.04"/>
    <n v="50.25"/>
    <n v="26.58"/>
    <n v="202.67167999999998"/>
    <n v="176.29045000000002"/>
    <n v="197.87361999999999"/>
    <n v="170.23061999999999"/>
    <n v="299.51009999999997"/>
    <n v="158.42743199999998"/>
    <n v="30"/>
    <x v="29"/>
  </r>
  <r>
    <x v="205"/>
    <n v="4917"/>
    <n v="4774"/>
    <n v="41.18"/>
    <n v="34.92"/>
    <n v="5028"/>
    <n v="39.32"/>
    <n v="33.57"/>
    <n v="4582"/>
    <n v="601.28"/>
    <n v="49.58"/>
    <n v="27.35"/>
    <n v="196.59332000000001"/>
    <n v="166.70808000000002"/>
    <n v="197.70095999999998"/>
    <n v="168.78995999999998"/>
    <n v="298.11462399999999"/>
    <n v="164.45008000000001"/>
    <n v="30"/>
    <x v="29"/>
  </r>
  <r>
    <x v="206"/>
    <n v="5203"/>
    <n v="5051"/>
    <n v="44.83"/>
    <n v="36.409999999999997"/>
    <n v="5025"/>
    <n v="41.54"/>
    <n v="34.07"/>
    <n v="4633"/>
    <n v="582.79999999999995"/>
    <n v="53.13"/>
    <n v="28.15"/>
    <n v="226.43633"/>
    <n v="183.90690999999998"/>
    <n v="208.73849999999999"/>
    <n v="171.20175"/>
    <n v="309.64164"/>
    <n v="164.0582"/>
    <n v="30"/>
    <x v="29"/>
  </r>
  <r>
    <x v="207"/>
    <n v="5063"/>
    <n v="4916"/>
    <n v="41.13"/>
    <n v="36.090000000000003"/>
    <n v="5022"/>
    <n v="39.99"/>
    <n v="34.340000000000003"/>
    <n v="4549"/>
    <n v="592.53"/>
    <n v="50.67"/>
    <n v="27.45"/>
    <n v="202.19508000000002"/>
    <n v="177.41844"/>
    <n v="200.82978"/>
    <n v="172.45548000000002"/>
    <n v="300.23495100000002"/>
    <n v="162.649485"/>
    <n v="30"/>
    <x v="29"/>
  </r>
  <r>
    <x v="208"/>
    <m/>
    <m/>
    <m/>
    <m/>
    <n v="4575"/>
    <n v="40.130000000000003"/>
    <n v="34.53"/>
    <m/>
    <n v="526.67999999999995"/>
    <n v="52.59"/>
    <n v="26.61"/>
    <n v="0"/>
    <n v="0"/>
    <n v="183.59475"/>
    <n v="157.97475"/>
    <n v="276.98101200000002"/>
    <n v="140.14954799999998"/>
    <n v="30"/>
    <x v="29"/>
  </r>
  <r>
    <x v="209"/>
    <m/>
    <m/>
    <m/>
    <m/>
    <m/>
    <m/>
    <m/>
    <m/>
    <m/>
    <m/>
    <m/>
    <n v="0"/>
    <n v="0"/>
    <n v="0"/>
    <n v="0"/>
    <n v="0"/>
    <n v="0"/>
    <n v="30"/>
    <x v="29"/>
  </r>
  <r>
    <x v="210"/>
    <n v="5262"/>
    <n v="5109"/>
    <n v="41.47"/>
    <n v="36.31"/>
    <m/>
    <m/>
    <m/>
    <n v="5109"/>
    <m/>
    <m/>
    <m/>
    <n v="211.87022999999999"/>
    <n v="185.50779"/>
    <n v="0"/>
    <n v="0"/>
    <n v="0"/>
    <n v="0"/>
    <n v="30"/>
    <x v="30"/>
  </r>
  <r>
    <x v="211"/>
    <n v="5057"/>
    <n v="4910"/>
    <n v="39.35"/>
    <n v="35.020000000000003"/>
    <n v="5034"/>
    <n v="38.799999999999997"/>
    <n v="34.090000000000003"/>
    <n v="5019"/>
    <n v="599.99"/>
    <n v="50.83"/>
    <n v="27.91"/>
    <n v="193.20849999999999"/>
    <n v="171.94820000000001"/>
    <n v="195.3192"/>
    <n v="171.60906000000003"/>
    <n v="304.974917"/>
    <n v="167.45720900000001"/>
    <n v="31"/>
    <x v="30"/>
  </r>
  <r>
    <x v="212"/>
    <n v="5192"/>
    <n v="5041"/>
    <n v="41.73"/>
    <n v="35.65"/>
    <n v="5025"/>
    <n v="39.56"/>
    <n v="34.1"/>
    <n v="5060"/>
    <n v="600.88"/>
    <n v="53.33"/>
    <n v="26.97"/>
    <n v="210.36093"/>
    <n v="179.71164999999999"/>
    <n v="198.78899999999999"/>
    <n v="171.35249999999999"/>
    <n v="320.44930399999998"/>
    <n v="162.05733599999999"/>
    <n v="31"/>
    <x v="30"/>
  </r>
  <r>
    <x v="213"/>
    <n v="4785"/>
    <n v="4646"/>
    <n v="44.9"/>
    <n v="35.840000000000003"/>
    <n v="5035"/>
    <n v="41.03"/>
    <n v="33.799999999999997"/>
    <n v="4706"/>
    <n v="595.55999999999995"/>
    <n v="52.6"/>
    <n v="26.67"/>
    <n v="208.6054"/>
    <n v="166.51264"/>
    <n v="206.58605000000003"/>
    <n v="170.18299999999999"/>
    <n v="313.26455999999996"/>
    <n v="158.83585199999999"/>
    <n v="31"/>
    <x v="30"/>
  </r>
  <r>
    <x v="214"/>
    <n v="5128"/>
    <n v="4979"/>
    <n v="42.85"/>
    <n v="34.19"/>
    <n v="5027"/>
    <n v="41.11"/>
    <n v="33.35"/>
    <n v="4685"/>
    <n v="601.24"/>
    <n v="49.78"/>
    <n v="28.37"/>
    <n v="213.35014999999999"/>
    <n v="170.23200999999997"/>
    <n v="206.65996999999999"/>
    <n v="167.65045000000001"/>
    <n v="299.29727200000002"/>
    <n v="170.57178800000003"/>
    <n v="31"/>
    <x v="30"/>
  </r>
  <r>
    <x v="215"/>
    <m/>
    <m/>
    <m/>
    <m/>
    <n v="4699"/>
    <n v="40.840000000000003"/>
    <n v="33.46"/>
    <m/>
    <n v="553.71"/>
    <n v="51.24"/>
    <n v="26.28"/>
    <n v="0"/>
    <n v="0"/>
    <n v="191.90716"/>
    <n v="157.22854000000001"/>
    <n v="283.72100400000005"/>
    <n v="145.51498800000002"/>
    <n v="31"/>
    <x v="30"/>
  </r>
  <r>
    <x v="216"/>
    <m/>
    <m/>
    <m/>
    <m/>
    <m/>
    <m/>
    <m/>
    <m/>
    <m/>
    <m/>
    <m/>
    <n v="0"/>
    <n v="0"/>
    <n v="0"/>
    <n v="0"/>
    <n v="0"/>
    <n v="0"/>
    <n v="31"/>
    <x v="30"/>
  </r>
  <r>
    <x v="217"/>
    <n v="4670"/>
    <n v="4534"/>
    <n v="41.69"/>
    <n v="36.81"/>
    <m/>
    <m/>
    <m/>
    <n v="4534"/>
    <m/>
    <m/>
    <m/>
    <n v="189.02246"/>
    <n v="166.89654000000002"/>
    <n v="0"/>
    <n v="0"/>
    <n v="0"/>
    <n v="0"/>
    <n v="31"/>
    <x v="31"/>
  </r>
  <r>
    <x v="218"/>
    <n v="5222"/>
    <n v="5070"/>
    <n v="41.7"/>
    <n v="34.380000000000003"/>
    <n v="5023"/>
    <n v="40.06"/>
    <n v="33.79"/>
    <n v="4604"/>
    <n v="590.21"/>
    <n v="50.05"/>
    <n v="27.37"/>
    <n v="211.41900000000001"/>
    <n v="174.3066"/>
    <n v="201.22138000000001"/>
    <n v="169.72716999999997"/>
    <n v="295.400105"/>
    <n v="161.54047700000001"/>
    <n v="32"/>
    <x v="31"/>
  </r>
  <r>
    <x v="219"/>
    <n v="4519"/>
    <n v="4387"/>
    <n v="36.71"/>
    <n v="35.26"/>
    <n v="5026"/>
    <n v="37.6"/>
    <n v="33.76"/>
    <n v="3991"/>
    <n v="591.38"/>
    <n v="52.21"/>
    <n v="26.65"/>
    <n v="161.04676999999998"/>
    <n v="154.68562"/>
    <n v="188.9776"/>
    <n v="169.67775999999998"/>
    <n v="308.75949800000001"/>
    <n v="157.60276999999999"/>
    <n v="32"/>
    <x v="31"/>
  </r>
  <r>
    <x v="220"/>
    <n v="4879"/>
    <n v="4737"/>
    <n v="43.35"/>
    <n v="36.340000000000003"/>
    <n v="5022"/>
    <n v="39.68"/>
    <n v="34.08"/>
    <n v="3728"/>
    <n v="578.76"/>
    <n v="52.29"/>
    <n v="27.81"/>
    <n v="205.34895"/>
    <n v="172.14258000000001"/>
    <n v="199.27295999999998"/>
    <n v="171.14975999999999"/>
    <n v="302.63360399999999"/>
    <n v="160.95315600000001"/>
    <n v="32"/>
    <x v="31"/>
  </r>
  <r>
    <x v="221"/>
    <n v="4566"/>
    <n v="4433"/>
    <n v="44.21"/>
    <n v="35.369999999999997"/>
    <n v="5031"/>
    <n v="41"/>
    <n v="33.99"/>
    <n v="3161"/>
    <n v="602.29"/>
    <n v="51.88"/>
    <n v="26.24"/>
    <n v="195.98292999999998"/>
    <n v="156.79521"/>
    <n v="206.27099999999999"/>
    <n v="171.00369000000001"/>
    <n v="312.468052"/>
    <n v="158.04089599999998"/>
    <n v="32"/>
    <x v="31"/>
  </r>
  <r>
    <x v="222"/>
    <m/>
    <m/>
    <m/>
    <m/>
    <n v="3171"/>
    <n v="41.12"/>
    <n v="34.14"/>
    <m/>
    <n v="361.26"/>
    <n v="51.01"/>
    <n v="27.51"/>
    <n v="0"/>
    <n v="0"/>
    <n v="130.39151999999999"/>
    <n v="108.25794"/>
    <n v="184.27872599999998"/>
    <n v="99.382626000000002"/>
    <n v="32"/>
    <x v="31"/>
  </r>
  <r>
    <x v="223"/>
    <m/>
    <m/>
    <m/>
    <m/>
    <m/>
    <m/>
    <m/>
    <m/>
    <m/>
    <m/>
    <m/>
    <n v="0"/>
    <n v="0"/>
    <n v="0"/>
    <n v="0"/>
    <n v="0"/>
    <n v="0"/>
    <n v="32"/>
    <x v="31"/>
  </r>
  <r>
    <x v="224"/>
    <n v="5115"/>
    <n v="4966"/>
    <n v="41.7"/>
    <n v="37.24"/>
    <m/>
    <m/>
    <m/>
    <n v="4966"/>
    <m/>
    <m/>
    <m/>
    <n v="207.0822"/>
    <n v="184.93384"/>
    <n v="0"/>
    <n v="0"/>
    <n v="0"/>
    <n v="0"/>
    <n v="32"/>
    <x v="32"/>
  </r>
  <r>
    <x v="225"/>
    <n v="5306"/>
    <n v="5151"/>
    <n v="41.95"/>
    <n v="35.07"/>
    <n v="5027"/>
    <n v="39.880000000000003"/>
    <n v="34.5"/>
    <n v="5117"/>
    <n v="602.75"/>
    <n v="54.61"/>
    <n v="26.9"/>
    <n v="216.08445"/>
    <n v="180.64557000000002"/>
    <n v="200.47676000000001"/>
    <n v="173.4315"/>
    <n v="329.16177499999998"/>
    <n v="162.13974999999999"/>
    <n v="33"/>
    <x v="32"/>
  </r>
  <r>
    <x v="226"/>
    <n v="5144"/>
    <n v="4994"/>
    <n v="43.01"/>
    <n v="35.79"/>
    <n v="5026"/>
    <n v="40.380000000000003"/>
    <n v="34.21"/>
    <n v="5111"/>
    <n v="575.45000000000005"/>
    <n v="51.96"/>
    <n v="28.21"/>
    <n v="214.79194000000001"/>
    <n v="178.73526000000001"/>
    <n v="202.94988000000001"/>
    <n v="171.93946"/>
    <n v="299.00382000000002"/>
    <n v="162.33444500000002"/>
    <n v="33"/>
    <x v="32"/>
  </r>
  <r>
    <x v="227"/>
    <n v="5006"/>
    <n v="4860"/>
    <n v="41.61"/>
    <n v="34.14"/>
    <n v="5020"/>
    <n v="40.159999999999997"/>
    <n v="33.549999999999997"/>
    <n v="4971"/>
    <n v="577.34"/>
    <n v="52.53"/>
    <n v="27.45"/>
    <n v="202.22460000000001"/>
    <n v="165.9204"/>
    <n v="201.60319999999999"/>
    <n v="168.42099999999999"/>
    <n v="303.27670200000006"/>
    <n v="158.47982999999999"/>
    <n v="33"/>
    <x v="32"/>
  </r>
  <r>
    <x v="228"/>
    <n v="5145"/>
    <n v="4995"/>
    <n v="44.67"/>
    <n v="36.15"/>
    <n v="5018"/>
    <n v="41.16"/>
    <n v="34.26"/>
    <n v="4966"/>
    <n v="601.83000000000004"/>
    <n v="50.84"/>
    <n v="27.5"/>
    <n v="223.12664999999998"/>
    <n v="180.56925000000001"/>
    <n v="206.54087999999999"/>
    <n v="171.91667999999999"/>
    <n v="305.970372"/>
    <n v="165.50325000000001"/>
    <n v="33"/>
    <x v="32"/>
  </r>
  <r>
    <x v="229"/>
    <m/>
    <m/>
    <m/>
    <m/>
    <n v="4989"/>
    <n v="41.52"/>
    <n v="34.32"/>
    <m/>
    <n v="592.71"/>
    <n v="52.74"/>
    <n v="25.81"/>
    <n v="0"/>
    <n v="0"/>
    <n v="207.14328000000003"/>
    <n v="171.22248000000002"/>
    <n v="312.59525400000001"/>
    <n v="152.97845100000001"/>
    <n v="33"/>
    <x v="32"/>
  </r>
  <r>
    <x v="230"/>
    <m/>
    <m/>
    <m/>
    <m/>
    <m/>
    <m/>
    <m/>
    <m/>
    <m/>
    <m/>
    <m/>
    <n v="0"/>
    <n v="0"/>
    <n v="0"/>
    <n v="0"/>
    <n v="0"/>
    <n v="0"/>
    <n v="33"/>
    <x v="32"/>
  </r>
  <r>
    <x v="231"/>
    <n v="5067"/>
    <n v="4919"/>
    <n v="43.43"/>
    <n v="35.1"/>
    <m/>
    <m/>
    <m/>
    <n v="4919"/>
    <m/>
    <m/>
    <m/>
    <n v="213.63217"/>
    <n v="172.65690000000001"/>
    <n v="0"/>
    <n v="0"/>
    <n v="0"/>
    <n v="0"/>
    <n v="33"/>
    <x v="33"/>
  </r>
  <r>
    <x v="232"/>
    <n v="5509"/>
    <n v="5349"/>
    <n v="39.770000000000003"/>
    <n v="36.72"/>
    <n v="5028"/>
    <n v="39.409999999999997"/>
    <n v="34.299999999999997"/>
    <n v="5268"/>
    <n v="588.02"/>
    <n v="53.13"/>
    <n v="28.82"/>
    <n v="212.72973000000002"/>
    <n v="196.41528"/>
    <n v="198.15347999999997"/>
    <n v="172.46039999999999"/>
    <n v="312.41502600000001"/>
    <n v="169.46736399999998"/>
    <n v="34"/>
    <x v="33"/>
  </r>
  <r>
    <x v="233"/>
    <n v="5004"/>
    <n v="4858"/>
    <n v="44.39"/>
    <n v="35.770000000000003"/>
    <n v="5024"/>
    <n v="40.880000000000003"/>
    <n v="34.15"/>
    <n v="5126"/>
    <n v="601.29"/>
    <n v="52.24"/>
    <n v="26.8"/>
    <n v="215.64661999999998"/>
    <n v="173.77065999999999"/>
    <n v="205.38112000000004"/>
    <n v="171.56960000000001"/>
    <n v="314.11389600000001"/>
    <n v="161.14572000000001"/>
    <n v="34"/>
    <x v="33"/>
  </r>
  <r>
    <x v="234"/>
    <n v="4975"/>
    <n v="4830"/>
    <n v="44.48"/>
    <n v="34.549999999999997"/>
    <n v="5020"/>
    <n v="41.46"/>
    <n v="33.43"/>
    <n v="4956"/>
    <n v="579.88"/>
    <n v="49.6"/>
    <n v="27.69"/>
    <n v="214.83840000000001"/>
    <n v="166.87649999999999"/>
    <n v="208.12920000000003"/>
    <n v="167.8186"/>
    <n v="287.62047999999999"/>
    <n v="160.568772"/>
    <n v="34"/>
    <x v="33"/>
  </r>
  <r>
    <x v="235"/>
    <n v="4855"/>
    <n v="4714"/>
    <n v="40.61"/>
    <n v="35.520000000000003"/>
    <n v="5023"/>
    <n v="40.17"/>
    <n v="33.64"/>
    <n v="4670"/>
    <n v="582.54"/>
    <n v="51.11"/>
    <n v="26.27"/>
    <n v="191.43554"/>
    <n v="167.44128000000003"/>
    <n v="201.77391"/>
    <n v="168.97372000000001"/>
    <n v="297.73619400000001"/>
    <n v="153.03325799999999"/>
    <n v="34"/>
    <x v="33"/>
  </r>
  <r>
    <x v="236"/>
    <m/>
    <m/>
    <m/>
    <m/>
    <n v="4694"/>
    <n v="40.130000000000003"/>
    <n v="33.99"/>
    <m/>
    <n v="558.89"/>
    <n v="52.21"/>
    <n v="27.78"/>
    <n v="0"/>
    <n v="0"/>
    <n v="188.37021999999999"/>
    <n v="159.54906"/>
    <n v="291.796469"/>
    <n v="155.25964200000001"/>
    <n v="34"/>
    <x v="33"/>
  </r>
  <r>
    <x v="237"/>
    <m/>
    <m/>
    <m/>
    <m/>
    <m/>
    <m/>
    <m/>
    <m/>
    <m/>
    <m/>
    <m/>
    <n v="0"/>
    <n v="0"/>
    <n v="0"/>
    <n v="0"/>
    <n v="0"/>
    <n v="0"/>
    <n v="34"/>
    <x v="33"/>
  </r>
  <r>
    <x v="238"/>
    <n v="5396"/>
    <n v="5239"/>
    <n v="44.61"/>
    <n v="36.15"/>
    <m/>
    <m/>
    <m/>
    <n v="5239"/>
    <m/>
    <m/>
    <m/>
    <n v="233.71179000000001"/>
    <n v="189.38985"/>
    <n v="0"/>
    <n v="0"/>
    <n v="0"/>
    <n v="0"/>
    <n v="34"/>
    <x v="34"/>
  </r>
  <r>
    <x v="239"/>
    <n v="5075"/>
    <n v="4927"/>
    <n v="41.23"/>
    <n v="35.700000000000003"/>
    <n v="5020"/>
    <n v="40.85"/>
    <n v="34.39"/>
    <n v="5166"/>
    <n v="613.36"/>
    <n v="50.95"/>
    <n v="28.44"/>
    <n v="203.14021"/>
    <n v="175.89390000000003"/>
    <n v="205.06700000000001"/>
    <n v="172.6378"/>
    <n v="312.50692000000004"/>
    <n v="174.439584"/>
    <n v="35"/>
    <x v="34"/>
  </r>
  <r>
    <x v="240"/>
    <n v="4922"/>
    <n v="4779"/>
    <n v="43.54"/>
    <n v="36"/>
    <n v="5020"/>
    <n v="40.96"/>
    <n v="34.020000000000003"/>
    <n v="4945"/>
    <n v="603.79"/>
    <n v="50.28"/>
    <n v="26.17"/>
    <n v="208.07766000000001"/>
    <n v="172.04400000000001"/>
    <n v="205.61920000000001"/>
    <n v="170.78040000000001"/>
    <n v="303.58561200000003"/>
    <n v="158.011843"/>
    <n v="35"/>
    <x v="34"/>
  </r>
  <r>
    <x v="241"/>
    <n v="5069"/>
    <n v="4921"/>
    <n v="39.549999999999997"/>
    <n v="35.020000000000003"/>
    <n v="5024"/>
    <n v="39.82"/>
    <n v="33.78"/>
    <n v="4866"/>
    <n v="603.33000000000004"/>
    <n v="52.97"/>
    <n v="27.81"/>
    <n v="194.62554999999998"/>
    <n v="172.33342000000002"/>
    <n v="200.05568"/>
    <n v="169.71072000000001"/>
    <n v="319.58390100000003"/>
    <n v="167.78607299999999"/>
    <n v="35"/>
    <x v="34"/>
  </r>
  <r>
    <x v="242"/>
    <n v="4770"/>
    <n v="4631"/>
    <n v="41.03"/>
    <n v="36.130000000000003"/>
    <n v="5029"/>
    <n v="39.520000000000003"/>
    <n v="34.11"/>
    <n v="4497"/>
    <n v="586.52"/>
    <n v="51.03"/>
    <n v="26.58"/>
    <n v="190.00993"/>
    <n v="167.31802999999999"/>
    <n v="198.74608000000001"/>
    <n v="171.53918999999999"/>
    <n v="299.30115599999999"/>
    <n v="155.89701599999998"/>
    <n v="35"/>
    <x v="34"/>
  </r>
  <r>
    <x v="243"/>
    <m/>
    <m/>
    <m/>
    <m/>
    <n v="4517"/>
    <n v="39.5"/>
    <n v="34.07"/>
    <m/>
    <n v="553.16999999999996"/>
    <n v="50.15"/>
    <n v="27.64"/>
    <n v="0"/>
    <n v="0"/>
    <n v="178.42150000000001"/>
    <n v="153.89419000000001"/>
    <n v="277.41475499999996"/>
    <n v="152.896188"/>
    <n v="35"/>
    <x v="34"/>
  </r>
  <r>
    <x v="244"/>
    <m/>
    <m/>
    <m/>
    <m/>
    <m/>
    <m/>
    <m/>
    <m/>
    <m/>
    <m/>
    <m/>
    <n v="0"/>
    <n v="0"/>
    <n v="0"/>
    <n v="0"/>
    <n v="0"/>
    <n v="0"/>
    <n v="35"/>
    <x v="34"/>
  </r>
  <r>
    <x v="245"/>
    <n v="4990"/>
    <n v="4845"/>
    <n v="44.37"/>
    <n v="34.33"/>
    <m/>
    <m/>
    <m/>
    <n v="4845"/>
    <m/>
    <m/>
    <m/>
    <n v="214.97264999999999"/>
    <n v="166.32885000000002"/>
    <n v="0"/>
    <n v="0"/>
    <n v="0"/>
    <n v="0"/>
    <n v="35"/>
    <x v="35"/>
  </r>
  <r>
    <x v="246"/>
    <n v="4777"/>
    <n v="4638"/>
    <n v="41.22"/>
    <n v="35.270000000000003"/>
    <n v="5024"/>
    <n v="40.72"/>
    <n v="33.11"/>
    <n v="4483"/>
    <n v="594.52"/>
    <n v="52.82"/>
    <n v="27.49"/>
    <n v="191.17836"/>
    <n v="163.58226000000002"/>
    <n v="204.57728"/>
    <n v="166.34464"/>
    <n v="314.025464"/>
    <n v="163.433548"/>
    <n v="36"/>
    <x v="35"/>
  </r>
  <r>
    <x v="247"/>
    <n v="4922"/>
    <n v="4779"/>
    <n v="40.51"/>
    <n v="35.72"/>
    <n v="5028"/>
    <n v="39.979999999999997"/>
    <n v="33.81"/>
    <n v="4262"/>
    <n v="591.54"/>
    <n v="49.08"/>
    <n v="26.42"/>
    <n v="193.59728999999999"/>
    <n v="170.70588000000001"/>
    <n v="201.01943999999997"/>
    <n v="169.99668000000003"/>
    <n v="290.327832"/>
    <n v="156.28486800000002"/>
    <n v="36"/>
    <x v="35"/>
  </r>
  <r>
    <x v="248"/>
    <n v="4836"/>
    <n v="4695"/>
    <n v="43.39"/>
    <n v="36.44"/>
    <n v="5029"/>
    <n v="40.56"/>
    <n v="34.24"/>
    <n v="3957"/>
    <n v="576.29"/>
    <n v="51.96"/>
    <n v="26.33"/>
    <n v="203.71605"/>
    <n v="171.08579999999998"/>
    <n v="203.97624000000002"/>
    <n v="172.19296000000003"/>
    <n v="299.44028400000002"/>
    <n v="151.737157"/>
    <n v="36"/>
    <x v="35"/>
  </r>
  <r>
    <x v="249"/>
    <n v="4958"/>
    <n v="4814"/>
    <n v="42.64"/>
    <n v="35.619999999999997"/>
    <n v="5025"/>
    <n v="40.54"/>
    <n v="33.909999999999997"/>
    <n v="3771"/>
    <n v="619.42999999999995"/>
    <n v="53.44"/>
    <n v="28.59"/>
    <n v="205.26895999999999"/>
    <n v="171.47468000000001"/>
    <n v="203.71350000000001"/>
    <n v="170.39774999999997"/>
    <n v="331.02339199999994"/>
    <n v="177.09503699999996"/>
    <n v="36"/>
    <x v="35"/>
  </r>
  <r>
    <x v="250"/>
    <m/>
    <m/>
    <m/>
    <m/>
    <n v="3783"/>
    <n v="40.69"/>
    <n v="34.369999999999997"/>
    <m/>
    <n v="438.08"/>
    <n v="52.48"/>
    <n v="27.07"/>
    <n v="0"/>
    <n v="0"/>
    <n v="153.93026999999998"/>
    <n v="130.02170999999998"/>
    <n v="229.90438399999999"/>
    <n v="118.588256"/>
    <n v="36"/>
    <x v="35"/>
  </r>
  <r>
    <x v="251"/>
    <m/>
    <m/>
    <m/>
    <m/>
    <m/>
    <m/>
    <m/>
    <m/>
    <m/>
    <m/>
    <m/>
    <n v="0"/>
    <n v="0"/>
    <n v="0"/>
    <n v="0"/>
    <n v="0"/>
    <n v="0"/>
    <n v="36"/>
    <x v="35"/>
  </r>
  <r>
    <x v="252"/>
    <n v="4841"/>
    <n v="4700"/>
    <n v="43.25"/>
    <n v="37.409999999999997"/>
    <m/>
    <m/>
    <m/>
    <n v="4700"/>
    <m/>
    <m/>
    <m/>
    <n v="203.27500000000001"/>
    <n v="175.82699999999997"/>
    <n v="0"/>
    <n v="0"/>
    <n v="0"/>
    <n v="0"/>
    <n v="36"/>
    <x v="36"/>
  </r>
  <r>
    <x v="253"/>
    <n v="5353"/>
    <n v="5197"/>
    <n v="44.06"/>
    <n v="36.29"/>
    <n v="5024"/>
    <n v="41.63"/>
    <n v="35.340000000000003"/>
    <n v="4897"/>
    <n v="573.16999999999996"/>
    <n v="52.56"/>
    <n v="26.81"/>
    <n v="228.97982000000002"/>
    <n v="188.59913"/>
    <n v="209.14912000000001"/>
    <n v="177.54816"/>
    <n v="301.258152"/>
    <n v="153.666877"/>
    <n v="37"/>
    <x v="36"/>
  </r>
  <r>
    <x v="254"/>
    <n v="4874"/>
    <n v="4732"/>
    <n v="45.23"/>
    <n v="35.76"/>
    <n v="5029"/>
    <n v="42.16"/>
    <n v="34.56"/>
    <n v="4629"/>
    <n v="557.03"/>
    <n v="49.59"/>
    <n v="27.62"/>
    <n v="214.02835999999999"/>
    <n v="169.21631999999997"/>
    <n v="212.02264"/>
    <n v="173.80224000000001"/>
    <n v="276.231177"/>
    <n v="153.851686"/>
    <n v="37"/>
    <x v="36"/>
  </r>
  <r>
    <x v="255"/>
    <n v="4566"/>
    <n v="4433"/>
    <n v="40.880000000000003"/>
    <n v="37.25"/>
    <n v="5030"/>
    <n v="40.450000000000003"/>
    <n v="35.11"/>
    <n v="4062"/>
    <n v="588.51"/>
    <n v="52.59"/>
    <n v="28.02"/>
    <n v="181.22104000000002"/>
    <n v="165.12925000000001"/>
    <n v="203.46350000000001"/>
    <n v="176.60329999999999"/>
    <n v="309.497409"/>
    <n v="164.90050199999999"/>
    <n v="37"/>
    <x v="36"/>
  </r>
  <r>
    <x v="256"/>
    <n v="5711"/>
    <n v="5545"/>
    <n v="43.39"/>
    <n v="35.75"/>
    <n v="5024"/>
    <n v="41.01"/>
    <n v="34.369999999999997"/>
    <n v="4607"/>
    <n v="604.75"/>
    <n v="52.32"/>
    <n v="28.2"/>
    <n v="240.59755000000001"/>
    <n v="198.23374999999999"/>
    <n v="206.03423999999998"/>
    <n v="172.67487999999997"/>
    <n v="316.40519999999998"/>
    <n v="170.5395"/>
    <n v="37"/>
    <x v="36"/>
  </r>
  <r>
    <x v="257"/>
    <m/>
    <m/>
    <m/>
    <m/>
    <n v="4625"/>
    <n v="41.11"/>
    <n v="34.74"/>
    <m/>
    <n v="552.1"/>
    <n v="52.03"/>
    <n v="26.89"/>
    <n v="0"/>
    <n v="0"/>
    <n v="190.13374999999999"/>
    <n v="160.67250000000001"/>
    <n v="287.25763000000001"/>
    <n v="148.45969000000002"/>
    <n v="37"/>
    <x v="36"/>
  </r>
  <r>
    <x v="258"/>
    <m/>
    <m/>
    <m/>
    <m/>
    <m/>
    <m/>
    <m/>
    <m/>
    <m/>
    <m/>
    <m/>
    <n v="0"/>
    <n v="0"/>
    <n v="0"/>
    <n v="0"/>
    <n v="0"/>
    <n v="0"/>
    <n v="37"/>
    <x v="36"/>
  </r>
  <r>
    <x v="259"/>
    <n v="4964"/>
    <n v="4819"/>
    <n v="41.24"/>
    <n v="35.29"/>
    <m/>
    <m/>
    <m/>
    <n v="4819"/>
    <m/>
    <m/>
    <m/>
    <n v="198.73555999999999"/>
    <n v="170.06251"/>
    <n v="0"/>
    <n v="0"/>
    <n v="0"/>
    <n v="0"/>
    <n v="37"/>
    <x v="37"/>
  </r>
  <r>
    <x v="260"/>
    <n v="5736"/>
    <n v="5569"/>
    <n v="42.53"/>
    <n v="36.17"/>
    <n v="5024"/>
    <n v="39.94"/>
    <n v="34.35"/>
    <n v="5388"/>
    <n v="586.61"/>
    <n v="56.15"/>
    <n v="26.9"/>
    <n v="236.84957"/>
    <n v="201.43073000000001"/>
    <n v="200.65855999999999"/>
    <n v="172.5744"/>
    <n v="329.38151499999998"/>
    <n v="157.79809"/>
    <n v="38"/>
    <x v="37"/>
  </r>
  <r>
    <x v="261"/>
    <n v="5535"/>
    <n v="5374"/>
    <n v="42.6"/>
    <n v="33.909999999999997"/>
    <n v="5022"/>
    <n v="40.68"/>
    <n v="33.4"/>
    <n v="5762"/>
    <n v="587.41999999999996"/>
    <n v="53.15"/>
    <n v="25.5"/>
    <n v="228.9324"/>
    <n v="182.23233999999997"/>
    <n v="204.29496"/>
    <n v="167.73479999999998"/>
    <n v="312.21372999999994"/>
    <n v="149.7921"/>
    <n v="38"/>
    <x v="37"/>
  </r>
  <r>
    <x v="262"/>
    <n v="4766"/>
    <n v="4627"/>
    <n v="42.75"/>
    <n v="35.11"/>
    <n v="5022"/>
    <n v="40.64"/>
    <n v="33.67"/>
    <n v="5389"/>
    <n v="593.28"/>
    <n v="52.18"/>
    <n v="26.61"/>
    <n v="197.80425"/>
    <n v="162.45397"/>
    <n v="204.09408000000002"/>
    <n v="169.09074000000001"/>
    <n v="309.57350400000001"/>
    <n v="157.87180799999999"/>
    <n v="38"/>
    <x v="37"/>
  </r>
  <r>
    <x v="263"/>
    <n v="4895"/>
    <n v="4752"/>
    <n v="42.07"/>
    <n v="33.96"/>
    <n v="5026"/>
    <n v="40.44"/>
    <n v="32.94"/>
    <n v="5141"/>
    <n v="579.24"/>
    <n v="53.55"/>
    <n v="28.41"/>
    <n v="199.91664"/>
    <n v="161.37792000000002"/>
    <n v="203.25144"/>
    <n v="165.55644000000001"/>
    <n v="310.18302"/>
    <n v="164.562084"/>
    <n v="38"/>
    <x v="37"/>
  </r>
  <r>
    <x v="264"/>
    <m/>
    <m/>
    <m/>
    <m/>
    <n v="5163"/>
    <n v="39.97"/>
    <n v="32.89"/>
    <m/>
    <n v="589.58000000000004"/>
    <n v="55.85"/>
    <n v="28.23"/>
    <n v="0"/>
    <n v="0"/>
    <n v="206.36510999999999"/>
    <n v="169.81107"/>
    <n v="329.28043000000002"/>
    <n v="166.43843400000003"/>
    <n v="38"/>
    <x v="37"/>
  </r>
  <r>
    <x v="265"/>
    <m/>
    <m/>
    <m/>
    <m/>
    <m/>
    <m/>
    <m/>
    <m/>
    <m/>
    <m/>
    <m/>
    <n v="0"/>
    <n v="0"/>
    <n v="0"/>
    <n v="0"/>
    <n v="0"/>
    <n v="0"/>
    <n v="38"/>
    <x v="37"/>
  </r>
  <r>
    <x v="266"/>
    <n v="5659"/>
    <n v="5494"/>
    <n v="42.94"/>
    <n v="36.32"/>
    <m/>
    <m/>
    <m/>
    <n v="5494"/>
    <m/>
    <m/>
    <m/>
    <n v="235.91235999999998"/>
    <n v="199.54208"/>
    <n v="0"/>
    <n v="0"/>
    <n v="0"/>
    <n v="0"/>
    <n v="38"/>
    <x v="38"/>
  </r>
  <r>
    <x v="267"/>
    <n v="4985"/>
    <n v="4840"/>
    <n v="42.47"/>
    <n v="35.07"/>
    <n v="5027"/>
    <n v="41"/>
    <n v="33.74"/>
    <n v="5334"/>
    <n v="603.30999999999995"/>
    <n v="52.05"/>
    <n v="27.44"/>
    <n v="205.5548"/>
    <n v="169.7388"/>
    <n v="206.107"/>
    <n v="169.61098000000001"/>
    <n v="314.02285499999994"/>
    <n v="165.54826399999999"/>
    <n v="39"/>
    <x v="38"/>
  </r>
  <r>
    <x v="268"/>
    <n v="4842"/>
    <n v="4701"/>
    <n v="45.19"/>
    <n v="36.01"/>
    <n v="5017"/>
    <n v="42.07"/>
    <n v="34.54"/>
    <n v="5035"/>
    <n v="618.54"/>
    <n v="52.09"/>
    <n v="26.37"/>
    <n v="212.43818999999999"/>
    <n v="169.28300999999999"/>
    <n v="211.06519"/>
    <n v="173.28718000000001"/>
    <n v="322.19748599999997"/>
    <n v="163.10899799999999"/>
    <n v="39"/>
    <x v="38"/>
  </r>
  <r>
    <x v="269"/>
    <n v="5767"/>
    <n v="5599"/>
    <n v="43.12"/>
    <n v="34.86"/>
    <n v="5024"/>
    <n v="41.75"/>
    <n v="33.82"/>
    <n v="5634"/>
    <n v="578.82000000000005"/>
    <n v="52.08"/>
    <n v="26.9"/>
    <n v="241.42887999999996"/>
    <n v="195.18113999999997"/>
    <n v="209.75200000000001"/>
    <n v="169.91167999999999"/>
    <n v="301.44945600000005"/>
    <n v="155.70258000000001"/>
    <n v="39"/>
    <x v="38"/>
  </r>
  <r>
    <x v="270"/>
    <n v="5144"/>
    <n v="4994"/>
    <n v="41.91"/>
    <n v="35.29"/>
    <n v="5021"/>
    <n v="40.98"/>
    <n v="33.729999999999997"/>
    <n v="5628"/>
    <n v="605.9"/>
    <n v="51.8"/>
    <n v="27.08"/>
    <n v="209.29853999999997"/>
    <n v="176.23826"/>
    <n v="205.76057999999998"/>
    <n v="169.35833"/>
    <n v="313.85619999999994"/>
    <n v="164.07771999999997"/>
    <n v="39"/>
    <x v="38"/>
  </r>
  <r>
    <x v="271"/>
    <m/>
    <m/>
    <m/>
    <m/>
    <n v="5655"/>
    <n v="40.869999999999997"/>
    <n v="33.880000000000003"/>
    <m/>
    <n v="678.13"/>
    <n v="52.65"/>
    <n v="26.25"/>
    <n v="0"/>
    <n v="0"/>
    <n v="231.11984999999999"/>
    <n v="191.59140000000002"/>
    <n v="357.03544499999998"/>
    <n v="178.00912499999998"/>
    <n v="39"/>
    <x v="38"/>
  </r>
  <r>
    <x v="272"/>
    <m/>
    <m/>
    <m/>
    <m/>
    <m/>
    <m/>
    <m/>
    <m/>
    <m/>
    <m/>
    <m/>
    <n v="0"/>
    <n v="0"/>
    <n v="0"/>
    <n v="0"/>
    <n v="0"/>
    <n v="0"/>
    <n v="39"/>
    <x v="38"/>
  </r>
  <r>
    <x v="273"/>
    <n v="4877"/>
    <n v="4735"/>
    <n v="45.44"/>
    <n v="35.6"/>
    <m/>
    <m/>
    <m/>
    <n v="4735"/>
    <m/>
    <m/>
    <m/>
    <n v="215.1584"/>
    <n v="168.566"/>
    <n v="0"/>
    <n v="0"/>
    <n v="0"/>
    <n v="0"/>
    <n v="39"/>
    <x v="39"/>
  </r>
  <r>
    <x v="274"/>
    <n v="5306"/>
    <n v="5151"/>
    <n v="40.21"/>
    <n v="36.71"/>
    <n v="5021"/>
    <n v="41.12"/>
    <n v="34.6"/>
    <n v="4886"/>
    <n v="575.33000000000004"/>
    <n v="52.51"/>
    <n v="27.49"/>
    <n v="207.12170999999998"/>
    <n v="189.09321"/>
    <n v="206.46351999999999"/>
    <n v="173.72660000000002"/>
    <n v="302.10578300000003"/>
    <n v="158.15821700000001"/>
    <n v="40"/>
    <x v="39"/>
  </r>
  <r>
    <x v="275"/>
    <n v="5336"/>
    <n v="5181"/>
    <n v="43.79"/>
    <n v="34.17"/>
    <n v="5020"/>
    <n v="41.47"/>
    <n v="33.25"/>
    <n v="5067"/>
    <n v="558.53"/>
    <n v="53.26"/>
    <n v="26.72"/>
    <n v="226.87599"/>
    <n v="177.03477000000001"/>
    <n v="208.17939999999999"/>
    <n v="166.91499999999999"/>
    <n v="297.47307799999999"/>
    <n v="149.23921599999997"/>
    <n v="40"/>
    <x v="39"/>
  </r>
  <r>
    <x v="276"/>
    <n v="5034"/>
    <n v="4887"/>
    <n v="44.61"/>
    <n v="35.9"/>
    <n v="5018"/>
    <n v="42.04"/>
    <n v="33.68"/>
    <n v="4954"/>
    <n v="582.66999999999996"/>
    <n v="52.27"/>
    <n v="28.46"/>
    <n v="218.00907000000001"/>
    <n v="175.44329999999999"/>
    <n v="210.95671999999999"/>
    <n v="169.00623999999999"/>
    <n v="304.56160899999998"/>
    <n v="165.82788199999999"/>
    <n v="40"/>
    <x v="39"/>
  </r>
  <r>
    <x v="277"/>
    <n v="5417"/>
    <n v="5259"/>
    <n v="44.56"/>
    <n v="35.340000000000003"/>
    <n v="5024"/>
    <n v="41.92"/>
    <n v="34.01"/>
    <n v="5213"/>
    <n v="596.09"/>
    <n v="52.57"/>
    <n v="26.88"/>
    <n v="234.34104000000002"/>
    <n v="185.85306000000003"/>
    <n v="210.60608000000002"/>
    <n v="170.86624"/>
    <n v="313.36451299999999"/>
    <n v="160.22899200000001"/>
    <n v="40"/>
    <x v="39"/>
  </r>
  <r>
    <x v="278"/>
    <m/>
    <m/>
    <m/>
    <m/>
    <n v="5237"/>
    <n v="42.34"/>
    <n v="33.6"/>
    <m/>
    <n v="636.39"/>
    <n v="51.25"/>
    <n v="26.61"/>
    <n v="0"/>
    <n v="0"/>
    <n v="221.73458000000002"/>
    <n v="175.9632"/>
    <n v="326.14987500000001"/>
    <n v="169.343379"/>
    <n v="40"/>
    <x v="39"/>
  </r>
  <r>
    <x v="279"/>
    <m/>
    <m/>
    <m/>
    <m/>
    <m/>
    <m/>
    <m/>
    <m/>
    <m/>
    <m/>
    <m/>
    <n v="0"/>
    <n v="0"/>
    <n v="0"/>
    <n v="0"/>
    <n v="0"/>
    <n v="0"/>
    <n v="40"/>
    <x v="39"/>
  </r>
  <r>
    <x v="280"/>
    <n v="5092"/>
    <n v="4944"/>
    <n v="43.01"/>
    <n v="36.79"/>
    <m/>
    <m/>
    <m/>
    <n v="4944"/>
    <m/>
    <m/>
    <m/>
    <n v="212.64143999999999"/>
    <n v="181.88976"/>
    <n v="0"/>
    <n v="0"/>
    <n v="0"/>
    <n v="0"/>
    <n v="40"/>
    <x v="40"/>
  </r>
  <r>
    <x v="281"/>
    <n v="4971"/>
    <n v="4826"/>
    <n v="46.28"/>
    <n v="34.369999999999997"/>
    <n v="5027"/>
    <n v="42.64"/>
    <n v="33.96"/>
    <n v="4770"/>
    <n v="601.77"/>
    <n v="53.34"/>
    <n v="27.64"/>
    <n v="223.34728000000001"/>
    <n v="165.86962"/>
    <n v="214.35128"/>
    <n v="170.71692000000002"/>
    <n v="320.98411800000002"/>
    <n v="166.329228"/>
    <n v="41"/>
    <x v="40"/>
  </r>
  <r>
    <x v="282"/>
    <n v="5011"/>
    <n v="4865"/>
    <n v="41.53"/>
    <n v="34.520000000000003"/>
    <n v="5026"/>
    <n v="41.28"/>
    <n v="33.53"/>
    <n v="4635"/>
    <n v="596.29999999999995"/>
    <n v="52.07"/>
    <n v="24.55"/>
    <n v="202.04345000000001"/>
    <n v="167.93980000000002"/>
    <n v="207.47327999999999"/>
    <n v="168.52178000000001"/>
    <n v="310.49340999999998"/>
    <n v="146.39165"/>
    <n v="41"/>
    <x v="40"/>
  </r>
  <r>
    <x v="283"/>
    <n v="5169"/>
    <n v="5018"/>
    <n v="39.450000000000003"/>
    <n v="36.659999999999997"/>
    <n v="5017"/>
    <n v="39.479999999999997"/>
    <n v="34.200000000000003"/>
    <n v="4653"/>
    <n v="592.04"/>
    <n v="51.75"/>
    <n v="26.99"/>
    <n v="197.96010000000001"/>
    <n v="183.95987999999997"/>
    <n v="198.07115999999996"/>
    <n v="171.58140000000003"/>
    <n v="306.38069999999999"/>
    <n v="159.79159599999997"/>
    <n v="41"/>
    <x v="40"/>
  </r>
  <r>
    <x v="284"/>
    <n v="5480"/>
    <n v="5320"/>
    <n v="44.05"/>
    <n v="33.119999999999997"/>
    <n v="5026"/>
    <n v="40.58"/>
    <n v="32.76"/>
    <n v="4973"/>
    <n v="606.6"/>
    <n v="50.73"/>
    <n v="26.48"/>
    <n v="234.34599999999998"/>
    <n v="176.19839999999999"/>
    <n v="203.95507999999998"/>
    <n v="164.65175999999997"/>
    <n v="307.72818000000001"/>
    <n v="160.62768"/>
    <n v="41"/>
    <x v="40"/>
  </r>
  <r>
    <x v="285"/>
    <m/>
    <m/>
    <m/>
    <m/>
    <n v="4992"/>
    <n v="41.12"/>
    <n v="32.81"/>
    <m/>
    <n v="583.33000000000004"/>
    <n v="53.22"/>
    <n v="27.52"/>
    <n v="0"/>
    <n v="0"/>
    <n v="205.27103999999997"/>
    <n v="163.78752000000003"/>
    <n v="310.44822600000003"/>
    <n v="160.53241600000001"/>
    <n v="41"/>
    <x v="40"/>
  </r>
  <r>
    <x v="286"/>
    <m/>
    <m/>
    <m/>
    <m/>
    <m/>
    <m/>
    <m/>
    <m/>
    <m/>
    <m/>
    <m/>
    <n v="0"/>
    <n v="0"/>
    <n v="0"/>
    <n v="0"/>
    <n v="0"/>
    <n v="0"/>
    <n v="41"/>
    <x v="40"/>
  </r>
  <r>
    <x v="287"/>
    <n v="5034"/>
    <n v="4887"/>
    <n v="42.47"/>
    <n v="36.06"/>
    <m/>
    <m/>
    <m/>
    <n v="4887"/>
    <m/>
    <m/>
    <m/>
    <n v="207.55088999999998"/>
    <n v="176.22522000000001"/>
    <n v="0"/>
    <n v="0"/>
    <n v="0"/>
    <n v="0"/>
    <n v="41"/>
    <x v="41"/>
  </r>
  <r>
    <x v="288"/>
    <n v="5870"/>
    <n v="5699"/>
    <n v="43.28"/>
    <n v="37.08"/>
    <n v="5037"/>
    <n v="40.57"/>
    <n v="34.61"/>
    <n v="5586"/>
    <n v="574.71"/>
    <n v="53.78"/>
    <n v="27.46"/>
    <n v="246.65271999999999"/>
    <n v="211.31891999999999"/>
    <n v="204.35109"/>
    <n v="174.33056999999999"/>
    <n v="309.07903800000003"/>
    <n v="157.81536600000001"/>
    <n v="42"/>
    <x v="41"/>
  </r>
  <r>
    <x v="289"/>
    <n v="5124"/>
    <n v="4975"/>
    <n v="39.33"/>
    <n v="36.49"/>
    <n v="5024"/>
    <n v="39.5"/>
    <n v="35.14"/>
    <n v="5561"/>
    <n v="602.29"/>
    <n v="52"/>
    <n v="26.91"/>
    <n v="195.66675000000001"/>
    <n v="181.53774999999999"/>
    <n v="198.44800000000001"/>
    <n v="176.54336000000001"/>
    <n v="313.19079999999997"/>
    <n v="162.07623899999999"/>
    <n v="42"/>
    <x v="41"/>
  </r>
  <r>
    <x v="290"/>
    <n v="4905"/>
    <n v="4762"/>
    <n v="43.02"/>
    <n v="34.229999999999997"/>
    <n v="5028"/>
    <n v="40.26"/>
    <n v="34.020000000000003"/>
    <n v="5323"/>
    <n v="589.85"/>
    <n v="52.64"/>
    <n v="28.03"/>
    <n v="204.86124000000001"/>
    <n v="163.00325999999998"/>
    <n v="202.42728"/>
    <n v="171.05256000000003"/>
    <n v="310.49704000000003"/>
    <n v="165.33495500000001"/>
    <n v="42"/>
    <x v="41"/>
  </r>
  <r>
    <x v="291"/>
    <n v="5191"/>
    <n v="5040"/>
    <n v="41.63"/>
    <n v="37.42"/>
    <n v="5025"/>
    <n v="39.57"/>
    <n v="35.049999999999997"/>
    <n v="5363"/>
    <n v="595.24"/>
    <n v="53.96"/>
    <n v="28.67"/>
    <n v="209.8152"/>
    <n v="188.59680000000003"/>
    <n v="198.83924999999999"/>
    <n v="176.12625"/>
    <n v="321.19150400000001"/>
    <n v="170.65530799999999"/>
    <n v="42"/>
    <x v="41"/>
  </r>
  <r>
    <x v="292"/>
    <m/>
    <m/>
    <m/>
    <m/>
    <n v="5386"/>
    <n v="40.380000000000003"/>
    <n v="34.86"/>
    <m/>
    <n v="623.86"/>
    <n v="53.47"/>
    <n v="25.73"/>
    <n v="0"/>
    <n v="0"/>
    <n v="217.48668000000004"/>
    <n v="187.75595999999999"/>
    <n v="333.57794199999995"/>
    <n v="160.51917800000001"/>
    <n v="42"/>
    <x v="41"/>
  </r>
  <r>
    <x v="293"/>
    <m/>
    <m/>
    <m/>
    <m/>
    <m/>
    <m/>
    <m/>
    <m/>
    <m/>
    <m/>
    <m/>
    <n v="0"/>
    <n v="0"/>
    <n v="0"/>
    <n v="0"/>
    <n v="0"/>
    <n v="0"/>
    <n v="42"/>
    <x v="41"/>
  </r>
  <r>
    <x v="294"/>
    <n v="5390"/>
    <n v="5233"/>
    <n v="42.97"/>
    <n v="34.229999999999997"/>
    <m/>
    <m/>
    <m/>
    <n v="5233"/>
    <m/>
    <m/>
    <m/>
    <n v="224.86200999999997"/>
    <n v="179.12558999999999"/>
    <n v="0"/>
    <n v="0"/>
    <n v="0"/>
    <n v="0"/>
    <n v="42"/>
    <x v="42"/>
  </r>
  <r>
    <x v="295"/>
    <n v="4671"/>
    <n v="4535"/>
    <n v="44.72"/>
    <n v="35.659999999999997"/>
    <n v="5026"/>
    <n v="42.08"/>
    <n v="33.28"/>
    <n v="4768"/>
    <n v="589.05999999999995"/>
    <n v="54.56"/>
    <n v="27.41"/>
    <n v="202.80519999999999"/>
    <n v="161.71809999999996"/>
    <n v="211.49408"/>
    <n v="167.26527999999999"/>
    <n v="321.39113599999996"/>
    <n v="161.46134599999999"/>
    <n v="43"/>
    <x v="42"/>
  </r>
  <r>
    <x v="296"/>
    <n v="4885"/>
    <n v="4743"/>
    <n v="45.24"/>
    <n v="36.04"/>
    <n v="5025"/>
    <n v="42.71"/>
    <n v="33.97"/>
    <n v="4511"/>
    <n v="585.01"/>
    <n v="50.54"/>
    <n v="27.33"/>
    <n v="214.57332"/>
    <n v="170.93772000000001"/>
    <n v="214.61775"/>
    <n v="170.69925000000001"/>
    <n v="295.66405400000002"/>
    <n v="159.88323299999999"/>
    <n v="43"/>
    <x v="42"/>
  </r>
  <r>
    <x v="297"/>
    <n v="5542"/>
    <n v="5381"/>
    <n v="41.13"/>
    <n v="34.020000000000003"/>
    <n v="5032"/>
    <n v="40.65"/>
    <n v="33.36"/>
    <n v="4892"/>
    <n v="594.49"/>
    <n v="52.75"/>
    <n v="26.96"/>
    <n v="221.32053000000002"/>
    <n v="183.06162000000003"/>
    <n v="204.55079999999998"/>
    <n v="167.86751999999998"/>
    <n v="313.59347500000001"/>
    <n v="160.27450400000001"/>
    <n v="43"/>
    <x v="42"/>
  </r>
  <r>
    <x v="298"/>
    <n v="5078"/>
    <n v="4930"/>
    <n v="42"/>
    <n v="34.75"/>
    <n v="5018"/>
    <n v="40.590000000000003"/>
    <n v="33.270000000000003"/>
    <n v="4822"/>
    <n v="604.26"/>
    <n v="51.72"/>
    <n v="27.8"/>
    <n v="207.06"/>
    <n v="171.3175"/>
    <n v="203.68062000000003"/>
    <n v="166.94886000000002"/>
    <n v="312.52327200000002"/>
    <n v="167.98428000000001"/>
    <n v="43"/>
    <x v="42"/>
  </r>
  <r>
    <x v="299"/>
    <m/>
    <m/>
    <m/>
    <m/>
    <n v="4847"/>
    <n v="40.65"/>
    <n v="33.24"/>
    <m/>
    <n v="574.14"/>
    <n v="51.61"/>
    <n v="26.21"/>
    <n v="0"/>
    <n v="0"/>
    <n v="197.03054999999998"/>
    <n v="161.11428000000001"/>
    <n v="296.31365399999999"/>
    <n v="150.48209399999999"/>
    <n v="43"/>
    <x v="42"/>
  </r>
  <r>
    <x v="300"/>
    <m/>
    <m/>
    <m/>
    <m/>
    <m/>
    <m/>
    <m/>
    <m/>
    <m/>
    <m/>
    <m/>
    <n v="0"/>
    <n v="0"/>
    <n v="0"/>
    <n v="0"/>
    <n v="0"/>
    <n v="0"/>
    <n v="43"/>
    <x v="42"/>
  </r>
  <r>
    <x v="301"/>
    <n v="5422"/>
    <n v="5264"/>
    <n v="43.29"/>
    <n v="34.729999999999997"/>
    <m/>
    <m/>
    <m/>
    <n v="5264"/>
    <m/>
    <m/>
    <m/>
    <n v="227.87855999999999"/>
    <n v="182.81871999999998"/>
    <n v="0"/>
    <n v="0"/>
    <n v="0"/>
    <n v="0"/>
    <n v="43"/>
    <x v="43"/>
  </r>
  <r>
    <x v="302"/>
    <n v="4983"/>
    <n v="4838"/>
    <n v="41.68"/>
    <n v="34.630000000000003"/>
    <n v="5024"/>
    <n v="40.75"/>
    <n v="33.21"/>
    <n v="5102"/>
    <n v="587.21"/>
    <n v="48.68"/>
    <n v="27.18"/>
    <n v="201.64784"/>
    <n v="167.53994"/>
    <n v="204.72800000000001"/>
    <n v="166.84704000000002"/>
    <n v="285.85382800000002"/>
    <n v="159.603678"/>
    <n v="44"/>
    <x v="43"/>
  </r>
  <r>
    <x v="303"/>
    <n v="5238"/>
    <n v="5085"/>
    <n v="44.38"/>
    <n v="34.04"/>
    <n v="5022"/>
    <n v="41.39"/>
    <n v="32.44"/>
    <n v="5187"/>
    <n v="589.74"/>
    <n v="51.7"/>
    <n v="26.7"/>
    <n v="225.67230000000001"/>
    <n v="173.0934"/>
    <n v="207.86058000000003"/>
    <n v="162.91368"/>
    <n v="304.89558"/>
    <n v="157.46057999999999"/>
    <n v="44"/>
    <x v="43"/>
  </r>
  <r>
    <x v="304"/>
    <n v="5013"/>
    <n v="4867"/>
    <n v="43.1"/>
    <n v="36.36"/>
    <n v="5027"/>
    <n v="41.24"/>
    <n v="33.979999999999997"/>
    <n v="5054"/>
    <n v="597.32000000000005"/>
    <n v="54.15"/>
    <n v="25.85"/>
    <n v="209.76770000000002"/>
    <n v="176.96412000000001"/>
    <n v="207.31348"/>
    <n v="170.81745999999998"/>
    <n v="323.44878"/>
    <n v="154.40722000000002"/>
    <n v="44"/>
    <x v="43"/>
  </r>
  <r>
    <x v="305"/>
    <n v="5438"/>
    <n v="5280"/>
    <n v="44.04"/>
    <n v="34.04"/>
    <n v="5030"/>
    <n v="41.69"/>
    <n v="33.049999999999997"/>
    <n v="5334"/>
    <n v="587.30999999999995"/>
    <n v="53.46"/>
    <n v="27.63"/>
    <n v="232.53119999999998"/>
    <n v="179.73119999999997"/>
    <n v="209.70069999999998"/>
    <n v="166.2415"/>
    <n v="313.97592599999996"/>
    <n v="162.27375299999997"/>
    <n v="44"/>
    <x v="43"/>
  </r>
  <r>
    <x v="306"/>
    <m/>
    <m/>
    <m/>
    <m/>
    <n v="5367"/>
    <n v="41.82"/>
    <n v="33.33"/>
    <m/>
    <n v="646.20000000000005"/>
    <n v="49.88"/>
    <n v="26.05"/>
    <n v="0"/>
    <n v="0"/>
    <n v="224.44793999999999"/>
    <n v="178.88210999999998"/>
    <n v="322.32456000000008"/>
    <n v="168.33510000000001"/>
    <n v="44"/>
    <x v="43"/>
  </r>
  <r>
    <x v="307"/>
    <m/>
    <m/>
    <m/>
    <m/>
    <m/>
    <m/>
    <m/>
    <m/>
    <m/>
    <m/>
    <m/>
    <n v="0"/>
    <n v="0"/>
    <n v="0"/>
    <n v="0"/>
    <n v="0"/>
    <n v="0"/>
    <n v="44"/>
    <x v="43"/>
  </r>
  <r>
    <x v="308"/>
    <n v="5021"/>
    <n v="4875"/>
    <n v="43.9"/>
    <n v="33.83"/>
    <m/>
    <m/>
    <m/>
    <n v="4875"/>
    <m/>
    <m/>
    <m/>
    <n v="214.01249999999999"/>
    <n v="164.92124999999999"/>
    <n v="0"/>
    <n v="0"/>
    <n v="0"/>
    <n v="0"/>
    <n v="44"/>
    <x v="44"/>
  </r>
  <r>
    <x v="309"/>
    <n v="4887"/>
    <n v="4745"/>
    <n v="45.06"/>
    <n v="36.369999999999997"/>
    <n v="5026"/>
    <n v="42.17"/>
    <n v="33.840000000000003"/>
    <n v="4620"/>
    <n v="578.48"/>
    <n v="52.58"/>
    <n v="25.98"/>
    <n v="213.80970000000002"/>
    <n v="172.57565"/>
    <n v="211.94642000000002"/>
    <n v="170.07984000000002"/>
    <n v="304.164784"/>
    <n v="150.28910400000001"/>
    <n v="45"/>
    <x v="44"/>
  </r>
  <r>
    <x v="310"/>
    <n v="5038"/>
    <n v="4891"/>
    <n v="42.47"/>
    <n v="35.1"/>
    <n v="5027"/>
    <n v="41.36"/>
    <n v="33.19"/>
    <n v="4511"/>
    <n v="574.69000000000005"/>
    <n v="52.5"/>
    <n v="27.09"/>
    <n v="207.72076999999999"/>
    <n v="171.67410000000001"/>
    <n v="207.91672"/>
    <n v="166.84612999999999"/>
    <n v="301.71225000000004"/>
    <n v="155.68352100000001"/>
    <n v="45"/>
    <x v="44"/>
  </r>
  <r>
    <x v="311"/>
    <n v="5303"/>
    <n v="5149"/>
    <n v="40.619999999999997"/>
    <n v="34.76"/>
    <n v="5025"/>
    <n v="39.950000000000003"/>
    <n v="33.53"/>
    <n v="4660"/>
    <n v="579.13"/>
    <n v="52.81"/>
    <n v="24.84"/>
    <n v="209.15237999999997"/>
    <n v="178.97924"/>
    <n v="200.74875"/>
    <n v="168.48824999999999"/>
    <n v="305.83855299999999"/>
    <n v="143.85589200000001"/>
    <n v="45"/>
    <x v="44"/>
  </r>
  <r>
    <x v="312"/>
    <n v="5306"/>
    <n v="5151"/>
    <n v="39.92"/>
    <n v="35.29"/>
    <n v="5025"/>
    <n v="39.020000000000003"/>
    <n v="33.28"/>
    <n v="4811"/>
    <n v="609.04"/>
    <n v="51.99"/>
    <n v="27.36"/>
    <n v="205.62792000000002"/>
    <n v="181.77879000000001"/>
    <n v="196.07550000000003"/>
    <n v="167.232"/>
    <n v="316.63989600000002"/>
    <n v="166.63334399999999"/>
    <n v="45"/>
    <x v="44"/>
  </r>
  <r>
    <x v="313"/>
    <m/>
    <m/>
    <m/>
    <m/>
    <n v="4835"/>
    <n v="39.130000000000003"/>
    <n v="33.58"/>
    <m/>
    <n v="569.59"/>
    <n v="53.56"/>
    <n v="26.87"/>
    <n v="0"/>
    <n v="0"/>
    <n v="189.19355000000002"/>
    <n v="162.35929999999999"/>
    <n v="305.07240400000001"/>
    <n v="153.048833"/>
    <n v="45"/>
    <x v="44"/>
  </r>
  <r>
    <x v="314"/>
    <m/>
    <m/>
    <m/>
    <m/>
    <m/>
    <m/>
    <m/>
    <m/>
    <m/>
    <m/>
    <m/>
    <n v="0"/>
    <n v="0"/>
    <n v="0"/>
    <n v="0"/>
    <n v="0"/>
    <n v="0"/>
    <n v="45"/>
    <x v="44"/>
  </r>
  <r>
    <x v="315"/>
    <n v="5222"/>
    <n v="5070"/>
    <n v="41.32"/>
    <n v="34.380000000000003"/>
    <m/>
    <m/>
    <m/>
    <n v="5070"/>
    <m/>
    <m/>
    <m/>
    <n v="209.4924"/>
    <n v="174.3066"/>
    <n v="0"/>
    <n v="0"/>
    <n v="0"/>
    <n v="0"/>
    <n v="45"/>
    <x v="45"/>
  </r>
  <r>
    <x v="316"/>
    <n v="5775"/>
    <n v="5607"/>
    <n v="41.69"/>
    <n v="36.25"/>
    <n v="5027"/>
    <n v="39.51"/>
    <n v="33.67"/>
    <n v="5677"/>
    <n v="585.87"/>
    <n v="50.91"/>
    <n v="27.57"/>
    <n v="233.75582999999997"/>
    <n v="203.25375"/>
    <n v="198.61677"/>
    <n v="169.25908999999999"/>
    <n v="298.26641699999999"/>
    <n v="161.524359"/>
    <n v="46"/>
    <x v="45"/>
  </r>
  <r>
    <x v="317"/>
    <n v="5280"/>
    <n v="5126"/>
    <n v="40.54"/>
    <n v="35.75"/>
    <n v="5023"/>
    <n v="39.090000000000003"/>
    <n v="34.17"/>
    <n v="5803"/>
    <n v="610.33000000000004"/>
    <n v="52.76"/>
    <n v="26.1"/>
    <n v="207.80804000000001"/>
    <n v="183.25450000000001"/>
    <n v="196.34907000000001"/>
    <n v="171.63591"/>
    <n v="322.010108"/>
    <n v="159.29613000000001"/>
    <n v="46"/>
    <x v="45"/>
  </r>
  <r>
    <x v="318"/>
    <n v="5002"/>
    <n v="4856"/>
    <n v="41.28"/>
    <n v="33.99"/>
    <n v="5023"/>
    <n v="39.53"/>
    <n v="33.18"/>
    <n v="5659"/>
    <n v="583.13"/>
    <n v="53.64"/>
    <n v="26.29"/>
    <n v="200.45568"/>
    <n v="165.05544"/>
    <n v="198.55919"/>
    <n v="166.66314"/>
    <n v="312.790932"/>
    <n v="153.304877"/>
    <n v="46"/>
    <x v="45"/>
  </r>
  <r>
    <x v="319"/>
    <n v="4765"/>
    <n v="4626"/>
    <n v="42.54"/>
    <n v="35.18"/>
    <n v="5026"/>
    <n v="39.42"/>
    <n v="33.369999999999997"/>
    <n v="5285"/>
    <n v="580.09"/>
    <n v="50.18"/>
    <n v="28.33"/>
    <n v="196.79004"/>
    <n v="162.74268000000001"/>
    <n v="198.12492"/>
    <n v="167.71761999999998"/>
    <n v="291.08916199999999"/>
    <n v="164.33949700000002"/>
    <n v="46"/>
    <x v="45"/>
  </r>
  <r>
    <x v="320"/>
    <m/>
    <m/>
    <m/>
    <m/>
    <n v="5316"/>
    <n v="40.130000000000003"/>
    <n v="33.35"/>
    <m/>
    <n v="629.38"/>
    <n v="51.36"/>
    <n v="25.97"/>
    <n v="0"/>
    <n v="0"/>
    <n v="213.33108000000001"/>
    <n v="177.2886"/>
    <n v="323.24956800000001"/>
    <n v="163.449986"/>
    <n v="46"/>
    <x v="45"/>
  </r>
  <r>
    <x v="321"/>
    <m/>
    <m/>
    <m/>
    <m/>
    <m/>
    <m/>
    <m/>
    <m/>
    <m/>
    <m/>
    <m/>
    <n v="0"/>
    <n v="0"/>
    <n v="0"/>
    <n v="0"/>
    <n v="0"/>
    <n v="0"/>
    <n v="46"/>
    <x v="45"/>
  </r>
  <r>
    <x v="322"/>
    <n v="5366"/>
    <n v="5210"/>
    <n v="42.53"/>
    <n v="37.08"/>
    <m/>
    <m/>
    <m/>
    <n v="5210"/>
    <m/>
    <m/>
    <m/>
    <n v="221.58130000000003"/>
    <n v="193.18679999999998"/>
    <n v="0"/>
    <n v="0"/>
    <n v="0"/>
    <n v="0"/>
    <n v="46"/>
    <x v="46"/>
  </r>
  <r>
    <x v="323"/>
    <n v="4825"/>
    <n v="4684"/>
    <n v="45.05"/>
    <n v="37.1"/>
    <n v="5026"/>
    <n v="41.73"/>
    <n v="35.74"/>
    <n v="4894"/>
    <n v="593.80999999999995"/>
    <n v="50.87"/>
    <n v="27.29"/>
    <n v="211.01419999999999"/>
    <n v="173.7764"/>
    <n v="209.73497999999998"/>
    <n v="179.62924000000001"/>
    <n v="302.07114699999994"/>
    <n v="162.05074899999997"/>
    <n v="47"/>
    <x v="46"/>
  </r>
  <r>
    <x v="324"/>
    <n v="5172"/>
    <n v="5021"/>
    <n v="41.05"/>
    <n v="36.86"/>
    <n v="5026"/>
    <n v="40.35"/>
    <n v="35.229999999999997"/>
    <n v="4915"/>
    <n v="610.69000000000005"/>
    <n v="49.14"/>
    <n v="25.62"/>
    <n v="206.11204999999998"/>
    <n v="185.07406"/>
    <n v="202.79910000000001"/>
    <n v="177.06597999999997"/>
    <n v="300.09306600000002"/>
    <n v="156.45877800000002"/>
    <n v="47"/>
    <x v="46"/>
  </r>
  <r>
    <x v="325"/>
    <n v="5413"/>
    <n v="5255"/>
    <n v="42.96"/>
    <n v="35.74"/>
    <n v="5028"/>
    <n v="40.33"/>
    <n v="34.54"/>
    <n v="5170"/>
    <n v="572.02"/>
    <n v="50.34"/>
    <n v="26.63"/>
    <n v="225.75480000000002"/>
    <n v="187.81370000000001"/>
    <n v="202.77923999999999"/>
    <n v="173.66711999999998"/>
    <n v="287.95486800000003"/>
    <n v="152.328926"/>
    <n v="47"/>
    <x v="46"/>
  </r>
  <r>
    <x v="326"/>
    <n v="5272"/>
    <n v="5118"/>
    <n v="40.659999999999997"/>
    <n v="36.450000000000003"/>
    <n v="5020"/>
    <n v="39.729999999999997"/>
    <n v="34.64"/>
    <n v="5288"/>
    <n v="563"/>
    <n v="52.49"/>
    <n v="27.6"/>
    <n v="208.09787999999998"/>
    <n v="186.55110000000002"/>
    <n v="199.44459999999998"/>
    <n v="173.89279999999999"/>
    <n v="295.51870000000002"/>
    <n v="155.38800000000001"/>
    <n v="47"/>
    <x v="46"/>
  </r>
  <r>
    <x v="327"/>
    <m/>
    <m/>
    <m/>
    <m/>
    <n v="5315"/>
    <n v="40.36"/>
    <n v="35.06"/>
    <m/>
    <n v="588.96"/>
    <n v="51.23"/>
    <n v="26.98"/>
    <n v="0"/>
    <n v="0"/>
    <n v="214.51339999999999"/>
    <n v="186.34390000000002"/>
    <n v="301.72420799999998"/>
    <n v="158.901408"/>
    <n v="47"/>
    <x v="46"/>
  </r>
  <r>
    <x v="328"/>
    <m/>
    <m/>
    <m/>
    <m/>
    <m/>
    <m/>
    <m/>
    <m/>
    <m/>
    <m/>
    <m/>
    <n v="0"/>
    <n v="0"/>
    <n v="0"/>
    <n v="0"/>
    <n v="0"/>
    <n v="0"/>
    <n v="47"/>
    <x v="46"/>
  </r>
  <r>
    <x v="329"/>
    <n v="5131"/>
    <n v="4982"/>
    <n v="42.01"/>
    <n v="35.840000000000003"/>
    <m/>
    <m/>
    <m/>
    <n v="4982"/>
    <m/>
    <m/>
    <m/>
    <n v="209.29381999999998"/>
    <n v="178.55488"/>
    <n v="0"/>
    <n v="0"/>
    <n v="0"/>
    <n v="0"/>
    <n v="47"/>
    <x v="47"/>
  </r>
  <r>
    <x v="330"/>
    <n v="5047"/>
    <n v="4900"/>
    <n v="42.75"/>
    <n v="34.26"/>
    <n v="5028"/>
    <n v="40.68"/>
    <n v="33.46"/>
    <n v="4882"/>
    <n v="597.65"/>
    <n v="51.85"/>
    <n v="27.82"/>
    <n v="209.47499999999999"/>
    <n v="167.874"/>
    <n v="204.53904"/>
    <n v="168.23688000000001"/>
    <n v="309.88152500000001"/>
    <n v="166.26623000000001"/>
    <n v="48"/>
    <x v="47"/>
  </r>
  <r>
    <x v="331"/>
    <n v="4766"/>
    <n v="4627"/>
    <n v="40.47"/>
    <n v="35.049999999999997"/>
    <n v="5021"/>
    <n v="39.43"/>
    <n v="33.67"/>
    <n v="4509"/>
    <n v="583.95000000000005"/>
    <n v="53.05"/>
    <n v="28.12"/>
    <n v="187.25469000000001"/>
    <n v="162.17634999999999"/>
    <n v="197.97802999999999"/>
    <n v="169.05707000000001"/>
    <n v="309.78547500000002"/>
    <n v="164.20674000000002"/>
    <n v="48"/>
    <x v="47"/>
  </r>
  <r>
    <x v="332"/>
    <n v="5274"/>
    <n v="5120"/>
    <n v="42.8"/>
    <n v="36.68"/>
    <n v="5019"/>
    <n v="40.1"/>
    <n v="34.4"/>
    <n v="4629"/>
    <n v="604.77"/>
    <n v="50.8"/>
    <n v="27.29"/>
    <n v="219.136"/>
    <n v="187.80160000000001"/>
    <n v="201.2619"/>
    <n v="172.65360000000001"/>
    <n v="307.22316000000001"/>
    <n v="165.04173299999999"/>
    <n v="48"/>
    <x v="47"/>
  </r>
  <r>
    <x v="333"/>
    <n v="4665"/>
    <n v="4529"/>
    <n v="43.15"/>
    <n v="36.049999999999997"/>
    <n v="5008"/>
    <n v="41.12"/>
    <n v="34.53"/>
    <n v="4158"/>
    <n v="592.05999999999995"/>
    <n v="50.85"/>
    <n v="27.17"/>
    <n v="195.42635000000001"/>
    <n v="163.27044999999998"/>
    <n v="205.92895999999999"/>
    <n v="172.92624000000001"/>
    <n v="301.06250999999997"/>
    <n v="160.86270199999998"/>
    <n v="48"/>
    <x v="47"/>
  </r>
  <r>
    <x v="334"/>
    <m/>
    <m/>
    <m/>
    <m/>
    <n v="4178"/>
    <n v="40.86"/>
    <n v="34.04"/>
    <m/>
    <n v="494.9"/>
    <n v="51.11"/>
    <n v="26.86"/>
    <n v="0"/>
    <n v="0"/>
    <n v="170.71307999999999"/>
    <n v="142.21912"/>
    <n v="252.94338999999999"/>
    <n v="132.93013999999999"/>
    <n v="48"/>
    <x v="47"/>
  </r>
  <r>
    <x v="335"/>
    <m/>
    <m/>
    <m/>
    <m/>
    <m/>
    <m/>
    <m/>
    <m/>
    <m/>
    <m/>
    <m/>
    <n v="0"/>
    <n v="0"/>
    <n v="0"/>
    <n v="0"/>
    <n v="0"/>
    <n v="0"/>
    <n v="48"/>
    <x v="47"/>
  </r>
  <r>
    <x v="336"/>
    <n v="5066"/>
    <n v="4918"/>
    <n v="41.97"/>
    <n v="37.53"/>
    <m/>
    <m/>
    <m/>
    <n v="4918"/>
    <m/>
    <m/>
    <m/>
    <n v="206.40845999999999"/>
    <n v="184.57254"/>
    <n v="0"/>
    <n v="0"/>
    <n v="0"/>
    <n v="0"/>
    <n v="48"/>
    <x v="48"/>
  </r>
  <r>
    <x v="337"/>
    <n v="5014"/>
    <n v="4868"/>
    <n v="43.46"/>
    <n v="34.97"/>
    <n v="5023"/>
    <n v="40.590000000000003"/>
    <n v="34.82"/>
    <n v="4786"/>
    <n v="569.20000000000005"/>
    <n v="51.84"/>
    <n v="26.33"/>
    <n v="211.56327999999999"/>
    <n v="170.23396"/>
    <n v="203.88357000000002"/>
    <n v="174.90086000000002"/>
    <n v="295.07328000000007"/>
    <n v="149.87036000000001"/>
    <n v="49"/>
    <x v="48"/>
  </r>
  <r>
    <x v="338"/>
    <n v="5365"/>
    <n v="5209"/>
    <n v="43.16"/>
    <n v="35.03"/>
    <n v="5034"/>
    <n v="41.15"/>
    <n v="34.200000000000003"/>
    <n v="4995"/>
    <n v="567.75"/>
    <n v="52.39"/>
    <n v="26.82"/>
    <n v="224.82043999999996"/>
    <n v="182.47127000000003"/>
    <n v="207.1491"/>
    <n v="172.1628"/>
    <n v="297.44422500000002"/>
    <n v="152.27055000000001"/>
    <n v="49"/>
    <x v="48"/>
  </r>
  <r>
    <x v="339"/>
    <n v="5635"/>
    <n v="5471"/>
    <n v="43.21"/>
    <n v="35.520000000000003"/>
    <n v="5030"/>
    <n v="41.23"/>
    <n v="33.86"/>
    <n v="5466"/>
    <n v="580.97"/>
    <n v="50.1"/>
    <n v="27.37"/>
    <n v="236.40191000000002"/>
    <n v="194.32992000000002"/>
    <n v="207.3869"/>
    <n v="170.3158"/>
    <n v="291.06596999999999"/>
    <n v="159.01148900000001"/>
    <n v="49"/>
    <x v="48"/>
  </r>
  <r>
    <x v="340"/>
    <n v="4784"/>
    <n v="4645"/>
    <n v="41.96"/>
    <n v="35.979999999999997"/>
    <n v="5026"/>
    <n v="40.47"/>
    <n v="34.229999999999997"/>
    <n v="5111"/>
    <n v="590.53"/>
    <n v="51.94"/>
    <n v="27.45"/>
    <n v="194.9042"/>
    <n v="167.12709999999998"/>
    <n v="203.40222"/>
    <n v="172.03997999999999"/>
    <n v="306.72128199999997"/>
    <n v="162.10048499999999"/>
    <n v="49"/>
    <x v="48"/>
  </r>
  <r>
    <x v="341"/>
    <m/>
    <m/>
    <m/>
    <m/>
    <n v="5137"/>
    <n v="40.71"/>
    <n v="34.06"/>
    <m/>
    <n v="610.17999999999995"/>
    <n v="52.33"/>
    <n v="25.28"/>
    <n v="0"/>
    <n v="0"/>
    <n v="209.12727000000001"/>
    <n v="174.96621999999999"/>
    <n v="319.30719399999998"/>
    <n v="154.25350399999999"/>
    <n v="49"/>
    <x v="48"/>
  </r>
  <r>
    <x v="342"/>
    <m/>
    <m/>
    <m/>
    <m/>
    <m/>
    <m/>
    <m/>
    <m/>
    <m/>
    <m/>
    <m/>
    <n v="0"/>
    <n v="0"/>
    <n v="0"/>
    <n v="0"/>
    <n v="0"/>
    <n v="0"/>
    <n v="49"/>
    <x v="48"/>
  </r>
  <r>
    <x v="343"/>
    <n v="4807"/>
    <n v="4667"/>
    <n v="42.55"/>
    <n v="34.799999999999997"/>
    <m/>
    <m/>
    <m/>
    <n v="4667"/>
    <m/>
    <m/>
    <m/>
    <n v="198.58084999999997"/>
    <n v="162.41159999999996"/>
    <n v="0"/>
    <n v="0"/>
    <n v="0"/>
    <n v="0"/>
    <n v="49"/>
    <x v="49"/>
  </r>
  <r>
    <x v="344"/>
    <n v="5008"/>
    <n v="4862"/>
    <n v="41.3"/>
    <n v="36.93"/>
    <n v="5032"/>
    <n v="40.4"/>
    <n v="33.979999999999997"/>
    <n v="4529"/>
    <n v="586.5"/>
    <n v="52.38"/>
    <n v="27.48"/>
    <n v="200.80059999999997"/>
    <n v="179.55366000000001"/>
    <n v="203.2928"/>
    <n v="170.98736"/>
    <n v="307.20870000000002"/>
    <n v="161.17019999999999"/>
    <n v="50"/>
    <x v="49"/>
  </r>
  <r>
    <x v="345"/>
    <n v="4672"/>
    <n v="4536"/>
    <n v="42.39"/>
    <n v="34.85"/>
    <n v="5026"/>
    <n v="40.049999999999997"/>
    <n v="33.630000000000003"/>
    <n v="4065"/>
    <n v="602.6"/>
    <n v="52.01"/>
    <n v="25.7"/>
    <n v="192.28104000000002"/>
    <n v="158.0796"/>
    <n v="201.29129999999998"/>
    <n v="169.02438000000001"/>
    <n v="313.41226"/>
    <n v="154.8682"/>
    <n v="50"/>
    <x v="49"/>
  </r>
  <r>
    <x v="346"/>
    <n v="5765"/>
    <n v="5597"/>
    <n v="42"/>
    <n v="35.020000000000003"/>
    <n v="5030"/>
    <n v="39.89"/>
    <n v="33.520000000000003"/>
    <n v="4662"/>
    <n v="605.35"/>
    <n v="52.29"/>
    <n v="27.33"/>
    <n v="235.07400000000001"/>
    <n v="196.00694000000004"/>
    <n v="200.64670000000001"/>
    <n v="168.60560000000001"/>
    <n v="316.53751500000004"/>
    <n v="165.44215499999999"/>
    <n v="50"/>
    <x v="49"/>
  </r>
  <r>
    <x v="347"/>
    <n v="5312"/>
    <n v="5157"/>
    <n v="43.9"/>
    <n v="37.64"/>
    <n v="5023"/>
    <n v="41.22"/>
    <n v="34.79"/>
    <n v="4819"/>
    <n v="608.62"/>
    <n v="52.8"/>
    <n v="28.4"/>
    <n v="226.39229999999998"/>
    <n v="194.10948000000002"/>
    <n v="207.04805999999999"/>
    <n v="174.75017"/>
    <n v="321.35136"/>
    <n v="172.84808000000001"/>
    <n v="50"/>
    <x v="49"/>
  </r>
  <r>
    <x v="348"/>
    <m/>
    <m/>
    <m/>
    <m/>
    <n v="4837"/>
    <n v="41.05"/>
    <n v="34.93"/>
    <m/>
    <n v="565.12"/>
    <n v="52.55"/>
    <n v="26.98"/>
    <n v="0"/>
    <n v="0"/>
    <n v="198.55884999999998"/>
    <n v="168.95641000000001"/>
    <n v="296.97055999999998"/>
    <n v="152.46937600000001"/>
    <n v="50"/>
    <x v="49"/>
  </r>
  <r>
    <x v="349"/>
    <m/>
    <m/>
    <m/>
    <m/>
    <m/>
    <m/>
    <m/>
    <m/>
    <m/>
    <m/>
    <m/>
    <n v="0"/>
    <n v="0"/>
    <n v="0"/>
    <n v="0"/>
    <n v="0"/>
    <n v="0"/>
    <n v="50"/>
    <x v="49"/>
  </r>
  <r>
    <x v="350"/>
    <n v="5658"/>
    <n v="5493"/>
    <n v="40.909999999999997"/>
    <n v="35.840000000000003"/>
    <m/>
    <m/>
    <m/>
    <n v="5493"/>
    <m/>
    <m/>
    <m/>
    <n v="224.71862999999996"/>
    <n v="196.86912000000004"/>
    <n v="0"/>
    <n v="0"/>
    <n v="0"/>
    <n v="0"/>
    <n v="50"/>
    <x v="50"/>
  </r>
  <r>
    <x v="351"/>
    <n v="5410"/>
    <n v="5252"/>
    <n v="42.84"/>
    <n v="34.619999999999997"/>
    <n v="5027"/>
    <n v="40.200000000000003"/>
    <n v="33.72"/>
    <n v="5745"/>
    <n v="581.21"/>
    <n v="51.63"/>
    <n v="27.14"/>
    <n v="224.99568000000002"/>
    <n v="181.82424"/>
    <n v="202.08540000000002"/>
    <n v="169.51043999999999"/>
    <n v="300.07872300000002"/>
    <n v="157.74039400000001"/>
    <n v="51"/>
    <x v="50"/>
  </r>
  <r>
    <x v="352"/>
    <n v="5671"/>
    <n v="5506"/>
    <n v="42.69"/>
    <n v="37.880000000000003"/>
    <n v="5034"/>
    <n v="40.07"/>
    <n v="35.06"/>
    <n v="6251"/>
    <n v="586.11"/>
    <n v="55.17"/>
    <n v="28.36"/>
    <n v="235.05113999999998"/>
    <n v="208.56728000000004"/>
    <n v="201.71238"/>
    <n v="176.49204"/>
    <n v="323.35688700000003"/>
    <n v="166.22079600000001"/>
    <n v="51"/>
    <x v="50"/>
  </r>
  <r>
    <x v="353"/>
    <n v="5353"/>
    <n v="5197"/>
    <n v="39.47"/>
    <n v="37.270000000000003"/>
    <n v="5029"/>
    <n v="39.07"/>
    <n v="35.119999999999997"/>
    <n v="6448"/>
    <n v="602.30999999999995"/>
    <n v="52.85"/>
    <n v="27.25"/>
    <n v="205.12558999999999"/>
    <n v="193.69219000000001"/>
    <n v="196.48302999999999"/>
    <n v="176.61847999999998"/>
    <n v="318.32083499999999"/>
    <n v="164.12947499999999"/>
    <n v="51"/>
    <x v="50"/>
  </r>
  <r>
    <x v="354"/>
    <n v="5890"/>
    <n v="5718"/>
    <n v="43.13"/>
    <n v="34.35"/>
    <n v="5030"/>
    <n v="40.270000000000003"/>
    <n v="33.99"/>
    <n v="7166"/>
    <n v="589.73"/>
    <n v="52.64"/>
    <n v="28.52"/>
    <n v="246.61734000000001"/>
    <n v="196.41330000000002"/>
    <n v="202.5581"/>
    <n v="170.96970000000002"/>
    <n v="310.43387200000001"/>
    <n v="168.19099600000001"/>
    <n v="51"/>
    <x v="50"/>
  </r>
  <r>
    <x v="355"/>
    <m/>
    <m/>
    <m/>
    <m/>
    <n v="7194"/>
    <n v="40.4"/>
    <n v="34.08"/>
    <m/>
    <n v="823.64"/>
    <n v="51.89"/>
    <n v="27.4"/>
    <n v="0"/>
    <n v="0"/>
    <n v="290.63759999999996"/>
    <n v="245.17151999999999"/>
    <n v="427.386796"/>
    <n v="225.67735999999996"/>
    <n v="51"/>
    <x v="50"/>
  </r>
  <r>
    <x v="356"/>
    <m/>
    <m/>
    <m/>
    <m/>
    <m/>
    <m/>
    <m/>
    <m/>
    <m/>
    <m/>
    <m/>
    <n v="0"/>
    <n v="0"/>
    <n v="0"/>
    <n v="0"/>
    <n v="0"/>
    <n v="0"/>
    <n v="51"/>
    <x v="50"/>
  </r>
  <r>
    <x v="357"/>
    <n v="5032"/>
    <n v="4885"/>
    <n v="40.97"/>
    <n v="36.9"/>
    <m/>
    <m/>
    <m/>
    <n v="4885"/>
    <m/>
    <m/>
    <m/>
    <n v="200.13844999999998"/>
    <n v="180.25649999999999"/>
    <n v="0"/>
    <n v="0"/>
    <n v="0"/>
    <n v="0"/>
    <n v="51"/>
    <x v="51"/>
  </r>
  <r>
    <x v="358"/>
    <n v="5460"/>
    <n v="5301"/>
    <n v="42.83"/>
    <n v="33.54"/>
    <n v="5033"/>
    <n v="40.18"/>
    <n v="33.770000000000003"/>
    <n v="5186"/>
    <n v="571.41999999999996"/>
    <n v="52.73"/>
    <n v="27.21"/>
    <n v="227.04182999999998"/>
    <n v="177.79554000000002"/>
    <n v="202.22594000000001"/>
    <n v="169.96441000000002"/>
    <n v="301.30976599999997"/>
    <n v="155.48338200000001"/>
    <n v="52"/>
    <x v="51"/>
  </r>
  <r>
    <x v="359"/>
    <n v="4739"/>
    <n v="4601"/>
    <n v="40.799999999999997"/>
    <n v="34.869999999999997"/>
    <n v="5023"/>
    <n v="39.72"/>
    <n v="33.71"/>
    <n v="4787"/>
    <n v="580.16999999999996"/>
    <n v="49.92"/>
    <n v="25.3"/>
    <n v="187.7208"/>
    <n v="160.43687"/>
    <n v="199.51355999999998"/>
    <n v="169.32533000000001"/>
    <n v="289.62086399999998"/>
    <n v="146.78300999999999"/>
    <n v="52"/>
    <x v="51"/>
  </r>
  <r>
    <x v="360"/>
    <n v="4819"/>
    <n v="4679"/>
    <n v="41.6"/>
    <n v="37.229999999999997"/>
    <n v="5025"/>
    <n v="39.9"/>
    <n v="34.49"/>
    <n v="4466"/>
    <n v="602.63"/>
    <n v="51.61"/>
    <n v="28.36"/>
    <n v="194.6464"/>
    <n v="174.19916999999998"/>
    <n v="200.4975"/>
    <n v="173.31225000000001"/>
    <n v="311.01734299999998"/>
    <n v="170.905868"/>
    <n v="52"/>
    <x v="51"/>
  </r>
  <r>
    <x v="361"/>
    <n v="5183"/>
    <n v="5032"/>
    <n v="44.31"/>
    <n v="35.61"/>
    <n v="5022"/>
    <n v="41.02"/>
    <n v="34.159999999999997"/>
    <n v="4498"/>
    <n v="588.73"/>
    <n v="50.77"/>
    <n v="27.24"/>
    <n v="222.96792000000002"/>
    <n v="179.18951999999999"/>
    <n v="206.00244000000001"/>
    <n v="171.55151999999998"/>
    <n v="298.89822100000004"/>
    <n v="160.37005199999999"/>
    <n v="52"/>
    <x v="51"/>
  </r>
  <r>
    <x v="362"/>
    <m/>
    <m/>
    <m/>
    <m/>
    <n v="4520"/>
    <n v="41.33"/>
    <n v="34.08"/>
    <m/>
    <n v="531.63"/>
    <n v="52.42"/>
    <n v="27.27"/>
    <n v="0"/>
    <n v="0"/>
    <n v="186.8116"/>
    <n v="154.04160000000002"/>
    <n v="278.68044600000002"/>
    <n v="144.97550100000001"/>
    <n v="52"/>
    <x v="51"/>
  </r>
  <r>
    <x v="363"/>
    <m/>
    <m/>
    <m/>
    <m/>
    <m/>
    <m/>
    <m/>
    <m/>
    <m/>
    <m/>
    <m/>
    <n v="0"/>
    <n v="0"/>
    <n v="0"/>
    <n v="0"/>
    <n v="0"/>
    <n v="0"/>
    <n v="52"/>
    <x v="5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F4566A-639C-45E8-B56D-71F07FA00779}" name="TablaDinámica1" cacheId="6" applyNumberFormats="0" applyBorderFormats="0" applyFontFormats="0" applyPatternFormats="0" applyAlignmentFormats="0" applyWidthHeightFormats="1" dataCaption="Valores" showError="1" updatedVersion="8" minRefreshableVersion="3" itemPrintTitles="1" createdVersion="8" indent="0" outline="1" outlineData="1" multipleFieldFilters="0" chartFormat="8" rowHeaderCaption="Mes">
  <location ref="A3:J19" firstHeaderRow="0" firstDataRow="1" firstDataCol="1"/>
  <pivotFields count="34">
    <pivotField numFmtId="14" showAll="0">
      <items count="36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dataField="1"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5">
        <item sd="0" x="0"/>
        <item x="1"/>
        <item x="2"/>
        <item sd="0" x="3"/>
        <item t="default"/>
      </items>
    </pivotField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22"/>
    <field x="20"/>
  </rowFields>
  <rowItems count="16">
    <i>
      <x v="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dataFields count="9">
    <dataField name="Entrada en fábrica_x000a_(kg MG)" fld="12" baseField="0" baseItem="0" numFmtId="166"/>
    <dataField name="Leche en cubas_x000a_(kg MG)" fld="14" baseField="0" baseItem="0" numFmtId="166"/>
    <dataField name="Queso _x000a_(Kg MG)" fld="17" baseField="0" baseItem="0" numFmtId="166"/>
    <dataField name="Dif de balance _x000a_cubas_x000a_(kg MG)" fld="25" baseField="0" baseItem="0" numFmtId="166"/>
    <dataField name="Dif de balance_x000a_queso_x000a_(kg MG)" fld="28" baseField="0" baseItem="0" numFmtId="166"/>
    <dataField name="Dif de balance_x000a_total_x000a_(kg MG)" fld="30" baseField="0" baseItem="0" numFmtId="166"/>
    <dataField name="Desviación cubas_x000a_(%)" fld="27" baseField="0" baseItem="0" numFmtId="164"/>
    <dataField name="Desviación_x000a_queso_x000a_(%)" fld="29" baseField="0" baseItem="0" numFmtId="164"/>
    <dataField name="Desviación_x000a_total_x000a_(%)" fld="31" baseField="0" baseItem="0" numFmtId="164"/>
  </dataFields>
  <formats count="14">
    <format dxfId="24">
      <pivotArea dataOnly="0" labelOnly="1" outline="0" fieldPosition="0">
        <references count="1">
          <reference field="4294967294" count="4">
            <x v="0"/>
            <x v="1"/>
            <x v="3"/>
            <x v="6"/>
          </reference>
        </references>
      </pivotArea>
    </format>
    <format dxfId="23">
      <pivotArea dataOnly="0" labelOnly="1" outline="0" fieldPosition="0">
        <references count="1">
          <reference field="4294967294" count="4">
            <x v="0"/>
            <x v="1"/>
            <x v="3"/>
            <x v="6"/>
          </reference>
        </references>
      </pivotArea>
    </format>
    <format dxfId="22">
      <pivotArea dataOnly="0" labelOnly="1" outline="0" fieldPosition="0">
        <references count="1">
          <reference field="4294967294" count="4">
            <x v="0"/>
            <x v="1"/>
            <x v="3"/>
            <x v="6"/>
          </reference>
        </references>
      </pivotArea>
    </format>
    <format dxfId="21">
      <pivotArea field="22" type="button" dataOnly="0" labelOnly="1" outline="0" axis="axisRow" fieldPosition="0"/>
    </format>
    <format dxfId="20">
      <pivotArea field="22" type="button" dataOnly="0" labelOnly="1" outline="0" axis="axisRow" fieldPosition="0"/>
    </format>
    <format dxfId="19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8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7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6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15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14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13">
      <pivotArea dataOnly="0" labelOnly="1" outline="0" fieldPosition="0">
        <references count="1">
          <reference field="4294967294" count="1">
            <x v="7"/>
          </reference>
        </references>
      </pivotArea>
    </format>
    <format dxfId="12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11">
      <pivotArea dataOnly="0" labelOnly="1" outline="0" fieldPosition="0">
        <references count="1">
          <reference field="4294967294" count="1">
            <x v="8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A48B91-167C-452B-88EE-CF82845DDF6C}" name="TablaDinámica1" cacheId="6" applyNumberFormats="0" applyBorderFormats="0" applyFontFormats="0" applyPatternFormats="0" applyAlignmentFormats="0" applyWidthHeightFormats="1" dataCaption="Valores" showError="1" updatedVersion="8" minRefreshableVersion="3" itemPrintTitles="1" createdVersion="8" indent="0" outline="1" outlineData="1" multipleFieldFilters="0" chartFormat="8" rowHeaderCaption="Mes">
  <location ref="A3:C19" firstHeaderRow="0" firstDataRow="1" firstDataCol="1"/>
  <pivotFields count="34">
    <pivotField numFmtId="14" showAll="0">
      <items count="36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5">
        <item sd="0" x="0"/>
        <item x="1"/>
        <item x="2"/>
        <item sd="0" x="3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22"/>
    <field x="20"/>
  </rowFields>
  <rowItems count="16">
    <i>
      <x v="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entrada_prot_kg" fld="13" baseField="0" baseItem="0"/>
    <dataField name="Suma de cuba_fab_prot_kg" fld="15" baseField="0" baseItem="0"/>
  </dataFields>
  <formats count="2">
    <format dxfId="1">
      <pivotArea field="22" type="button" dataOnly="0" labelOnly="1" outline="0" axis="axisRow" fieldPosition="0"/>
    </format>
    <format dxfId="0">
      <pivotArea field="22" type="button" dataOnly="0" labelOnly="1" outline="0" axis="axisRow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369002-1863-45C1-AA48-75EAD51C0863}" name="TablaDinámica1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A3:C56" firstHeaderRow="0" firstDataRow="1" firstDataCol="1"/>
  <pivotFields count="34">
    <pivotField numFmtId="14" showAll="0">
      <items count="36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1">
    <field x="19"/>
  </rowFields>
  <rowItems count="5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Rendim (L/kg)" fld="32" baseField="0" baseItem="0" numFmtId="167"/>
    <dataField name="Suma de EST (%)" fld="33" baseField="0" baseItem="0" numFmtId="10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EAA836B-7E28-4F5F-B497-A3F78E114EA5}" name="Tabla2" displayName="Tabla2" ref="A1:T365" totalsRowShown="0">
  <autoFilter ref="A1:T365" xr:uid="{4EAA836B-7E28-4F5F-B497-A3F78E114EA5}"/>
  <tableColumns count="20">
    <tableColumn id="1" xr3:uid="{0EAAFB95-0462-4A46-895E-2C8949E731AE}" name="fecha" dataDxfId="10"/>
    <tableColumn id="2" xr3:uid="{B99A55EC-062A-41A1-9987-66C4A77606BA}" name="entrada_kg"/>
    <tableColumn id="3" xr3:uid="{DA11BF6E-5AFF-4E5A-A825-C843AA73522C}" name="entrada_litros"/>
    <tableColumn id="4" xr3:uid="{ED230348-1BB5-43D8-ADE4-81312B15A5A9}" name="entrada_grasa_g_l"/>
    <tableColumn id="5" xr3:uid="{753ECC9C-C296-4A80-857D-DE310E1F8FBE}" name="entrada_prot_g_l"/>
    <tableColumn id="6" xr3:uid="{71446BCD-B9C8-4BBE-89E6-13A0EB4C3EBD}" name="cuba_fab_litros"/>
    <tableColumn id="7" xr3:uid="{75369F4D-0011-4679-97D4-F0ABEA1D51A3}" name="cuba_fab_grasa_g_l"/>
    <tableColumn id="8" xr3:uid="{691265C2-E87A-4791-8121-06EAEFBCF727}" name="cuba_fab_prot_g_l"/>
    <tableColumn id="9" xr3:uid="{7038B69D-B525-4D34-B668-95F24DD0B6EF}" name="stock_cierre_litros"/>
    <tableColumn id="10" xr3:uid="{E2106BDF-6A85-4EF5-B55C-0D7CFEBF9BD8}" name="queso_kg"/>
    <tableColumn id="11" xr3:uid="{8A9920A8-F994-40CF-861E-A78626F5DFA0}" name="queso_est_pct"/>
    <tableColumn id="12" xr3:uid="{7BEF460E-C8FD-436F-A522-912A1E3FC0C1}" name="queso_mg_pct"/>
    <tableColumn id="13" xr3:uid="{4C6E2762-B054-43B2-9A21-BCBED25CD3AE}" name="entrada_grasa_kg" dataDxfId="9">
      <calculatedColumnFormula>Tabla2[[#This Row],[entrada_litros]]*Tabla2[[#This Row],[entrada_grasa_g_l]]/1000</calculatedColumnFormula>
    </tableColumn>
    <tableColumn id="14" xr3:uid="{72F3B23C-8C52-4610-8DE2-F2CFF573C1A3}" name="entrada_prot_kg" dataDxfId="8">
      <calculatedColumnFormula>Tabla2[[#This Row],[entrada_litros]]*Tabla2[[#This Row],[entrada_prot_g_l]]/1000</calculatedColumnFormula>
    </tableColumn>
    <tableColumn id="15" xr3:uid="{1F2FDCA1-AA37-432A-9889-51F7AB1D868E}" name="cuba_fab_grasa_kg" dataDxfId="7">
      <calculatedColumnFormula>Tabla2[[#This Row],[cuba_fab_litros]]*Tabla2[[#This Row],[cuba_fab_grasa_g_l]]/1000</calculatedColumnFormula>
    </tableColumn>
    <tableColumn id="16" xr3:uid="{5C5A0D35-AC30-4575-AD36-DFD4AB1AAE78}" name="cuba_fab_prot_kg" dataDxfId="6">
      <calculatedColumnFormula>Tabla2[[#This Row],[cuba_fab_litros]]*Tabla2[[#This Row],[cuba_fab_prot_g_l]]/1000</calculatedColumnFormula>
    </tableColumn>
    <tableColumn id="20" xr3:uid="{60870160-690E-43AA-BA91-2F2A23C024EA}" name="queso_est_kg" dataDxfId="5">
      <calculatedColumnFormula>Tabla2[[#This Row],[queso_kg]]*Tabla2[[#This Row],[queso_est_pct]]/100</calculatedColumnFormula>
    </tableColumn>
    <tableColumn id="19" xr3:uid="{4D671BF4-2751-4C20-94DC-8DF5C5BD43DC}" name="queso_mg_kg" dataDxfId="4">
      <calculatedColumnFormula>Tabla2[[#This Row],[queso_kg]]*Tabla2[[#This Row],[queso_mg_pct]]/100</calculatedColumnFormula>
    </tableColumn>
    <tableColumn id="17" xr3:uid="{557AB84E-05A8-425D-881C-BCA8985A6A4E}" name="semanaISO" dataDxfId="3">
      <calculatedColumnFormula>_xlfn.ISOWEEKNUM(Tabla2[[#This Row],[fecha]])</calculatedColumnFormula>
    </tableColumn>
    <tableColumn id="18" xr3:uid="{4C92060C-D738-42A2-A8B9-D53895DE3195}" name="semana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055CB-B017-4A89-A09C-2A29AF5B799C}">
  <dimension ref="A1:T365"/>
  <sheetViews>
    <sheetView topLeftCell="I1" workbookViewId="0">
      <selection activeCell="S2" sqref="S2"/>
    </sheetView>
  </sheetViews>
  <sheetFormatPr baseColWidth="10" defaultRowHeight="15" x14ac:dyDescent="0.25"/>
  <cols>
    <col min="2" max="2" width="12.85546875" customWidth="1"/>
    <col min="3" max="3" width="15.5703125" customWidth="1"/>
    <col min="4" max="4" width="18.85546875" customWidth="1"/>
    <col min="5" max="5" width="17.85546875" customWidth="1"/>
    <col min="6" max="6" width="16.7109375" customWidth="1"/>
    <col min="7" max="7" width="20" customWidth="1"/>
    <col min="8" max="8" width="19" customWidth="1"/>
    <col min="9" max="9" width="19.7109375" customWidth="1"/>
    <col min="10" max="10" width="11.5703125" customWidth="1"/>
    <col min="11" max="11" width="16.140625" customWidth="1"/>
    <col min="12" max="12" width="16" customWidth="1"/>
    <col min="13" max="16" width="18.85546875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52</v>
      </c>
      <c r="R1" t="s">
        <v>45</v>
      </c>
      <c r="S1" t="s">
        <v>28</v>
      </c>
      <c r="T1" t="s">
        <v>27</v>
      </c>
    </row>
    <row r="2" spans="1:20" x14ac:dyDescent="0.25">
      <c r="A2" s="1">
        <v>45291</v>
      </c>
      <c r="B2">
        <v>5572</v>
      </c>
      <c r="C2">
        <v>5410</v>
      </c>
      <c r="D2">
        <v>43.64</v>
      </c>
      <c r="E2">
        <v>38.42</v>
      </c>
      <c r="I2">
        <v>5410</v>
      </c>
      <c r="M2">
        <f>Tabla2[[#This Row],[entrada_litros]]*Tabla2[[#This Row],[entrada_grasa_g_l]]/1000</f>
        <v>236.0924</v>
      </c>
      <c r="N2">
        <f>Tabla2[[#This Row],[entrada_litros]]*Tabla2[[#This Row],[entrada_prot_g_l]]/1000</f>
        <v>207.85220000000001</v>
      </c>
      <c r="O2">
        <f>Tabla2[[#This Row],[cuba_fab_litros]]*Tabla2[[#This Row],[cuba_fab_grasa_g_l]]/1000</f>
        <v>0</v>
      </c>
      <c r="P2">
        <f>Tabla2[[#This Row],[cuba_fab_litros]]*Tabla2[[#This Row],[cuba_fab_prot_g_l]]/1000</f>
        <v>0</v>
      </c>
      <c r="Q2">
        <f>Tabla2[[#This Row],[queso_kg]]*Tabla2[[#This Row],[queso_est_pct]]/100</f>
        <v>0</v>
      </c>
      <c r="R2">
        <f>Tabla2[[#This Row],[queso_kg]]*Tabla2[[#This Row],[queso_mg_pct]]/100</f>
        <v>0</v>
      </c>
      <c r="S2">
        <f>_xlfn.ISOWEEKNUM(Tabla2[[#This Row],[fecha]])</f>
        <v>52</v>
      </c>
      <c r="T2">
        <v>1</v>
      </c>
    </row>
    <row r="3" spans="1:20" x14ac:dyDescent="0.25">
      <c r="A3" s="1">
        <v>45292</v>
      </c>
      <c r="B3">
        <v>5181</v>
      </c>
      <c r="C3">
        <v>5030</v>
      </c>
      <c r="D3">
        <v>44.12</v>
      </c>
      <c r="E3">
        <v>36.56</v>
      </c>
      <c r="F3">
        <v>5027</v>
      </c>
      <c r="G3">
        <v>42.24</v>
      </c>
      <c r="H3">
        <v>35.869999999999997</v>
      </c>
      <c r="I3">
        <v>5440</v>
      </c>
      <c r="J3">
        <v>596.79</v>
      </c>
      <c r="K3">
        <v>53.43</v>
      </c>
      <c r="L3">
        <v>25.95</v>
      </c>
      <c r="M3">
        <f>Tabla2[[#This Row],[entrada_litros]]*Tabla2[[#This Row],[entrada_grasa_g_l]]/1000</f>
        <v>221.92359999999996</v>
      </c>
      <c r="N3">
        <f>Tabla2[[#This Row],[entrada_litros]]*Tabla2[[#This Row],[entrada_prot_g_l]]/1000</f>
        <v>183.89680000000001</v>
      </c>
      <c r="O3">
        <f>Tabla2[[#This Row],[cuba_fab_litros]]*Tabla2[[#This Row],[cuba_fab_grasa_g_l]]/1000</f>
        <v>212.34048000000001</v>
      </c>
      <c r="P3">
        <f>Tabla2[[#This Row],[cuba_fab_litros]]*Tabla2[[#This Row],[cuba_fab_prot_g_l]]/1000</f>
        <v>180.31849</v>
      </c>
      <c r="Q3">
        <f>Tabla2[[#This Row],[queso_kg]]*Tabla2[[#This Row],[queso_est_pct]]/100</f>
        <v>318.86489699999998</v>
      </c>
      <c r="R3">
        <f>Tabla2[[#This Row],[queso_kg]]*Tabla2[[#This Row],[queso_mg_pct]]/100</f>
        <v>154.86700499999998</v>
      </c>
      <c r="S3">
        <f>_xlfn.ISOWEEKNUM(Tabla2[[#This Row],[fecha]])</f>
        <v>1</v>
      </c>
      <c r="T3">
        <v>1</v>
      </c>
    </row>
    <row r="4" spans="1:20" x14ac:dyDescent="0.25">
      <c r="A4" s="1">
        <v>45293</v>
      </c>
      <c r="B4">
        <v>5269</v>
      </c>
      <c r="C4">
        <v>5116</v>
      </c>
      <c r="D4">
        <v>43.4</v>
      </c>
      <c r="E4">
        <v>36.54</v>
      </c>
      <c r="F4">
        <v>5025</v>
      </c>
      <c r="G4">
        <v>41.7</v>
      </c>
      <c r="H4">
        <v>35.799999999999997</v>
      </c>
      <c r="I4">
        <v>5556</v>
      </c>
      <c r="J4">
        <v>583.70000000000005</v>
      </c>
      <c r="K4">
        <v>51.91</v>
      </c>
      <c r="L4">
        <v>28.44</v>
      </c>
      <c r="M4">
        <f>Tabla2[[#This Row],[entrada_litros]]*Tabla2[[#This Row],[entrada_grasa_g_l]]/1000</f>
        <v>222.03440000000001</v>
      </c>
      <c r="N4">
        <f>Tabla2[[#This Row],[entrada_litros]]*Tabla2[[#This Row],[entrada_prot_g_l]]/1000</f>
        <v>186.93863999999999</v>
      </c>
      <c r="O4">
        <f>Tabla2[[#This Row],[cuba_fab_litros]]*Tabla2[[#This Row],[cuba_fab_grasa_g_l]]/1000</f>
        <v>209.54249999999999</v>
      </c>
      <c r="P4">
        <f>Tabla2[[#This Row],[cuba_fab_litros]]*Tabla2[[#This Row],[cuba_fab_prot_g_l]]/1000</f>
        <v>179.89500000000001</v>
      </c>
      <c r="Q4">
        <f>Tabla2[[#This Row],[queso_kg]]*Tabla2[[#This Row],[queso_est_pct]]/100</f>
        <v>302.99867</v>
      </c>
      <c r="R4">
        <f>Tabla2[[#This Row],[queso_kg]]*Tabla2[[#This Row],[queso_mg_pct]]/100</f>
        <v>166.00428000000002</v>
      </c>
      <c r="S4">
        <f>_xlfn.ISOWEEKNUM(Tabla2[[#This Row],[fecha]])</f>
        <v>1</v>
      </c>
      <c r="T4">
        <v>1</v>
      </c>
    </row>
    <row r="5" spans="1:20" x14ac:dyDescent="0.25">
      <c r="A5" s="1">
        <v>45294</v>
      </c>
      <c r="B5">
        <v>5186</v>
      </c>
      <c r="C5">
        <v>5035</v>
      </c>
      <c r="D5">
        <v>41.73</v>
      </c>
      <c r="E5">
        <v>35.450000000000003</v>
      </c>
      <c r="F5">
        <v>5019</v>
      </c>
      <c r="G5">
        <v>40.659999999999997</v>
      </c>
      <c r="H5">
        <v>34.67</v>
      </c>
      <c r="I5">
        <v>5591</v>
      </c>
      <c r="J5">
        <v>581.04999999999995</v>
      </c>
      <c r="K5">
        <v>52.23</v>
      </c>
      <c r="L5">
        <v>27.17</v>
      </c>
      <c r="M5">
        <f>Tabla2[[#This Row],[entrada_litros]]*Tabla2[[#This Row],[entrada_grasa_g_l]]/1000</f>
        <v>210.11054999999999</v>
      </c>
      <c r="N5">
        <f>Tabla2[[#This Row],[entrada_litros]]*Tabla2[[#This Row],[entrada_prot_g_l]]/1000</f>
        <v>178.49074999999999</v>
      </c>
      <c r="O5">
        <f>Tabla2[[#This Row],[cuba_fab_litros]]*Tabla2[[#This Row],[cuba_fab_grasa_g_l]]/1000</f>
        <v>204.07253999999998</v>
      </c>
      <c r="P5">
        <f>Tabla2[[#This Row],[cuba_fab_litros]]*Tabla2[[#This Row],[cuba_fab_prot_g_l]]/1000</f>
        <v>174.00873000000001</v>
      </c>
      <c r="Q5">
        <f>Tabla2[[#This Row],[queso_kg]]*Tabla2[[#This Row],[queso_est_pct]]/100</f>
        <v>303.48241499999995</v>
      </c>
      <c r="R5">
        <f>Tabla2[[#This Row],[queso_kg]]*Tabla2[[#This Row],[queso_mg_pct]]/100</f>
        <v>157.871285</v>
      </c>
      <c r="S5">
        <f>_xlfn.ISOWEEKNUM(Tabla2[[#This Row],[fecha]])</f>
        <v>1</v>
      </c>
      <c r="T5">
        <v>1</v>
      </c>
    </row>
    <row r="6" spans="1:20" x14ac:dyDescent="0.25">
      <c r="A6" s="1">
        <v>45295</v>
      </c>
      <c r="B6">
        <v>5118</v>
      </c>
      <c r="C6">
        <v>4969</v>
      </c>
      <c r="D6">
        <v>41.97</v>
      </c>
      <c r="E6">
        <v>36.67</v>
      </c>
      <c r="F6">
        <v>5023</v>
      </c>
      <c r="G6">
        <v>40.549999999999997</v>
      </c>
      <c r="H6">
        <v>35.14</v>
      </c>
      <c r="I6">
        <v>5560</v>
      </c>
      <c r="J6">
        <v>585.35</v>
      </c>
      <c r="K6">
        <v>52.8</v>
      </c>
      <c r="L6">
        <v>27.39</v>
      </c>
      <c r="M6">
        <f>Tabla2[[#This Row],[entrada_litros]]*Tabla2[[#This Row],[entrada_grasa_g_l]]/1000</f>
        <v>208.54892999999998</v>
      </c>
      <c r="N6">
        <f>Tabla2[[#This Row],[entrada_litros]]*Tabla2[[#This Row],[entrada_prot_g_l]]/1000</f>
        <v>182.21323000000001</v>
      </c>
      <c r="O6">
        <f>Tabla2[[#This Row],[cuba_fab_litros]]*Tabla2[[#This Row],[cuba_fab_grasa_g_l]]/1000</f>
        <v>203.68265</v>
      </c>
      <c r="P6">
        <f>Tabla2[[#This Row],[cuba_fab_litros]]*Tabla2[[#This Row],[cuba_fab_prot_g_l]]/1000</f>
        <v>176.50821999999999</v>
      </c>
      <c r="Q6">
        <f>Tabla2[[#This Row],[queso_kg]]*Tabla2[[#This Row],[queso_est_pct]]/100</f>
        <v>309.06479999999999</v>
      </c>
      <c r="R6">
        <f>Tabla2[[#This Row],[queso_kg]]*Tabla2[[#This Row],[queso_mg_pct]]/100</f>
        <v>160.32736500000001</v>
      </c>
      <c r="S6">
        <f>_xlfn.ISOWEEKNUM(Tabla2[[#This Row],[fecha]])</f>
        <v>1</v>
      </c>
      <c r="T6">
        <v>1</v>
      </c>
    </row>
    <row r="7" spans="1:20" x14ac:dyDescent="0.25">
      <c r="A7" s="1">
        <v>45296</v>
      </c>
      <c r="F7">
        <v>5592</v>
      </c>
      <c r="G7">
        <v>40.590000000000003</v>
      </c>
      <c r="H7">
        <v>34.9</v>
      </c>
      <c r="J7">
        <v>642.45000000000005</v>
      </c>
      <c r="K7">
        <v>53.07</v>
      </c>
      <c r="L7">
        <v>26.86</v>
      </c>
      <c r="M7">
        <f>Tabla2[[#This Row],[entrada_litros]]*Tabla2[[#This Row],[entrada_grasa_g_l]]/1000</f>
        <v>0</v>
      </c>
      <c r="N7">
        <f>Tabla2[[#This Row],[entrada_litros]]*Tabla2[[#This Row],[entrada_prot_g_l]]/1000</f>
        <v>0</v>
      </c>
      <c r="O7">
        <f>Tabla2[[#This Row],[cuba_fab_litros]]*Tabla2[[#This Row],[cuba_fab_grasa_g_l]]/1000</f>
        <v>226.97928000000002</v>
      </c>
      <c r="P7">
        <f>Tabla2[[#This Row],[cuba_fab_litros]]*Tabla2[[#This Row],[cuba_fab_prot_g_l]]/1000</f>
        <v>195.16079999999999</v>
      </c>
      <c r="Q7">
        <f>Tabla2[[#This Row],[queso_kg]]*Tabla2[[#This Row],[queso_est_pct]]/100</f>
        <v>340.94821500000006</v>
      </c>
      <c r="R7">
        <f>Tabla2[[#This Row],[queso_kg]]*Tabla2[[#This Row],[queso_mg_pct]]/100</f>
        <v>172.56207000000003</v>
      </c>
      <c r="S7">
        <f>_xlfn.ISOWEEKNUM(Tabla2[[#This Row],[fecha]])</f>
        <v>1</v>
      </c>
      <c r="T7">
        <v>1</v>
      </c>
    </row>
    <row r="8" spans="1:20" x14ac:dyDescent="0.25">
      <c r="A8" s="1">
        <v>45297</v>
      </c>
      <c r="M8">
        <f>Tabla2[[#This Row],[entrada_litros]]*Tabla2[[#This Row],[entrada_grasa_g_l]]/1000</f>
        <v>0</v>
      </c>
      <c r="N8">
        <f>Tabla2[[#This Row],[entrada_litros]]*Tabla2[[#This Row],[entrada_prot_g_l]]/1000</f>
        <v>0</v>
      </c>
      <c r="O8">
        <f>Tabla2[[#This Row],[cuba_fab_litros]]*Tabla2[[#This Row],[cuba_fab_grasa_g_l]]/1000</f>
        <v>0</v>
      </c>
      <c r="P8">
        <f>Tabla2[[#This Row],[cuba_fab_litros]]*Tabla2[[#This Row],[cuba_fab_prot_g_l]]/1000</f>
        <v>0</v>
      </c>
      <c r="Q8">
        <f>Tabla2[[#This Row],[queso_kg]]*Tabla2[[#This Row],[queso_est_pct]]/100</f>
        <v>0</v>
      </c>
      <c r="R8">
        <f>Tabla2[[#This Row],[queso_kg]]*Tabla2[[#This Row],[queso_mg_pct]]/100</f>
        <v>0</v>
      </c>
      <c r="S8">
        <f>_xlfn.ISOWEEKNUM(Tabla2[[#This Row],[fecha]])</f>
        <v>1</v>
      </c>
      <c r="T8">
        <v>1</v>
      </c>
    </row>
    <row r="9" spans="1:20" x14ac:dyDescent="0.25">
      <c r="A9" s="1">
        <v>45298</v>
      </c>
      <c r="B9">
        <v>5170</v>
      </c>
      <c r="C9">
        <v>5019</v>
      </c>
      <c r="D9">
        <v>39.950000000000003</v>
      </c>
      <c r="E9">
        <v>37.29</v>
      </c>
      <c r="I9">
        <v>5019</v>
      </c>
      <c r="M9">
        <f>Tabla2[[#This Row],[entrada_litros]]*Tabla2[[#This Row],[entrada_grasa_g_l]]/1000</f>
        <v>200.50905000000003</v>
      </c>
      <c r="N9">
        <f>Tabla2[[#This Row],[entrada_litros]]*Tabla2[[#This Row],[entrada_prot_g_l]]/1000</f>
        <v>187.15851000000001</v>
      </c>
      <c r="O9">
        <f>Tabla2[[#This Row],[cuba_fab_litros]]*Tabla2[[#This Row],[cuba_fab_grasa_g_l]]/1000</f>
        <v>0</v>
      </c>
      <c r="P9">
        <f>Tabla2[[#This Row],[cuba_fab_litros]]*Tabla2[[#This Row],[cuba_fab_prot_g_l]]/1000</f>
        <v>0</v>
      </c>
      <c r="Q9">
        <f>Tabla2[[#This Row],[queso_kg]]*Tabla2[[#This Row],[queso_est_pct]]/100</f>
        <v>0</v>
      </c>
      <c r="R9">
        <f>Tabla2[[#This Row],[queso_kg]]*Tabla2[[#This Row],[queso_mg_pct]]/100</f>
        <v>0</v>
      </c>
      <c r="S9">
        <f>_xlfn.ISOWEEKNUM(Tabla2[[#This Row],[fecha]])</f>
        <v>1</v>
      </c>
      <c r="T9">
        <v>2</v>
      </c>
    </row>
    <row r="10" spans="1:20" x14ac:dyDescent="0.25">
      <c r="A10" s="1">
        <v>45299</v>
      </c>
      <c r="B10">
        <v>5814</v>
      </c>
      <c r="C10">
        <v>5645</v>
      </c>
      <c r="D10">
        <v>39.6</v>
      </c>
      <c r="E10">
        <v>36.08</v>
      </c>
      <c r="F10">
        <v>5030</v>
      </c>
      <c r="G10">
        <v>37.64</v>
      </c>
      <c r="H10">
        <v>34.97</v>
      </c>
      <c r="I10">
        <v>5664</v>
      </c>
      <c r="J10">
        <v>589.63</v>
      </c>
      <c r="K10">
        <v>51.99</v>
      </c>
      <c r="L10">
        <v>27.32</v>
      </c>
      <c r="M10">
        <f>Tabla2[[#This Row],[entrada_litros]]*Tabla2[[#This Row],[entrada_grasa_g_l]]/1000</f>
        <v>223.542</v>
      </c>
      <c r="N10">
        <f>Tabla2[[#This Row],[entrada_litros]]*Tabla2[[#This Row],[entrada_prot_g_l]]/1000</f>
        <v>203.67159999999998</v>
      </c>
      <c r="O10">
        <f>Tabla2[[#This Row],[cuba_fab_litros]]*Tabla2[[#This Row],[cuba_fab_grasa_g_l]]/1000</f>
        <v>189.32920000000001</v>
      </c>
      <c r="P10">
        <f>Tabla2[[#This Row],[cuba_fab_litros]]*Tabla2[[#This Row],[cuba_fab_prot_g_l]]/1000</f>
        <v>175.8991</v>
      </c>
      <c r="Q10">
        <f>Tabla2[[#This Row],[queso_kg]]*Tabla2[[#This Row],[queso_est_pct]]/100</f>
        <v>306.54863700000004</v>
      </c>
      <c r="R10">
        <f>Tabla2[[#This Row],[queso_kg]]*Tabla2[[#This Row],[queso_mg_pct]]/100</f>
        <v>161.086916</v>
      </c>
      <c r="S10">
        <f>_xlfn.ISOWEEKNUM(Tabla2[[#This Row],[fecha]])</f>
        <v>2</v>
      </c>
      <c r="T10">
        <v>2</v>
      </c>
    </row>
    <row r="11" spans="1:20" x14ac:dyDescent="0.25">
      <c r="A11" s="1">
        <v>45300</v>
      </c>
      <c r="B11">
        <v>5067</v>
      </c>
      <c r="C11">
        <v>4919</v>
      </c>
      <c r="D11">
        <v>42.63</v>
      </c>
      <c r="E11">
        <v>34.08</v>
      </c>
      <c r="F11">
        <v>5024</v>
      </c>
      <c r="G11">
        <v>38.86</v>
      </c>
      <c r="H11">
        <v>33.71</v>
      </c>
      <c r="I11">
        <v>5583</v>
      </c>
      <c r="J11">
        <v>601.84</v>
      </c>
      <c r="K11">
        <v>53.68</v>
      </c>
      <c r="L11">
        <v>27.48</v>
      </c>
      <c r="M11">
        <f>Tabla2[[#This Row],[entrada_litros]]*Tabla2[[#This Row],[entrada_grasa_g_l]]/1000</f>
        <v>209.69696999999999</v>
      </c>
      <c r="N11">
        <f>Tabla2[[#This Row],[entrada_litros]]*Tabla2[[#This Row],[entrada_prot_g_l]]/1000</f>
        <v>167.63951999999998</v>
      </c>
      <c r="O11">
        <f>Tabla2[[#This Row],[cuba_fab_litros]]*Tabla2[[#This Row],[cuba_fab_grasa_g_l]]/1000</f>
        <v>195.23263999999998</v>
      </c>
      <c r="P11">
        <f>Tabla2[[#This Row],[cuba_fab_litros]]*Tabla2[[#This Row],[cuba_fab_prot_g_l]]/1000</f>
        <v>169.35904000000002</v>
      </c>
      <c r="Q11">
        <f>Tabla2[[#This Row],[queso_kg]]*Tabla2[[#This Row],[queso_est_pct]]/100</f>
        <v>323.06771200000003</v>
      </c>
      <c r="R11">
        <f>Tabla2[[#This Row],[queso_kg]]*Tabla2[[#This Row],[queso_mg_pct]]/100</f>
        <v>165.38563200000002</v>
      </c>
      <c r="S11">
        <f>_xlfn.ISOWEEKNUM(Tabla2[[#This Row],[fecha]])</f>
        <v>2</v>
      </c>
      <c r="T11">
        <v>2</v>
      </c>
    </row>
    <row r="12" spans="1:20" x14ac:dyDescent="0.25">
      <c r="A12" s="1">
        <v>45301</v>
      </c>
      <c r="B12">
        <v>5203</v>
      </c>
      <c r="C12">
        <v>5051</v>
      </c>
      <c r="D12">
        <v>42.24</v>
      </c>
      <c r="E12">
        <v>37.76</v>
      </c>
      <c r="F12">
        <v>5020</v>
      </c>
      <c r="G12">
        <v>39.909999999999997</v>
      </c>
      <c r="H12">
        <v>34.97</v>
      </c>
      <c r="I12">
        <v>5634</v>
      </c>
      <c r="J12">
        <v>582.51</v>
      </c>
      <c r="K12">
        <v>51.93</v>
      </c>
      <c r="L12">
        <v>25.84</v>
      </c>
      <c r="M12">
        <f>Tabla2[[#This Row],[entrada_litros]]*Tabla2[[#This Row],[entrada_grasa_g_l]]/1000</f>
        <v>213.35424000000003</v>
      </c>
      <c r="N12">
        <f>Tabla2[[#This Row],[entrada_litros]]*Tabla2[[#This Row],[entrada_prot_g_l]]/1000</f>
        <v>190.72575999999998</v>
      </c>
      <c r="O12">
        <f>Tabla2[[#This Row],[cuba_fab_litros]]*Tabla2[[#This Row],[cuba_fab_grasa_g_l]]/1000</f>
        <v>200.34819999999999</v>
      </c>
      <c r="P12">
        <f>Tabla2[[#This Row],[cuba_fab_litros]]*Tabla2[[#This Row],[cuba_fab_prot_g_l]]/1000</f>
        <v>175.54939999999999</v>
      </c>
      <c r="Q12">
        <f>Tabla2[[#This Row],[queso_kg]]*Tabla2[[#This Row],[queso_est_pct]]/100</f>
        <v>302.49744299999998</v>
      </c>
      <c r="R12">
        <f>Tabla2[[#This Row],[queso_kg]]*Tabla2[[#This Row],[queso_mg_pct]]/100</f>
        <v>150.52058399999999</v>
      </c>
      <c r="S12">
        <f>_xlfn.ISOWEEKNUM(Tabla2[[#This Row],[fecha]])</f>
        <v>2</v>
      </c>
      <c r="T12">
        <v>2</v>
      </c>
    </row>
    <row r="13" spans="1:20" x14ac:dyDescent="0.25">
      <c r="A13" s="1">
        <v>45302</v>
      </c>
      <c r="B13">
        <v>5907</v>
      </c>
      <c r="C13">
        <v>5735</v>
      </c>
      <c r="D13">
        <v>41</v>
      </c>
      <c r="E13">
        <v>35.1</v>
      </c>
      <c r="F13">
        <v>5022</v>
      </c>
      <c r="G13">
        <v>39.42</v>
      </c>
      <c r="H13">
        <v>34.15</v>
      </c>
      <c r="I13">
        <v>6369</v>
      </c>
      <c r="J13">
        <v>602.77</v>
      </c>
      <c r="K13">
        <v>51.51</v>
      </c>
      <c r="L13">
        <v>26.02</v>
      </c>
      <c r="M13">
        <f>Tabla2[[#This Row],[entrada_litros]]*Tabla2[[#This Row],[entrada_grasa_g_l]]/1000</f>
        <v>235.13499999999999</v>
      </c>
      <c r="N13">
        <f>Tabla2[[#This Row],[entrada_litros]]*Tabla2[[#This Row],[entrada_prot_g_l]]/1000</f>
        <v>201.29849999999999</v>
      </c>
      <c r="O13">
        <f>Tabla2[[#This Row],[cuba_fab_litros]]*Tabla2[[#This Row],[cuba_fab_grasa_g_l]]/1000</f>
        <v>197.96724000000003</v>
      </c>
      <c r="P13">
        <f>Tabla2[[#This Row],[cuba_fab_litros]]*Tabla2[[#This Row],[cuba_fab_prot_g_l]]/1000</f>
        <v>171.50129999999999</v>
      </c>
      <c r="Q13">
        <f>Tabla2[[#This Row],[queso_kg]]*Tabla2[[#This Row],[queso_est_pct]]/100</f>
        <v>310.48682699999995</v>
      </c>
      <c r="R13">
        <f>Tabla2[[#This Row],[queso_kg]]*Tabla2[[#This Row],[queso_mg_pct]]/100</f>
        <v>156.840754</v>
      </c>
      <c r="S13">
        <f>_xlfn.ISOWEEKNUM(Tabla2[[#This Row],[fecha]])</f>
        <v>2</v>
      </c>
      <c r="T13">
        <v>2</v>
      </c>
    </row>
    <row r="14" spans="1:20" x14ac:dyDescent="0.25">
      <c r="A14" s="1">
        <v>45303</v>
      </c>
      <c r="F14">
        <v>6392</v>
      </c>
      <c r="G14">
        <v>39.450000000000003</v>
      </c>
      <c r="H14">
        <v>34.200000000000003</v>
      </c>
      <c r="J14">
        <v>753.22</v>
      </c>
      <c r="K14">
        <v>51.5</v>
      </c>
      <c r="L14">
        <v>27.25</v>
      </c>
      <c r="M14">
        <f>Tabla2[[#This Row],[entrada_litros]]*Tabla2[[#This Row],[entrada_grasa_g_l]]/1000</f>
        <v>0</v>
      </c>
      <c r="N14">
        <f>Tabla2[[#This Row],[entrada_litros]]*Tabla2[[#This Row],[entrada_prot_g_l]]/1000</f>
        <v>0</v>
      </c>
      <c r="O14">
        <f>Tabla2[[#This Row],[cuba_fab_litros]]*Tabla2[[#This Row],[cuba_fab_grasa_g_l]]/1000</f>
        <v>252.16440000000003</v>
      </c>
      <c r="P14">
        <f>Tabla2[[#This Row],[cuba_fab_litros]]*Tabla2[[#This Row],[cuba_fab_prot_g_l]]/1000</f>
        <v>218.60640000000004</v>
      </c>
      <c r="Q14">
        <f>Tabla2[[#This Row],[queso_kg]]*Tabla2[[#This Row],[queso_est_pct]]/100</f>
        <v>387.9083</v>
      </c>
      <c r="R14">
        <f>Tabla2[[#This Row],[queso_kg]]*Tabla2[[#This Row],[queso_mg_pct]]/100</f>
        <v>205.25244999999998</v>
      </c>
      <c r="S14">
        <f>_xlfn.ISOWEEKNUM(Tabla2[[#This Row],[fecha]])</f>
        <v>2</v>
      </c>
      <c r="T14">
        <v>2</v>
      </c>
    </row>
    <row r="15" spans="1:20" x14ac:dyDescent="0.25">
      <c r="A15" s="1">
        <v>45304</v>
      </c>
      <c r="M15">
        <f>Tabla2[[#This Row],[entrada_litros]]*Tabla2[[#This Row],[entrada_grasa_g_l]]/1000</f>
        <v>0</v>
      </c>
      <c r="N15">
        <f>Tabla2[[#This Row],[entrada_litros]]*Tabla2[[#This Row],[entrada_prot_g_l]]/1000</f>
        <v>0</v>
      </c>
      <c r="O15">
        <f>Tabla2[[#This Row],[cuba_fab_litros]]*Tabla2[[#This Row],[cuba_fab_grasa_g_l]]/1000</f>
        <v>0</v>
      </c>
      <c r="P15">
        <f>Tabla2[[#This Row],[cuba_fab_litros]]*Tabla2[[#This Row],[cuba_fab_prot_g_l]]/1000</f>
        <v>0</v>
      </c>
      <c r="Q15">
        <f>Tabla2[[#This Row],[queso_kg]]*Tabla2[[#This Row],[queso_est_pct]]/100</f>
        <v>0</v>
      </c>
      <c r="R15">
        <f>Tabla2[[#This Row],[queso_kg]]*Tabla2[[#This Row],[queso_mg_pct]]/100</f>
        <v>0</v>
      </c>
      <c r="S15">
        <f>_xlfn.ISOWEEKNUM(Tabla2[[#This Row],[fecha]])</f>
        <v>2</v>
      </c>
      <c r="T15">
        <v>2</v>
      </c>
    </row>
    <row r="16" spans="1:20" x14ac:dyDescent="0.25">
      <c r="A16" s="1">
        <v>45305</v>
      </c>
      <c r="B16">
        <v>6036</v>
      </c>
      <c r="C16">
        <v>5860</v>
      </c>
      <c r="D16">
        <v>42.35</v>
      </c>
      <c r="E16">
        <v>35.200000000000003</v>
      </c>
      <c r="I16">
        <v>5860</v>
      </c>
      <c r="M16">
        <f>Tabla2[[#This Row],[entrada_litros]]*Tabla2[[#This Row],[entrada_grasa_g_l]]/1000</f>
        <v>248.17099999999999</v>
      </c>
      <c r="N16">
        <f>Tabla2[[#This Row],[entrada_litros]]*Tabla2[[#This Row],[entrada_prot_g_l]]/1000</f>
        <v>206.27200000000002</v>
      </c>
      <c r="O16">
        <f>Tabla2[[#This Row],[cuba_fab_litros]]*Tabla2[[#This Row],[cuba_fab_grasa_g_l]]/1000</f>
        <v>0</v>
      </c>
      <c r="P16">
        <f>Tabla2[[#This Row],[cuba_fab_litros]]*Tabla2[[#This Row],[cuba_fab_prot_g_l]]/1000</f>
        <v>0</v>
      </c>
      <c r="Q16">
        <f>Tabla2[[#This Row],[queso_kg]]*Tabla2[[#This Row],[queso_est_pct]]/100</f>
        <v>0</v>
      </c>
      <c r="R16">
        <f>Tabla2[[#This Row],[queso_kg]]*Tabla2[[#This Row],[queso_mg_pct]]/100</f>
        <v>0</v>
      </c>
      <c r="S16">
        <f>_xlfn.ISOWEEKNUM(Tabla2[[#This Row],[fecha]])</f>
        <v>2</v>
      </c>
      <c r="T16">
        <v>3</v>
      </c>
    </row>
    <row r="17" spans="1:20" x14ac:dyDescent="0.25">
      <c r="A17" s="1">
        <v>45306</v>
      </c>
      <c r="B17">
        <v>5413</v>
      </c>
      <c r="C17">
        <v>5255</v>
      </c>
      <c r="D17">
        <v>39.549999999999997</v>
      </c>
      <c r="E17">
        <v>34.090000000000003</v>
      </c>
      <c r="F17">
        <v>5024</v>
      </c>
      <c r="G17">
        <v>39.01</v>
      </c>
      <c r="H17">
        <v>33.19</v>
      </c>
      <c r="I17">
        <v>6115</v>
      </c>
      <c r="J17">
        <v>587.28</v>
      </c>
      <c r="K17">
        <v>51.43</v>
      </c>
      <c r="L17">
        <v>28.48</v>
      </c>
      <c r="M17">
        <f>Tabla2[[#This Row],[entrada_litros]]*Tabla2[[#This Row],[entrada_grasa_g_l]]/1000</f>
        <v>207.83524999999997</v>
      </c>
      <c r="N17">
        <f>Tabla2[[#This Row],[entrada_litros]]*Tabla2[[#This Row],[entrada_prot_g_l]]/1000</f>
        <v>179.14295000000001</v>
      </c>
      <c r="O17">
        <f>Tabla2[[#This Row],[cuba_fab_litros]]*Tabla2[[#This Row],[cuba_fab_grasa_g_l]]/1000</f>
        <v>195.98623999999998</v>
      </c>
      <c r="P17">
        <f>Tabla2[[#This Row],[cuba_fab_litros]]*Tabla2[[#This Row],[cuba_fab_prot_g_l]]/1000</f>
        <v>166.74655999999999</v>
      </c>
      <c r="Q17">
        <f>Tabla2[[#This Row],[queso_kg]]*Tabla2[[#This Row],[queso_est_pct]]/100</f>
        <v>302.03810399999998</v>
      </c>
      <c r="R17">
        <f>Tabla2[[#This Row],[queso_kg]]*Tabla2[[#This Row],[queso_mg_pct]]/100</f>
        <v>167.25734400000002</v>
      </c>
      <c r="S17">
        <f>_xlfn.ISOWEEKNUM(Tabla2[[#This Row],[fecha]])</f>
        <v>3</v>
      </c>
      <c r="T17">
        <v>3</v>
      </c>
    </row>
    <row r="18" spans="1:20" x14ac:dyDescent="0.25">
      <c r="A18" s="1">
        <v>45307</v>
      </c>
      <c r="B18">
        <v>5217</v>
      </c>
      <c r="C18">
        <v>5065</v>
      </c>
      <c r="D18">
        <v>42.31</v>
      </c>
      <c r="E18">
        <v>35.340000000000003</v>
      </c>
      <c r="F18">
        <v>5023</v>
      </c>
      <c r="G18">
        <v>39.840000000000003</v>
      </c>
      <c r="H18">
        <v>33.619999999999997</v>
      </c>
      <c r="I18">
        <v>6180</v>
      </c>
      <c r="J18">
        <v>601.08000000000004</v>
      </c>
      <c r="K18">
        <v>52.39</v>
      </c>
      <c r="L18">
        <v>26.61</v>
      </c>
      <c r="M18">
        <f>Tabla2[[#This Row],[entrada_litros]]*Tabla2[[#This Row],[entrada_grasa_g_l]]/1000</f>
        <v>214.30015000000003</v>
      </c>
      <c r="N18">
        <f>Tabla2[[#This Row],[entrada_litros]]*Tabla2[[#This Row],[entrada_prot_g_l]]/1000</f>
        <v>178.99710000000002</v>
      </c>
      <c r="O18">
        <f>Tabla2[[#This Row],[cuba_fab_litros]]*Tabla2[[#This Row],[cuba_fab_grasa_g_l]]/1000</f>
        <v>200.11632</v>
      </c>
      <c r="P18">
        <f>Tabla2[[#This Row],[cuba_fab_litros]]*Tabla2[[#This Row],[cuba_fab_prot_g_l]]/1000</f>
        <v>168.87325999999999</v>
      </c>
      <c r="Q18">
        <f>Tabla2[[#This Row],[queso_kg]]*Tabla2[[#This Row],[queso_est_pct]]/100</f>
        <v>314.90581200000003</v>
      </c>
      <c r="R18">
        <f>Tabla2[[#This Row],[queso_kg]]*Tabla2[[#This Row],[queso_mg_pct]]/100</f>
        <v>159.94738800000002</v>
      </c>
      <c r="S18">
        <f>_xlfn.ISOWEEKNUM(Tabla2[[#This Row],[fecha]])</f>
        <v>3</v>
      </c>
      <c r="T18">
        <v>3</v>
      </c>
    </row>
    <row r="19" spans="1:20" x14ac:dyDescent="0.25">
      <c r="A19" s="1">
        <v>45308</v>
      </c>
      <c r="B19">
        <v>5249</v>
      </c>
      <c r="C19">
        <v>5096</v>
      </c>
      <c r="D19">
        <v>42.19</v>
      </c>
      <c r="E19">
        <v>37.04</v>
      </c>
      <c r="F19">
        <v>5030</v>
      </c>
      <c r="G19">
        <v>40.01</v>
      </c>
      <c r="H19">
        <v>34.229999999999997</v>
      </c>
      <c r="I19">
        <v>6276</v>
      </c>
      <c r="J19">
        <v>621.52</v>
      </c>
      <c r="K19">
        <v>51.04</v>
      </c>
      <c r="L19">
        <v>25.64</v>
      </c>
      <c r="M19">
        <f>Tabla2[[#This Row],[entrada_litros]]*Tabla2[[#This Row],[entrada_grasa_g_l]]/1000</f>
        <v>215.00023999999999</v>
      </c>
      <c r="N19">
        <f>Tabla2[[#This Row],[entrada_litros]]*Tabla2[[#This Row],[entrada_prot_g_l]]/1000</f>
        <v>188.75584000000001</v>
      </c>
      <c r="O19">
        <f>Tabla2[[#This Row],[cuba_fab_litros]]*Tabla2[[#This Row],[cuba_fab_grasa_g_l]]/1000</f>
        <v>201.25029999999998</v>
      </c>
      <c r="P19">
        <f>Tabla2[[#This Row],[cuba_fab_litros]]*Tabla2[[#This Row],[cuba_fab_prot_g_l]]/1000</f>
        <v>172.17689999999999</v>
      </c>
      <c r="Q19">
        <f>Tabla2[[#This Row],[queso_kg]]*Tabla2[[#This Row],[queso_est_pct]]/100</f>
        <v>317.22380799999996</v>
      </c>
      <c r="R19">
        <f>Tabla2[[#This Row],[queso_kg]]*Tabla2[[#This Row],[queso_mg_pct]]/100</f>
        <v>159.35772800000001</v>
      </c>
      <c r="S19">
        <f>_xlfn.ISOWEEKNUM(Tabla2[[#This Row],[fecha]])</f>
        <v>3</v>
      </c>
      <c r="T19">
        <v>3</v>
      </c>
    </row>
    <row r="20" spans="1:20" x14ac:dyDescent="0.25">
      <c r="A20" s="1">
        <v>45309</v>
      </c>
      <c r="B20">
        <v>4883</v>
      </c>
      <c r="C20">
        <v>4741</v>
      </c>
      <c r="D20">
        <v>38.39</v>
      </c>
      <c r="E20">
        <v>35.83</v>
      </c>
      <c r="F20">
        <v>5028</v>
      </c>
      <c r="G20">
        <v>38.57</v>
      </c>
      <c r="H20">
        <v>34.229999999999997</v>
      </c>
      <c r="I20">
        <v>6017</v>
      </c>
      <c r="J20">
        <v>622.27</v>
      </c>
      <c r="K20">
        <v>53.95</v>
      </c>
      <c r="L20">
        <v>27.67</v>
      </c>
      <c r="M20">
        <f>Tabla2[[#This Row],[entrada_litros]]*Tabla2[[#This Row],[entrada_grasa_g_l]]/1000</f>
        <v>182.00699</v>
      </c>
      <c r="N20">
        <f>Tabla2[[#This Row],[entrada_litros]]*Tabla2[[#This Row],[entrada_prot_g_l]]/1000</f>
        <v>169.87002999999999</v>
      </c>
      <c r="O20">
        <f>Tabla2[[#This Row],[cuba_fab_litros]]*Tabla2[[#This Row],[cuba_fab_grasa_g_l]]/1000</f>
        <v>193.92995999999999</v>
      </c>
      <c r="P20">
        <f>Tabla2[[#This Row],[cuba_fab_litros]]*Tabla2[[#This Row],[cuba_fab_prot_g_l]]/1000</f>
        <v>172.10843999999997</v>
      </c>
      <c r="Q20">
        <f>Tabla2[[#This Row],[queso_kg]]*Tabla2[[#This Row],[queso_est_pct]]/100</f>
        <v>335.71466500000002</v>
      </c>
      <c r="R20">
        <f>Tabla2[[#This Row],[queso_kg]]*Tabla2[[#This Row],[queso_mg_pct]]/100</f>
        <v>172.18210900000003</v>
      </c>
      <c r="S20">
        <f>_xlfn.ISOWEEKNUM(Tabla2[[#This Row],[fecha]])</f>
        <v>3</v>
      </c>
      <c r="T20">
        <v>3</v>
      </c>
    </row>
    <row r="21" spans="1:20" x14ac:dyDescent="0.25">
      <c r="A21" s="1">
        <v>45310</v>
      </c>
      <c r="F21">
        <v>6048</v>
      </c>
      <c r="G21">
        <v>38.81</v>
      </c>
      <c r="H21">
        <v>34.11</v>
      </c>
      <c r="J21">
        <v>704.02</v>
      </c>
      <c r="K21">
        <v>53.28</v>
      </c>
      <c r="L21">
        <v>28.55</v>
      </c>
      <c r="M21">
        <f>Tabla2[[#This Row],[entrada_litros]]*Tabla2[[#This Row],[entrada_grasa_g_l]]/1000</f>
        <v>0</v>
      </c>
      <c r="N21">
        <f>Tabla2[[#This Row],[entrada_litros]]*Tabla2[[#This Row],[entrada_prot_g_l]]/1000</f>
        <v>0</v>
      </c>
      <c r="O21">
        <f>Tabla2[[#This Row],[cuba_fab_litros]]*Tabla2[[#This Row],[cuba_fab_grasa_g_l]]/1000</f>
        <v>234.72288</v>
      </c>
      <c r="P21">
        <f>Tabla2[[#This Row],[cuba_fab_litros]]*Tabla2[[#This Row],[cuba_fab_prot_g_l]]/1000</f>
        <v>206.29728</v>
      </c>
      <c r="Q21">
        <f>Tabla2[[#This Row],[queso_kg]]*Tabla2[[#This Row],[queso_est_pct]]/100</f>
        <v>375.101856</v>
      </c>
      <c r="R21">
        <f>Tabla2[[#This Row],[queso_kg]]*Tabla2[[#This Row],[queso_mg_pct]]/100</f>
        <v>200.99771000000001</v>
      </c>
      <c r="S21">
        <f>_xlfn.ISOWEEKNUM(Tabla2[[#This Row],[fecha]])</f>
        <v>3</v>
      </c>
      <c r="T21">
        <v>3</v>
      </c>
    </row>
    <row r="22" spans="1:20" x14ac:dyDescent="0.25">
      <c r="A22" s="1">
        <v>45311</v>
      </c>
      <c r="M22">
        <f>Tabla2[[#This Row],[entrada_litros]]*Tabla2[[#This Row],[entrada_grasa_g_l]]/1000</f>
        <v>0</v>
      </c>
      <c r="N22">
        <f>Tabla2[[#This Row],[entrada_litros]]*Tabla2[[#This Row],[entrada_prot_g_l]]/1000</f>
        <v>0</v>
      </c>
      <c r="O22">
        <f>Tabla2[[#This Row],[cuba_fab_litros]]*Tabla2[[#This Row],[cuba_fab_grasa_g_l]]/1000</f>
        <v>0</v>
      </c>
      <c r="P22">
        <f>Tabla2[[#This Row],[cuba_fab_litros]]*Tabla2[[#This Row],[cuba_fab_prot_g_l]]/1000</f>
        <v>0</v>
      </c>
      <c r="Q22">
        <f>Tabla2[[#This Row],[queso_kg]]*Tabla2[[#This Row],[queso_est_pct]]/100</f>
        <v>0</v>
      </c>
      <c r="R22">
        <f>Tabla2[[#This Row],[queso_kg]]*Tabla2[[#This Row],[queso_mg_pct]]/100</f>
        <v>0</v>
      </c>
      <c r="S22">
        <f>_xlfn.ISOWEEKNUM(Tabla2[[#This Row],[fecha]])</f>
        <v>3</v>
      </c>
      <c r="T22">
        <v>3</v>
      </c>
    </row>
    <row r="23" spans="1:20" x14ac:dyDescent="0.25">
      <c r="A23" s="1">
        <v>45312</v>
      </c>
      <c r="B23">
        <v>4886</v>
      </c>
      <c r="C23">
        <v>4744</v>
      </c>
      <c r="D23">
        <v>40.770000000000003</v>
      </c>
      <c r="E23">
        <v>35.93</v>
      </c>
      <c r="I23">
        <v>4744</v>
      </c>
      <c r="M23">
        <f>Tabla2[[#This Row],[entrada_litros]]*Tabla2[[#This Row],[entrada_grasa_g_l]]/1000</f>
        <v>193.41288</v>
      </c>
      <c r="N23">
        <f>Tabla2[[#This Row],[entrada_litros]]*Tabla2[[#This Row],[entrada_prot_g_l]]/1000</f>
        <v>170.45192</v>
      </c>
      <c r="O23">
        <f>Tabla2[[#This Row],[cuba_fab_litros]]*Tabla2[[#This Row],[cuba_fab_grasa_g_l]]/1000</f>
        <v>0</v>
      </c>
      <c r="P23">
        <f>Tabla2[[#This Row],[cuba_fab_litros]]*Tabla2[[#This Row],[cuba_fab_prot_g_l]]/1000</f>
        <v>0</v>
      </c>
      <c r="Q23">
        <f>Tabla2[[#This Row],[queso_kg]]*Tabla2[[#This Row],[queso_est_pct]]/100</f>
        <v>0</v>
      </c>
      <c r="R23">
        <f>Tabla2[[#This Row],[queso_kg]]*Tabla2[[#This Row],[queso_mg_pct]]/100</f>
        <v>0</v>
      </c>
      <c r="S23">
        <f>_xlfn.ISOWEEKNUM(Tabla2[[#This Row],[fecha]])</f>
        <v>3</v>
      </c>
      <c r="T23">
        <v>4</v>
      </c>
    </row>
    <row r="24" spans="1:20" x14ac:dyDescent="0.25">
      <c r="A24" s="1">
        <v>45313</v>
      </c>
      <c r="B24">
        <v>5336</v>
      </c>
      <c r="C24">
        <v>5181</v>
      </c>
      <c r="D24">
        <v>40.69</v>
      </c>
      <c r="E24">
        <v>35.630000000000003</v>
      </c>
      <c r="F24">
        <v>5030</v>
      </c>
      <c r="G24">
        <v>39.04</v>
      </c>
      <c r="H24">
        <v>34.08</v>
      </c>
      <c r="I24">
        <v>4925</v>
      </c>
      <c r="J24">
        <v>591.33000000000004</v>
      </c>
      <c r="K24">
        <v>50.76</v>
      </c>
      <c r="L24">
        <v>25.86</v>
      </c>
      <c r="M24">
        <f>Tabla2[[#This Row],[entrada_litros]]*Tabla2[[#This Row],[entrada_grasa_g_l]]/1000</f>
        <v>210.81488999999999</v>
      </c>
      <c r="N24">
        <f>Tabla2[[#This Row],[entrada_litros]]*Tabla2[[#This Row],[entrada_prot_g_l]]/1000</f>
        <v>184.59903</v>
      </c>
      <c r="O24">
        <f>Tabla2[[#This Row],[cuba_fab_litros]]*Tabla2[[#This Row],[cuba_fab_grasa_g_l]]/1000</f>
        <v>196.37119999999999</v>
      </c>
      <c r="P24">
        <f>Tabla2[[#This Row],[cuba_fab_litros]]*Tabla2[[#This Row],[cuba_fab_prot_g_l]]/1000</f>
        <v>171.42239999999998</v>
      </c>
      <c r="Q24">
        <f>Tabla2[[#This Row],[queso_kg]]*Tabla2[[#This Row],[queso_est_pct]]/100</f>
        <v>300.159108</v>
      </c>
      <c r="R24">
        <f>Tabla2[[#This Row],[queso_kg]]*Tabla2[[#This Row],[queso_mg_pct]]/100</f>
        <v>152.91793800000002</v>
      </c>
      <c r="S24">
        <f>_xlfn.ISOWEEKNUM(Tabla2[[#This Row],[fecha]])</f>
        <v>4</v>
      </c>
      <c r="T24">
        <v>4</v>
      </c>
    </row>
    <row r="25" spans="1:20" x14ac:dyDescent="0.25">
      <c r="A25" s="1">
        <v>45314</v>
      </c>
      <c r="B25">
        <v>4632</v>
      </c>
      <c r="C25">
        <v>4497</v>
      </c>
      <c r="D25">
        <v>40.020000000000003</v>
      </c>
      <c r="E25">
        <v>35.08</v>
      </c>
      <c r="F25">
        <v>5028</v>
      </c>
      <c r="G25">
        <v>38.520000000000003</v>
      </c>
      <c r="H25">
        <v>33.549999999999997</v>
      </c>
      <c r="I25">
        <v>4422</v>
      </c>
      <c r="J25">
        <v>584.72</v>
      </c>
      <c r="K25">
        <v>51.52</v>
      </c>
      <c r="L25">
        <v>26.88</v>
      </c>
      <c r="M25">
        <f>Tabla2[[#This Row],[entrada_litros]]*Tabla2[[#This Row],[entrada_grasa_g_l]]/1000</f>
        <v>179.96994000000001</v>
      </c>
      <c r="N25">
        <f>Tabla2[[#This Row],[entrada_litros]]*Tabla2[[#This Row],[entrada_prot_g_l]]/1000</f>
        <v>157.75475999999998</v>
      </c>
      <c r="O25">
        <f>Tabla2[[#This Row],[cuba_fab_litros]]*Tabla2[[#This Row],[cuba_fab_grasa_g_l]]/1000</f>
        <v>193.67856000000003</v>
      </c>
      <c r="P25">
        <f>Tabla2[[#This Row],[cuba_fab_litros]]*Tabla2[[#This Row],[cuba_fab_prot_g_l]]/1000</f>
        <v>168.68940000000001</v>
      </c>
      <c r="Q25">
        <f>Tabla2[[#This Row],[queso_kg]]*Tabla2[[#This Row],[queso_est_pct]]/100</f>
        <v>301.24774400000001</v>
      </c>
      <c r="R25">
        <f>Tabla2[[#This Row],[queso_kg]]*Tabla2[[#This Row],[queso_mg_pct]]/100</f>
        <v>157.17273600000001</v>
      </c>
      <c r="S25">
        <f>_xlfn.ISOWEEKNUM(Tabla2[[#This Row],[fecha]])</f>
        <v>4</v>
      </c>
      <c r="T25">
        <v>4</v>
      </c>
    </row>
    <row r="26" spans="1:20" x14ac:dyDescent="0.25">
      <c r="A26" s="1">
        <v>45315</v>
      </c>
      <c r="B26">
        <v>5031</v>
      </c>
      <c r="C26">
        <v>4884</v>
      </c>
      <c r="D26">
        <v>42.1</v>
      </c>
      <c r="E26">
        <v>36.58</v>
      </c>
      <c r="F26">
        <v>5017</v>
      </c>
      <c r="G26">
        <v>39.299999999999997</v>
      </c>
      <c r="H26">
        <v>34.78</v>
      </c>
      <c r="I26">
        <v>4306</v>
      </c>
      <c r="J26">
        <v>599.92999999999995</v>
      </c>
      <c r="K26">
        <v>52.93</v>
      </c>
      <c r="L26">
        <v>25.73</v>
      </c>
      <c r="M26">
        <f>Tabla2[[#This Row],[entrada_litros]]*Tabla2[[#This Row],[entrada_grasa_g_l]]/1000</f>
        <v>205.6164</v>
      </c>
      <c r="N26">
        <f>Tabla2[[#This Row],[entrada_litros]]*Tabla2[[#This Row],[entrada_prot_g_l]]/1000</f>
        <v>178.65672000000001</v>
      </c>
      <c r="O26">
        <f>Tabla2[[#This Row],[cuba_fab_litros]]*Tabla2[[#This Row],[cuba_fab_grasa_g_l]]/1000</f>
        <v>197.16809999999998</v>
      </c>
      <c r="P26">
        <f>Tabla2[[#This Row],[cuba_fab_litros]]*Tabla2[[#This Row],[cuba_fab_prot_g_l]]/1000</f>
        <v>174.49126000000001</v>
      </c>
      <c r="Q26">
        <f>Tabla2[[#This Row],[queso_kg]]*Tabla2[[#This Row],[queso_est_pct]]/100</f>
        <v>317.54294899999996</v>
      </c>
      <c r="R26">
        <f>Tabla2[[#This Row],[queso_kg]]*Tabla2[[#This Row],[queso_mg_pct]]/100</f>
        <v>154.36198899999999</v>
      </c>
      <c r="S26">
        <f>_xlfn.ISOWEEKNUM(Tabla2[[#This Row],[fecha]])</f>
        <v>4</v>
      </c>
      <c r="T26">
        <v>4</v>
      </c>
    </row>
    <row r="27" spans="1:20" x14ac:dyDescent="0.25">
      <c r="A27" s="1">
        <v>45316</v>
      </c>
      <c r="B27">
        <v>5245</v>
      </c>
      <c r="C27">
        <v>5092</v>
      </c>
      <c r="D27">
        <v>44.18</v>
      </c>
      <c r="E27">
        <v>35.950000000000003</v>
      </c>
      <c r="F27">
        <v>5034</v>
      </c>
      <c r="G27">
        <v>40.67</v>
      </c>
      <c r="H27">
        <v>34.24</v>
      </c>
      <c r="I27">
        <v>4398</v>
      </c>
      <c r="J27">
        <v>586.55999999999995</v>
      </c>
      <c r="K27">
        <v>53.19</v>
      </c>
      <c r="L27">
        <v>27.42</v>
      </c>
      <c r="M27">
        <f>Tabla2[[#This Row],[entrada_litros]]*Tabla2[[#This Row],[entrada_grasa_g_l]]/1000</f>
        <v>224.96456000000001</v>
      </c>
      <c r="N27">
        <f>Tabla2[[#This Row],[entrada_litros]]*Tabla2[[#This Row],[entrada_prot_g_l]]/1000</f>
        <v>183.05740000000003</v>
      </c>
      <c r="O27">
        <f>Tabla2[[#This Row],[cuba_fab_litros]]*Tabla2[[#This Row],[cuba_fab_grasa_g_l]]/1000</f>
        <v>204.73277999999999</v>
      </c>
      <c r="P27">
        <f>Tabla2[[#This Row],[cuba_fab_litros]]*Tabla2[[#This Row],[cuba_fab_prot_g_l]]/1000</f>
        <v>172.36416</v>
      </c>
      <c r="Q27">
        <f>Tabla2[[#This Row],[queso_kg]]*Tabla2[[#This Row],[queso_est_pct]]/100</f>
        <v>311.991264</v>
      </c>
      <c r="R27">
        <f>Tabla2[[#This Row],[queso_kg]]*Tabla2[[#This Row],[queso_mg_pct]]/100</f>
        <v>160.83475199999998</v>
      </c>
      <c r="S27">
        <f>_xlfn.ISOWEEKNUM(Tabla2[[#This Row],[fecha]])</f>
        <v>4</v>
      </c>
      <c r="T27">
        <v>4</v>
      </c>
    </row>
    <row r="28" spans="1:20" x14ac:dyDescent="0.25">
      <c r="A28" s="1">
        <v>45317</v>
      </c>
      <c r="F28">
        <v>4423</v>
      </c>
      <c r="G28">
        <v>40.93</v>
      </c>
      <c r="H28">
        <v>34.15</v>
      </c>
      <c r="J28">
        <v>491.12</v>
      </c>
      <c r="K28">
        <v>53.29</v>
      </c>
      <c r="L28">
        <v>26.69</v>
      </c>
      <c r="M28">
        <f>Tabla2[[#This Row],[entrada_litros]]*Tabla2[[#This Row],[entrada_grasa_g_l]]/1000</f>
        <v>0</v>
      </c>
      <c r="N28">
        <f>Tabla2[[#This Row],[entrada_litros]]*Tabla2[[#This Row],[entrada_prot_g_l]]/1000</f>
        <v>0</v>
      </c>
      <c r="O28">
        <f>Tabla2[[#This Row],[cuba_fab_litros]]*Tabla2[[#This Row],[cuba_fab_grasa_g_l]]/1000</f>
        <v>181.03339</v>
      </c>
      <c r="P28">
        <f>Tabla2[[#This Row],[cuba_fab_litros]]*Tabla2[[#This Row],[cuba_fab_prot_g_l]]/1000</f>
        <v>151.04544999999999</v>
      </c>
      <c r="Q28">
        <f>Tabla2[[#This Row],[queso_kg]]*Tabla2[[#This Row],[queso_est_pct]]/100</f>
        <v>261.717848</v>
      </c>
      <c r="R28">
        <f>Tabla2[[#This Row],[queso_kg]]*Tabla2[[#This Row],[queso_mg_pct]]/100</f>
        <v>131.079928</v>
      </c>
      <c r="S28">
        <f>_xlfn.ISOWEEKNUM(Tabla2[[#This Row],[fecha]])</f>
        <v>4</v>
      </c>
      <c r="T28">
        <v>4</v>
      </c>
    </row>
    <row r="29" spans="1:20" x14ac:dyDescent="0.25">
      <c r="A29" s="1">
        <v>45318</v>
      </c>
      <c r="M29">
        <f>Tabla2[[#This Row],[entrada_litros]]*Tabla2[[#This Row],[entrada_grasa_g_l]]/1000</f>
        <v>0</v>
      </c>
      <c r="N29">
        <f>Tabla2[[#This Row],[entrada_litros]]*Tabla2[[#This Row],[entrada_prot_g_l]]/1000</f>
        <v>0</v>
      </c>
      <c r="O29">
        <f>Tabla2[[#This Row],[cuba_fab_litros]]*Tabla2[[#This Row],[cuba_fab_grasa_g_l]]/1000</f>
        <v>0</v>
      </c>
      <c r="P29">
        <f>Tabla2[[#This Row],[cuba_fab_litros]]*Tabla2[[#This Row],[cuba_fab_prot_g_l]]/1000</f>
        <v>0</v>
      </c>
      <c r="Q29">
        <f>Tabla2[[#This Row],[queso_kg]]*Tabla2[[#This Row],[queso_est_pct]]/100</f>
        <v>0</v>
      </c>
      <c r="R29">
        <f>Tabla2[[#This Row],[queso_kg]]*Tabla2[[#This Row],[queso_mg_pct]]/100</f>
        <v>0</v>
      </c>
      <c r="S29">
        <f>_xlfn.ISOWEEKNUM(Tabla2[[#This Row],[fecha]])</f>
        <v>4</v>
      </c>
      <c r="T29">
        <v>4</v>
      </c>
    </row>
    <row r="30" spans="1:20" x14ac:dyDescent="0.25">
      <c r="A30" s="1">
        <v>45319</v>
      </c>
      <c r="B30">
        <v>5167</v>
      </c>
      <c r="C30">
        <v>5017</v>
      </c>
      <c r="D30">
        <v>42.34</v>
      </c>
      <c r="E30">
        <v>37.08</v>
      </c>
      <c r="I30">
        <v>5017</v>
      </c>
      <c r="M30">
        <f>Tabla2[[#This Row],[entrada_litros]]*Tabla2[[#This Row],[entrada_grasa_g_l]]/1000</f>
        <v>212.41978000000003</v>
      </c>
      <c r="N30">
        <f>Tabla2[[#This Row],[entrada_litros]]*Tabla2[[#This Row],[entrada_prot_g_l]]/1000</f>
        <v>186.03035999999997</v>
      </c>
      <c r="O30">
        <f>Tabla2[[#This Row],[cuba_fab_litros]]*Tabla2[[#This Row],[cuba_fab_grasa_g_l]]/1000</f>
        <v>0</v>
      </c>
      <c r="P30">
        <f>Tabla2[[#This Row],[cuba_fab_litros]]*Tabla2[[#This Row],[cuba_fab_prot_g_l]]/1000</f>
        <v>0</v>
      </c>
      <c r="Q30">
        <f>Tabla2[[#This Row],[queso_kg]]*Tabla2[[#This Row],[queso_est_pct]]/100</f>
        <v>0</v>
      </c>
      <c r="R30">
        <f>Tabla2[[#This Row],[queso_kg]]*Tabla2[[#This Row],[queso_mg_pct]]/100</f>
        <v>0</v>
      </c>
      <c r="S30">
        <f>_xlfn.ISOWEEKNUM(Tabla2[[#This Row],[fecha]])</f>
        <v>4</v>
      </c>
      <c r="T30">
        <v>5</v>
      </c>
    </row>
    <row r="31" spans="1:20" x14ac:dyDescent="0.25">
      <c r="A31" s="1">
        <v>45320</v>
      </c>
      <c r="B31">
        <v>5069</v>
      </c>
      <c r="C31">
        <v>4921</v>
      </c>
      <c r="D31">
        <v>42.5</v>
      </c>
      <c r="E31">
        <v>35.979999999999997</v>
      </c>
      <c r="F31">
        <v>5026</v>
      </c>
      <c r="G31">
        <v>40.24</v>
      </c>
      <c r="H31">
        <v>34.979999999999997</v>
      </c>
      <c r="I31">
        <v>4938</v>
      </c>
      <c r="J31">
        <v>572.55999999999995</v>
      </c>
      <c r="K31">
        <v>52.19</v>
      </c>
      <c r="L31">
        <v>27.65</v>
      </c>
      <c r="M31">
        <f>Tabla2[[#This Row],[entrada_litros]]*Tabla2[[#This Row],[entrada_grasa_g_l]]/1000</f>
        <v>209.14250000000001</v>
      </c>
      <c r="N31">
        <f>Tabla2[[#This Row],[entrada_litros]]*Tabla2[[#This Row],[entrada_prot_g_l]]/1000</f>
        <v>177.05757999999997</v>
      </c>
      <c r="O31">
        <f>Tabla2[[#This Row],[cuba_fab_litros]]*Tabla2[[#This Row],[cuba_fab_grasa_g_l]]/1000</f>
        <v>202.24624000000003</v>
      </c>
      <c r="P31">
        <f>Tabla2[[#This Row],[cuba_fab_litros]]*Tabla2[[#This Row],[cuba_fab_prot_g_l]]/1000</f>
        <v>175.80947999999998</v>
      </c>
      <c r="Q31">
        <f>Tabla2[[#This Row],[queso_kg]]*Tabla2[[#This Row],[queso_est_pct]]/100</f>
        <v>298.81906399999997</v>
      </c>
      <c r="R31">
        <f>Tabla2[[#This Row],[queso_kg]]*Tabla2[[#This Row],[queso_mg_pct]]/100</f>
        <v>158.31283999999997</v>
      </c>
      <c r="S31">
        <f>_xlfn.ISOWEEKNUM(Tabla2[[#This Row],[fecha]])</f>
        <v>5</v>
      </c>
      <c r="T31">
        <v>5</v>
      </c>
    </row>
    <row r="32" spans="1:20" x14ac:dyDescent="0.25">
      <c r="A32" s="1">
        <v>45321</v>
      </c>
      <c r="B32">
        <v>5229</v>
      </c>
      <c r="C32">
        <v>5077</v>
      </c>
      <c r="D32">
        <v>39.6</v>
      </c>
      <c r="E32">
        <v>35.57</v>
      </c>
      <c r="F32">
        <v>5030</v>
      </c>
      <c r="G32">
        <v>38.78</v>
      </c>
      <c r="H32">
        <v>34.340000000000003</v>
      </c>
      <c r="I32">
        <v>5015</v>
      </c>
      <c r="J32">
        <v>605.80999999999995</v>
      </c>
      <c r="K32">
        <v>52.05</v>
      </c>
      <c r="L32">
        <v>27.97</v>
      </c>
      <c r="M32">
        <f>Tabla2[[#This Row],[entrada_litros]]*Tabla2[[#This Row],[entrada_grasa_g_l]]/1000</f>
        <v>201.04920000000001</v>
      </c>
      <c r="N32">
        <f>Tabla2[[#This Row],[entrada_litros]]*Tabla2[[#This Row],[entrada_prot_g_l]]/1000</f>
        <v>180.58889000000002</v>
      </c>
      <c r="O32">
        <f>Tabla2[[#This Row],[cuba_fab_litros]]*Tabla2[[#This Row],[cuba_fab_grasa_g_l]]/1000</f>
        <v>195.0634</v>
      </c>
      <c r="P32">
        <f>Tabla2[[#This Row],[cuba_fab_litros]]*Tabla2[[#This Row],[cuba_fab_prot_g_l]]/1000</f>
        <v>172.73020000000002</v>
      </c>
      <c r="Q32">
        <f>Tabla2[[#This Row],[queso_kg]]*Tabla2[[#This Row],[queso_est_pct]]/100</f>
        <v>315.32410499999992</v>
      </c>
      <c r="R32">
        <f>Tabla2[[#This Row],[queso_kg]]*Tabla2[[#This Row],[queso_mg_pct]]/100</f>
        <v>169.44505699999999</v>
      </c>
      <c r="S32">
        <f>_xlfn.ISOWEEKNUM(Tabla2[[#This Row],[fecha]])</f>
        <v>5</v>
      </c>
      <c r="T32">
        <v>5</v>
      </c>
    </row>
    <row r="33" spans="1:20" x14ac:dyDescent="0.25">
      <c r="A33" s="1">
        <v>45322</v>
      </c>
      <c r="B33">
        <v>4669</v>
      </c>
      <c r="C33">
        <v>4533</v>
      </c>
      <c r="D33">
        <v>43.36</v>
      </c>
      <c r="E33">
        <v>36.729999999999997</v>
      </c>
      <c r="F33">
        <v>5027</v>
      </c>
      <c r="G33">
        <v>40.22</v>
      </c>
      <c r="H33">
        <v>34.82</v>
      </c>
      <c r="I33">
        <v>4548</v>
      </c>
      <c r="J33">
        <v>579.69000000000005</v>
      </c>
      <c r="K33">
        <v>51.38</v>
      </c>
      <c r="L33">
        <v>26.33</v>
      </c>
      <c r="M33">
        <f>Tabla2[[#This Row],[entrada_litros]]*Tabla2[[#This Row],[entrada_grasa_g_l]]/1000</f>
        <v>196.55088000000001</v>
      </c>
      <c r="N33">
        <f>Tabla2[[#This Row],[entrada_litros]]*Tabla2[[#This Row],[entrada_prot_g_l]]/1000</f>
        <v>166.49708999999999</v>
      </c>
      <c r="O33">
        <f>Tabla2[[#This Row],[cuba_fab_litros]]*Tabla2[[#This Row],[cuba_fab_grasa_g_l]]/1000</f>
        <v>202.18594000000002</v>
      </c>
      <c r="P33">
        <f>Tabla2[[#This Row],[cuba_fab_litros]]*Tabla2[[#This Row],[cuba_fab_prot_g_l]]/1000</f>
        <v>175.04014000000001</v>
      </c>
      <c r="Q33">
        <f>Tabla2[[#This Row],[queso_kg]]*Tabla2[[#This Row],[queso_est_pct]]/100</f>
        <v>297.84472200000005</v>
      </c>
      <c r="R33">
        <f>Tabla2[[#This Row],[queso_kg]]*Tabla2[[#This Row],[queso_mg_pct]]/100</f>
        <v>152.63237699999999</v>
      </c>
      <c r="S33">
        <f>_xlfn.ISOWEEKNUM(Tabla2[[#This Row],[fecha]])</f>
        <v>5</v>
      </c>
      <c r="T33">
        <v>5</v>
      </c>
    </row>
    <row r="34" spans="1:20" x14ac:dyDescent="0.25">
      <c r="A34" s="1">
        <v>45323</v>
      </c>
      <c r="B34">
        <v>5215</v>
      </c>
      <c r="C34">
        <v>5063</v>
      </c>
      <c r="D34">
        <v>42.23</v>
      </c>
      <c r="E34">
        <v>36.25</v>
      </c>
      <c r="F34">
        <v>5022</v>
      </c>
      <c r="G34">
        <v>40.11</v>
      </c>
      <c r="H34">
        <v>34.53</v>
      </c>
      <c r="I34">
        <v>4611</v>
      </c>
      <c r="J34">
        <v>601.19000000000005</v>
      </c>
      <c r="K34">
        <v>51.49</v>
      </c>
      <c r="L34">
        <v>27.35</v>
      </c>
      <c r="M34">
        <f>Tabla2[[#This Row],[entrada_litros]]*Tabla2[[#This Row],[entrada_grasa_g_l]]/1000</f>
        <v>213.81048999999999</v>
      </c>
      <c r="N34">
        <f>Tabla2[[#This Row],[entrada_litros]]*Tabla2[[#This Row],[entrada_prot_g_l]]/1000</f>
        <v>183.53375</v>
      </c>
      <c r="O34">
        <f>Tabla2[[#This Row],[cuba_fab_litros]]*Tabla2[[#This Row],[cuba_fab_grasa_g_l]]/1000</f>
        <v>201.43241999999998</v>
      </c>
      <c r="P34">
        <f>Tabla2[[#This Row],[cuba_fab_litros]]*Tabla2[[#This Row],[cuba_fab_prot_g_l]]/1000</f>
        <v>173.40966</v>
      </c>
      <c r="Q34">
        <f>Tabla2[[#This Row],[queso_kg]]*Tabla2[[#This Row],[queso_est_pct]]/100</f>
        <v>309.55273100000005</v>
      </c>
      <c r="R34">
        <f>Tabla2[[#This Row],[queso_kg]]*Tabla2[[#This Row],[queso_mg_pct]]/100</f>
        <v>164.42546500000003</v>
      </c>
      <c r="S34">
        <f>_xlfn.ISOWEEKNUM(Tabla2[[#This Row],[fecha]])</f>
        <v>5</v>
      </c>
      <c r="T34">
        <v>5</v>
      </c>
    </row>
    <row r="35" spans="1:20" x14ac:dyDescent="0.25">
      <c r="A35" s="1">
        <v>45324</v>
      </c>
      <c r="F35">
        <v>4640</v>
      </c>
      <c r="G35">
        <v>39.96</v>
      </c>
      <c r="H35">
        <v>34.71</v>
      </c>
      <c r="J35">
        <v>539.78</v>
      </c>
      <c r="K35">
        <v>52.67</v>
      </c>
      <c r="L35">
        <v>26.55</v>
      </c>
      <c r="M35">
        <f>Tabla2[[#This Row],[entrada_litros]]*Tabla2[[#This Row],[entrada_grasa_g_l]]/1000</f>
        <v>0</v>
      </c>
      <c r="N35">
        <f>Tabla2[[#This Row],[entrada_litros]]*Tabla2[[#This Row],[entrada_prot_g_l]]/1000</f>
        <v>0</v>
      </c>
      <c r="O35">
        <f>Tabla2[[#This Row],[cuba_fab_litros]]*Tabla2[[#This Row],[cuba_fab_grasa_g_l]]/1000</f>
        <v>185.4144</v>
      </c>
      <c r="P35">
        <f>Tabla2[[#This Row],[cuba_fab_litros]]*Tabla2[[#This Row],[cuba_fab_prot_g_l]]/1000</f>
        <v>161.05439999999999</v>
      </c>
      <c r="Q35">
        <f>Tabla2[[#This Row],[queso_kg]]*Tabla2[[#This Row],[queso_est_pct]]/100</f>
        <v>284.30212599999999</v>
      </c>
      <c r="R35">
        <f>Tabla2[[#This Row],[queso_kg]]*Tabla2[[#This Row],[queso_mg_pct]]/100</f>
        <v>143.31159</v>
      </c>
      <c r="S35">
        <f>_xlfn.ISOWEEKNUM(Tabla2[[#This Row],[fecha]])</f>
        <v>5</v>
      </c>
      <c r="T35">
        <v>5</v>
      </c>
    </row>
    <row r="36" spans="1:20" x14ac:dyDescent="0.25">
      <c r="A36" s="1">
        <v>45325</v>
      </c>
      <c r="M36">
        <f>Tabla2[[#This Row],[entrada_litros]]*Tabla2[[#This Row],[entrada_grasa_g_l]]/1000</f>
        <v>0</v>
      </c>
      <c r="N36">
        <f>Tabla2[[#This Row],[entrada_litros]]*Tabla2[[#This Row],[entrada_prot_g_l]]/1000</f>
        <v>0</v>
      </c>
      <c r="O36">
        <f>Tabla2[[#This Row],[cuba_fab_litros]]*Tabla2[[#This Row],[cuba_fab_grasa_g_l]]/1000</f>
        <v>0</v>
      </c>
      <c r="P36">
        <f>Tabla2[[#This Row],[cuba_fab_litros]]*Tabla2[[#This Row],[cuba_fab_prot_g_l]]/1000</f>
        <v>0</v>
      </c>
      <c r="Q36">
        <f>Tabla2[[#This Row],[queso_kg]]*Tabla2[[#This Row],[queso_est_pct]]/100</f>
        <v>0</v>
      </c>
      <c r="R36">
        <f>Tabla2[[#This Row],[queso_kg]]*Tabla2[[#This Row],[queso_mg_pct]]/100</f>
        <v>0</v>
      </c>
      <c r="S36">
        <f>_xlfn.ISOWEEKNUM(Tabla2[[#This Row],[fecha]])</f>
        <v>5</v>
      </c>
      <c r="T36">
        <v>5</v>
      </c>
    </row>
    <row r="37" spans="1:20" x14ac:dyDescent="0.25">
      <c r="A37" s="1">
        <v>45326</v>
      </c>
      <c r="B37">
        <v>5112</v>
      </c>
      <c r="C37">
        <v>4963</v>
      </c>
      <c r="D37">
        <v>44.29</v>
      </c>
      <c r="E37">
        <v>34.97</v>
      </c>
      <c r="I37">
        <v>4963</v>
      </c>
      <c r="M37">
        <f>Tabla2[[#This Row],[entrada_litros]]*Tabla2[[#This Row],[entrada_grasa_g_l]]/1000</f>
        <v>219.81126999999998</v>
      </c>
      <c r="N37">
        <f>Tabla2[[#This Row],[entrada_litros]]*Tabla2[[#This Row],[entrada_prot_g_l]]/1000</f>
        <v>173.55610999999999</v>
      </c>
      <c r="O37">
        <f>Tabla2[[#This Row],[cuba_fab_litros]]*Tabla2[[#This Row],[cuba_fab_grasa_g_l]]/1000</f>
        <v>0</v>
      </c>
      <c r="P37">
        <f>Tabla2[[#This Row],[cuba_fab_litros]]*Tabla2[[#This Row],[cuba_fab_prot_g_l]]/1000</f>
        <v>0</v>
      </c>
      <c r="Q37">
        <f>Tabla2[[#This Row],[queso_kg]]*Tabla2[[#This Row],[queso_est_pct]]/100</f>
        <v>0</v>
      </c>
      <c r="R37">
        <f>Tabla2[[#This Row],[queso_kg]]*Tabla2[[#This Row],[queso_mg_pct]]/100</f>
        <v>0</v>
      </c>
      <c r="S37">
        <f>_xlfn.ISOWEEKNUM(Tabla2[[#This Row],[fecha]])</f>
        <v>5</v>
      </c>
      <c r="T37">
        <v>6</v>
      </c>
    </row>
    <row r="38" spans="1:20" x14ac:dyDescent="0.25">
      <c r="A38" s="1">
        <v>45327</v>
      </c>
      <c r="B38">
        <v>5042</v>
      </c>
      <c r="C38">
        <v>4895</v>
      </c>
      <c r="D38">
        <v>45.35</v>
      </c>
      <c r="E38">
        <v>35.19</v>
      </c>
      <c r="F38">
        <v>5023</v>
      </c>
      <c r="G38">
        <v>42.78</v>
      </c>
      <c r="H38">
        <v>33.35</v>
      </c>
      <c r="I38">
        <v>4858</v>
      </c>
      <c r="J38">
        <v>591.73</v>
      </c>
      <c r="K38">
        <v>53.1</v>
      </c>
      <c r="L38">
        <v>26.96</v>
      </c>
      <c r="M38">
        <f>Tabla2[[#This Row],[entrada_litros]]*Tabla2[[#This Row],[entrada_grasa_g_l]]/1000</f>
        <v>221.98824999999999</v>
      </c>
      <c r="N38">
        <f>Tabla2[[#This Row],[entrada_litros]]*Tabla2[[#This Row],[entrada_prot_g_l]]/1000</f>
        <v>172.25504999999998</v>
      </c>
      <c r="O38">
        <f>Tabla2[[#This Row],[cuba_fab_litros]]*Tabla2[[#This Row],[cuba_fab_grasa_g_l]]/1000</f>
        <v>214.88394</v>
      </c>
      <c r="P38">
        <f>Tabla2[[#This Row],[cuba_fab_litros]]*Tabla2[[#This Row],[cuba_fab_prot_g_l]]/1000</f>
        <v>167.51705000000001</v>
      </c>
      <c r="Q38">
        <f>Tabla2[[#This Row],[queso_kg]]*Tabla2[[#This Row],[queso_est_pct]]/100</f>
        <v>314.20863000000003</v>
      </c>
      <c r="R38">
        <f>Tabla2[[#This Row],[queso_kg]]*Tabla2[[#This Row],[queso_mg_pct]]/100</f>
        <v>159.53040799999999</v>
      </c>
      <c r="S38">
        <f>_xlfn.ISOWEEKNUM(Tabla2[[#This Row],[fecha]])</f>
        <v>6</v>
      </c>
      <c r="T38">
        <v>6</v>
      </c>
    </row>
    <row r="39" spans="1:20" x14ac:dyDescent="0.25">
      <c r="A39" s="1">
        <v>45328</v>
      </c>
      <c r="B39">
        <v>4935</v>
      </c>
      <c r="C39">
        <v>4791</v>
      </c>
      <c r="D39">
        <v>44.54</v>
      </c>
      <c r="E39">
        <v>34.46</v>
      </c>
      <c r="F39">
        <v>5017</v>
      </c>
      <c r="G39">
        <v>43.12</v>
      </c>
      <c r="H39">
        <v>33.26</v>
      </c>
      <c r="I39">
        <v>4649</v>
      </c>
      <c r="J39">
        <v>595.66</v>
      </c>
      <c r="K39">
        <v>53.51</v>
      </c>
      <c r="L39">
        <v>26.74</v>
      </c>
      <c r="M39">
        <f>Tabla2[[#This Row],[entrada_litros]]*Tabla2[[#This Row],[entrada_grasa_g_l]]/1000</f>
        <v>213.39113999999998</v>
      </c>
      <c r="N39">
        <f>Tabla2[[#This Row],[entrada_litros]]*Tabla2[[#This Row],[entrada_prot_g_l]]/1000</f>
        <v>165.09786000000003</v>
      </c>
      <c r="O39">
        <f>Tabla2[[#This Row],[cuba_fab_litros]]*Tabla2[[#This Row],[cuba_fab_grasa_g_l]]/1000</f>
        <v>216.33303999999998</v>
      </c>
      <c r="P39">
        <f>Tabla2[[#This Row],[cuba_fab_litros]]*Tabla2[[#This Row],[cuba_fab_prot_g_l]]/1000</f>
        <v>166.86541999999997</v>
      </c>
      <c r="Q39">
        <f>Tabla2[[#This Row],[queso_kg]]*Tabla2[[#This Row],[queso_est_pct]]/100</f>
        <v>318.73766599999993</v>
      </c>
      <c r="R39">
        <f>Tabla2[[#This Row],[queso_kg]]*Tabla2[[#This Row],[queso_mg_pct]]/100</f>
        <v>159.27948399999997</v>
      </c>
      <c r="S39">
        <f>_xlfn.ISOWEEKNUM(Tabla2[[#This Row],[fecha]])</f>
        <v>6</v>
      </c>
      <c r="T39">
        <v>6</v>
      </c>
    </row>
    <row r="40" spans="1:20" x14ac:dyDescent="0.25">
      <c r="A40" s="1">
        <v>45329</v>
      </c>
      <c r="B40">
        <v>4981</v>
      </c>
      <c r="C40">
        <v>4836</v>
      </c>
      <c r="D40">
        <v>44.62</v>
      </c>
      <c r="E40">
        <v>34.78</v>
      </c>
      <c r="F40">
        <v>5030</v>
      </c>
      <c r="G40">
        <v>42.23</v>
      </c>
      <c r="H40">
        <v>33.33</v>
      </c>
      <c r="I40">
        <v>4485</v>
      </c>
      <c r="J40">
        <v>614.04999999999995</v>
      </c>
      <c r="K40">
        <v>52.43</v>
      </c>
      <c r="L40">
        <v>27.03</v>
      </c>
      <c r="M40">
        <f>Tabla2[[#This Row],[entrada_litros]]*Tabla2[[#This Row],[entrada_grasa_g_l]]/1000</f>
        <v>215.78231999999997</v>
      </c>
      <c r="N40">
        <f>Tabla2[[#This Row],[entrada_litros]]*Tabla2[[#This Row],[entrada_prot_g_l]]/1000</f>
        <v>168.19608000000002</v>
      </c>
      <c r="O40">
        <f>Tabla2[[#This Row],[cuba_fab_litros]]*Tabla2[[#This Row],[cuba_fab_grasa_g_l]]/1000</f>
        <v>212.4169</v>
      </c>
      <c r="P40">
        <f>Tabla2[[#This Row],[cuba_fab_litros]]*Tabla2[[#This Row],[cuba_fab_prot_g_l]]/1000</f>
        <v>167.6499</v>
      </c>
      <c r="Q40">
        <f>Tabla2[[#This Row],[queso_kg]]*Tabla2[[#This Row],[queso_est_pct]]/100</f>
        <v>321.946415</v>
      </c>
      <c r="R40">
        <f>Tabla2[[#This Row],[queso_kg]]*Tabla2[[#This Row],[queso_mg_pct]]/100</f>
        <v>165.97771499999999</v>
      </c>
      <c r="S40">
        <f>_xlfn.ISOWEEKNUM(Tabla2[[#This Row],[fecha]])</f>
        <v>6</v>
      </c>
      <c r="T40">
        <v>6</v>
      </c>
    </row>
    <row r="41" spans="1:20" x14ac:dyDescent="0.25">
      <c r="A41" s="1">
        <v>45330</v>
      </c>
      <c r="B41">
        <v>5234</v>
      </c>
      <c r="C41">
        <v>5082</v>
      </c>
      <c r="D41">
        <v>43.96</v>
      </c>
      <c r="E41">
        <v>34.869999999999997</v>
      </c>
      <c r="F41">
        <v>5018</v>
      </c>
      <c r="G41">
        <v>42.43</v>
      </c>
      <c r="H41">
        <v>33.39</v>
      </c>
      <c r="I41">
        <v>4567</v>
      </c>
      <c r="J41">
        <v>609.44000000000005</v>
      </c>
      <c r="K41">
        <v>52.12</v>
      </c>
      <c r="L41">
        <v>27.37</v>
      </c>
      <c r="M41">
        <f>Tabla2[[#This Row],[entrada_litros]]*Tabla2[[#This Row],[entrada_grasa_g_l]]/1000</f>
        <v>223.40472</v>
      </c>
      <c r="N41">
        <f>Tabla2[[#This Row],[entrada_litros]]*Tabla2[[#This Row],[entrada_prot_g_l]]/1000</f>
        <v>177.20934</v>
      </c>
      <c r="O41">
        <f>Tabla2[[#This Row],[cuba_fab_litros]]*Tabla2[[#This Row],[cuba_fab_grasa_g_l]]/1000</f>
        <v>212.91373999999999</v>
      </c>
      <c r="P41">
        <f>Tabla2[[#This Row],[cuba_fab_litros]]*Tabla2[[#This Row],[cuba_fab_prot_g_l]]/1000</f>
        <v>167.55101999999999</v>
      </c>
      <c r="Q41">
        <f>Tabla2[[#This Row],[queso_kg]]*Tabla2[[#This Row],[queso_est_pct]]/100</f>
        <v>317.640128</v>
      </c>
      <c r="R41">
        <f>Tabla2[[#This Row],[queso_kg]]*Tabla2[[#This Row],[queso_mg_pct]]/100</f>
        <v>166.80372800000001</v>
      </c>
      <c r="S41">
        <f>_xlfn.ISOWEEKNUM(Tabla2[[#This Row],[fecha]])</f>
        <v>6</v>
      </c>
      <c r="T41">
        <v>6</v>
      </c>
    </row>
    <row r="42" spans="1:20" x14ac:dyDescent="0.25">
      <c r="A42" s="1">
        <v>45331</v>
      </c>
      <c r="F42">
        <v>4589</v>
      </c>
      <c r="G42">
        <v>42.24</v>
      </c>
      <c r="H42">
        <v>32.96</v>
      </c>
      <c r="J42">
        <v>523.85</v>
      </c>
      <c r="K42">
        <v>52.51</v>
      </c>
      <c r="L42">
        <v>27.65</v>
      </c>
      <c r="M42">
        <f>Tabla2[[#This Row],[entrada_litros]]*Tabla2[[#This Row],[entrada_grasa_g_l]]/1000</f>
        <v>0</v>
      </c>
      <c r="N42">
        <f>Tabla2[[#This Row],[entrada_litros]]*Tabla2[[#This Row],[entrada_prot_g_l]]/1000</f>
        <v>0</v>
      </c>
      <c r="O42">
        <f>Tabla2[[#This Row],[cuba_fab_litros]]*Tabla2[[#This Row],[cuba_fab_grasa_g_l]]/1000</f>
        <v>193.83936000000003</v>
      </c>
      <c r="P42">
        <f>Tabla2[[#This Row],[cuba_fab_litros]]*Tabla2[[#This Row],[cuba_fab_prot_g_l]]/1000</f>
        <v>151.25344000000001</v>
      </c>
      <c r="Q42">
        <f>Tabla2[[#This Row],[queso_kg]]*Tabla2[[#This Row],[queso_est_pct]]/100</f>
        <v>275.07363499999997</v>
      </c>
      <c r="R42">
        <f>Tabla2[[#This Row],[queso_kg]]*Tabla2[[#This Row],[queso_mg_pct]]/100</f>
        <v>144.844525</v>
      </c>
      <c r="S42">
        <f>_xlfn.ISOWEEKNUM(Tabla2[[#This Row],[fecha]])</f>
        <v>6</v>
      </c>
      <c r="T42">
        <v>6</v>
      </c>
    </row>
    <row r="43" spans="1:20" x14ac:dyDescent="0.25">
      <c r="A43" s="1">
        <v>45332</v>
      </c>
      <c r="M43">
        <f>Tabla2[[#This Row],[entrada_litros]]*Tabla2[[#This Row],[entrada_grasa_g_l]]/1000</f>
        <v>0</v>
      </c>
      <c r="N43">
        <f>Tabla2[[#This Row],[entrada_litros]]*Tabla2[[#This Row],[entrada_prot_g_l]]/1000</f>
        <v>0</v>
      </c>
      <c r="O43">
        <f>Tabla2[[#This Row],[cuba_fab_litros]]*Tabla2[[#This Row],[cuba_fab_grasa_g_l]]/1000</f>
        <v>0</v>
      </c>
      <c r="P43">
        <f>Tabla2[[#This Row],[cuba_fab_litros]]*Tabla2[[#This Row],[cuba_fab_prot_g_l]]/1000</f>
        <v>0</v>
      </c>
      <c r="Q43">
        <f>Tabla2[[#This Row],[queso_kg]]*Tabla2[[#This Row],[queso_est_pct]]/100</f>
        <v>0</v>
      </c>
      <c r="R43">
        <f>Tabla2[[#This Row],[queso_kg]]*Tabla2[[#This Row],[queso_mg_pct]]/100</f>
        <v>0</v>
      </c>
      <c r="S43">
        <f>_xlfn.ISOWEEKNUM(Tabla2[[#This Row],[fecha]])</f>
        <v>6</v>
      </c>
      <c r="T43">
        <v>6</v>
      </c>
    </row>
    <row r="44" spans="1:20" x14ac:dyDescent="0.25">
      <c r="A44" s="1">
        <v>45333</v>
      </c>
      <c r="B44">
        <v>5598</v>
      </c>
      <c r="C44">
        <v>5435</v>
      </c>
      <c r="D44">
        <v>44.05</v>
      </c>
      <c r="E44">
        <v>35.200000000000003</v>
      </c>
      <c r="I44">
        <v>5435</v>
      </c>
      <c r="M44">
        <f>Tabla2[[#This Row],[entrada_litros]]*Tabla2[[#This Row],[entrada_grasa_g_l]]/1000</f>
        <v>239.41174999999998</v>
      </c>
      <c r="N44">
        <f>Tabla2[[#This Row],[entrada_litros]]*Tabla2[[#This Row],[entrada_prot_g_l]]/1000</f>
        <v>191.31200000000004</v>
      </c>
      <c r="O44">
        <f>Tabla2[[#This Row],[cuba_fab_litros]]*Tabla2[[#This Row],[cuba_fab_grasa_g_l]]/1000</f>
        <v>0</v>
      </c>
      <c r="P44">
        <f>Tabla2[[#This Row],[cuba_fab_litros]]*Tabla2[[#This Row],[cuba_fab_prot_g_l]]/1000</f>
        <v>0</v>
      </c>
      <c r="Q44">
        <f>Tabla2[[#This Row],[queso_kg]]*Tabla2[[#This Row],[queso_est_pct]]/100</f>
        <v>0</v>
      </c>
      <c r="R44">
        <f>Tabla2[[#This Row],[queso_kg]]*Tabla2[[#This Row],[queso_mg_pct]]/100</f>
        <v>0</v>
      </c>
      <c r="S44">
        <f>_xlfn.ISOWEEKNUM(Tabla2[[#This Row],[fecha]])</f>
        <v>6</v>
      </c>
      <c r="T44">
        <v>7</v>
      </c>
    </row>
    <row r="45" spans="1:20" x14ac:dyDescent="0.25">
      <c r="A45" s="1">
        <v>45334</v>
      </c>
      <c r="B45">
        <v>5827</v>
      </c>
      <c r="C45">
        <v>5657</v>
      </c>
      <c r="D45">
        <v>42.79</v>
      </c>
      <c r="E45">
        <v>34.53</v>
      </c>
      <c r="F45">
        <v>5026</v>
      </c>
      <c r="G45">
        <v>41.32</v>
      </c>
      <c r="H45">
        <v>33.43</v>
      </c>
      <c r="I45">
        <v>6092</v>
      </c>
      <c r="J45">
        <v>615.14</v>
      </c>
      <c r="K45">
        <v>54.33</v>
      </c>
      <c r="L45">
        <v>27.83</v>
      </c>
      <c r="M45">
        <f>Tabla2[[#This Row],[entrada_litros]]*Tabla2[[#This Row],[entrada_grasa_g_l]]/1000</f>
        <v>242.06303</v>
      </c>
      <c r="N45">
        <f>Tabla2[[#This Row],[entrada_litros]]*Tabla2[[#This Row],[entrada_prot_g_l]]/1000</f>
        <v>195.33621000000002</v>
      </c>
      <c r="O45">
        <f>Tabla2[[#This Row],[cuba_fab_litros]]*Tabla2[[#This Row],[cuba_fab_grasa_g_l]]/1000</f>
        <v>207.67431999999999</v>
      </c>
      <c r="P45">
        <f>Tabla2[[#This Row],[cuba_fab_litros]]*Tabla2[[#This Row],[cuba_fab_prot_g_l]]/1000</f>
        <v>168.01918000000001</v>
      </c>
      <c r="Q45">
        <f>Tabla2[[#This Row],[queso_kg]]*Tabla2[[#This Row],[queso_est_pct]]/100</f>
        <v>334.20556199999999</v>
      </c>
      <c r="R45">
        <f>Tabla2[[#This Row],[queso_kg]]*Tabla2[[#This Row],[queso_mg_pct]]/100</f>
        <v>171.19346200000001</v>
      </c>
      <c r="S45">
        <f>_xlfn.ISOWEEKNUM(Tabla2[[#This Row],[fecha]])</f>
        <v>7</v>
      </c>
      <c r="T45">
        <v>7</v>
      </c>
    </row>
    <row r="46" spans="1:20" x14ac:dyDescent="0.25">
      <c r="A46" s="1">
        <v>45335</v>
      </c>
      <c r="B46">
        <v>5422</v>
      </c>
      <c r="C46">
        <v>5264</v>
      </c>
      <c r="D46">
        <v>44.23</v>
      </c>
      <c r="E46">
        <v>36.21</v>
      </c>
      <c r="F46">
        <v>5031</v>
      </c>
      <c r="G46">
        <v>41.68</v>
      </c>
      <c r="H46">
        <v>34.15</v>
      </c>
      <c r="I46">
        <v>6356</v>
      </c>
      <c r="J46">
        <v>584.83000000000004</v>
      </c>
      <c r="K46">
        <v>53.05</v>
      </c>
      <c r="L46">
        <v>26.32</v>
      </c>
      <c r="M46">
        <f>Tabla2[[#This Row],[entrada_litros]]*Tabla2[[#This Row],[entrada_grasa_g_l]]/1000</f>
        <v>232.82671999999997</v>
      </c>
      <c r="N46">
        <f>Tabla2[[#This Row],[entrada_litros]]*Tabla2[[#This Row],[entrada_prot_g_l]]/1000</f>
        <v>190.60944000000001</v>
      </c>
      <c r="O46">
        <f>Tabla2[[#This Row],[cuba_fab_litros]]*Tabla2[[#This Row],[cuba_fab_grasa_g_l]]/1000</f>
        <v>209.69207999999998</v>
      </c>
      <c r="P46">
        <f>Tabla2[[#This Row],[cuba_fab_litros]]*Tabla2[[#This Row],[cuba_fab_prot_g_l]]/1000</f>
        <v>171.80865</v>
      </c>
      <c r="Q46">
        <f>Tabla2[[#This Row],[queso_kg]]*Tabla2[[#This Row],[queso_est_pct]]/100</f>
        <v>310.25231500000001</v>
      </c>
      <c r="R46">
        <f>Tabla2[[#This Row],[queso_kg]]*Tabla2[[#This Row],[queso_mg_pct]]/100</f>
        <v>153.92725600000003</v>
      </c>
      <c r="S46">
        <f>_xlfn.ISOWEEKNUM(Tabla2[[#This Row],[fecha]])</f>
        <v>7</v>
      </c>
      <c r="T46">
        <v>7</v>
      </c>
    </row>
    <row r="47" spans="1:20" x14ac:dyDescent="0.25">
      <c r="A47" s="1">
        <v>45336</v>
      </c>
      <c r="B47">
        <v>5858</v>
      </c>
      <c r="C47">
        <v>5687</v>
      </c>
      <c r="D47">
        <v>40.79</v>
      </c>
      <c r="E47">
        <v>35.32</v>
      </c>
      <c r="F47">
        <v>5025</v>
      </c>
      <c r="G47">
        <v>40.28</v>
      </c>
      <c r="H47">
        <v>33.72</v>
      </c>
      <c r="I47">
        <v>7043</v>
      </c>
      <c r="J47">
        <v>574.23</v>
      </c>
      <c r="K47">
        <v>52.6</v>
      </c>
      <c r="L47">
        <v>26.44</v>
      </c>
      <c r="M47">
        <f>Tabla2[[#This Row],[entrada_litros]]*Tabla2[[#This Row],[entrada_grasa_g_l]]/1000</f>
        <v>231.97272999999998</v>
      </c>
      <c r="N47">
        <f>Tabla2[[#This Row],[entrada_litros]]*Tabla2[[#This Row],[entrada_prot_g_l]]/1000</f>
        <v>200.86483999999999</v>
      </c>
      <c r="O47">
        <f>Tabla2[[#This Row],[cuba_fab_litros]]*Tabla2[[#This Row],[cuba_fab_grasa_g_l]]/1000</f>
        <v>202.40700000000001</v>
      </c>
      <c r="P47">
        <f>Tabla2[[#This Row],[cuba_fab_litros]]*Tabla2[[#This Row],[cuba_fab_prot_g_l]]/1000</f>
        <v>169.44300000000001</v>
      </c>
      <c r="Q47">
        <f>Tabla2[[#This Row],[queso_kg]]*Tabla2[[#This Row],[queso_est_pct]]/100</f>
        <v>302.04498000000001</v>
      </c>
      <c r="R47">
        <f>Tabla2[[#This Row],[queso_kg]]*Tabla2[[#This Row],[queso_mg_pct]]/100</f>
        <v>151.826412</v>
      </c>
      <c r="S47">
        <f>_xlfn.ISOWEEKNUM(Tabla2[[#This Row],[fecha]])</f>
        <v>7</v>
      </c>
      <c r="T47">
        <v>7</v>
      </c>
    </row>
    <row r="48" spans="1:20" x14ac:dyDescent="0.25">
      <c r="A48" s="1">
        <v>45337</v>
      </c>
      <c r="B48">
        <v>5209</v>
      </c>
      <c r="C48">
        <v>5057</v>
      </c>
      <c r="D48">
        <v>42.22</v>
      </c>
      <c r="E48">
        <v>35.369999999999997</v>
      </c>
      <c r="F48">
        <v>5029</v>
      </c>
      <c r="G48">
        <v>39.869999999999997</v>
      </c>
      <c r="H48">
        <v>33.770000000000003</v>
      </c>
      <c r="I48">
        <v>7100</v>
      </c>
      <c r="J48">
        <v>570.98</v>
      </c>
      <c r="K48">
        <v>49.68</v>
      </c>
      <c r="L48">
        <v>28.21</v>
      </c>
      <c r="M48">
        <f>Tabla2[[#This Row],[entrada_litros]]*Tabla2[[#This Row],[entrada_grasa_g_l]]/1000</f>
        <v>213.50654</v>
      </c>
      <c r="N48">
        <f>Tabla2[[#This Row],[entrada_litros]]*Tabla2[[#This Row],[entrada_prot_g_l]]/1000</f>
        <v>178.86608999999999</v>
      </c>
      <c r="O48">
        <f>Tabla2[[#This Row],[cuba_fab_litros]]*Tabla2[[#This Row],[cuba_fab_grasa_g_l]]/1000</f>
        <v>200.50622999999999</v>
      </c>
      <c r="P48">
        <f>Tabla2[[#This Row],[cuba_fab_litros]]*Tabla2[[#This Row],[cuba_fab_prot_g_l]]/1000</f>
        <v>169.82933000000003</v>
      </c>
      <c r="Q48">
        <f>Tabla2[[#This Row],[queso_kg]]*Tabla2[[#This Row],[queso_est_pct]]/100</f>
        <v>283.66286400000001</v>
      </c>
      <c r="R48">
        <f>Tabla2[[#This Row],[queso_kg]]*Tabla2[[#This Row],[queso_mg_pct]]/100</f>
        <v>161.07345800000002</v>
      </c>
      <c r="S48">
        <f>_xlfn.ISOWEEKNUM(Tabla2[[#This Row],[fecha]])</f>
        <v>7</v>
      </c>
      <c r="T48">
        <v>7</v>
      </c>
    </row>
    <row r="49" spans="1:20" x14ac:dyDescent="0.25">
      <c r="A49" s="1">
        <v>45338</v>
      </c>
      <c r="F49">
        <v>7144</v>
      </c>
      <c r="G49">
        <v>40.619999999999997</v>
      </c>
      <c r="H49">
        <v>34.08</v>
      </c>
      <c r="J49">
        <v>834.99</v>
      </c>
      <c r="K49">
        <v>52.94</v>
      </c>
      <c r="L49">
        <v>26.5</v>
      </c>
      <c r="M49">
        <f>Tabla2[[#This Row],[entrada_litros]]*Tabla2[[#This Row],[entrada_grasa_g_l]]/1000</f>
        <v>0</v>
      </c>
      <c r="N49">
        <f>Tabla2[[#This Row],[entrada_litros]]*Tabla2[[#This Row],[entrada_prot_g_l]]/1000</f>
        <v>0</v>
      </c>
      <c r="O49">
        <f>Tabla2[[#This Row],[cuba_fab_litros]]*Tabla2[[#This Row],[cuba_fab_grasa_g_l]]/1000</f>
        <v>290.18928</v>
      </c>
      <c r="P49">
        <f>Tabla2[[#This Row],[cuba_fab_litros]]*Tabla2[[#This Row],[cuba_fab_prot_g_l]]/1000</f>
        <v>243.46751999999998</v>
      </c>
      <c r="Q49">
        <f>Tabla2[[#This Row],[queso_kg]]*Tabla2[[#This Row],[queso_est_pct]]/100</f>
        <v>442.04370600000004</v>
      </c>
      <c r="R49">
        <f>Tabla2[[#This Row],[queso_kg]]*Tabla2[[#This Row],[queso_mg_pct]]/100</f>
        <v>221.27235000000002</v>
      </c>
      <c r="S49">
        <f>_xlfn.ISOWEEKNUM(Tabla2[[#This Row],[fecha]])</f>
        <v>7</v>
      </c>
      <c r="T49">
        <v>7</v>
      </c>
    </row>
    <row r="50" spans="1:20" x14ac:dyDescent="0.25">
      <c r="A50" s="1">
        <v>45339</v>
      </c>
      <c r="M50">
        <f>Tabla2[[#This Row],[entrada_litros]]*Tabla2[[#This Row],[entrada_grasa_g_l]]/1000</f>
        <v>0</v>
      </c>
      <c r="N50">
        <f>Tabla2[[#This Row],[entrada_litros]]*Tabla2[[#This Row],[entrada_prot_g_l]]/1000</f>
        <v>0</v>
      </c>
      <c r="O50">
        <f>Tabla2[[#This Row],[cuba_fab_litros]]*Tabla2[[#This Row],[cuba_fab_grasa_g_l]]/1000</f>
        <v>0</v>
      </c>
      <c r="P50">
        <f>Tabla2[[#This Row],[cuba_fab_litros]]*Tabla2[[#This Row],[cuba_fab_prot_g_l]]/1000</f>
        <v>0</v>
      </c>
      <c r="Q50">
        <f>Tabla2[[#This Row],[queso_kg]]*Tabla2[[#This Row],[queso_est_pct]]/100</f>
        <v>0</v>
      </c>
      <c r="R50">
        <f>Tabla2[[#This Row],[queso_kg]]*Tabla2[[#This Row],[queso_mg_pct]]/100</f>
        <v>0</v>
      </c>
      <c r="S50">
        <f>_xlfn.ISOWEEKNUM(Tabla2[[#This Row],[fecha]])</f>
        <v>7</v>
      </c>
      <c r="T50">
        <v>7</v>
      </c>
    </row>
    <row r="51" spans="1:20" x14ac:dyDescent="0.25">
      <c r="A51" s="1">
        <v>45340</v>
      </c>
      <c r="B51">
        <v>4633</v>
      </c>
      <c r="C51">
        <v>4498</v>
      </c>
      <c r="D51">
        <v>42.17</v>
      </c>
      <c r="E51">
        <v>35.659999999999997</v>
      </c>
      <c r="I51">
        <v>4498</v>
      </c>
      <c r="M51">
        <f>Tabla2[[#This Row],[entrada_litros]]*Tabla2[[#This Row],[entrada_grasa_g_l]]/1000</f>
        <v>189.68066000000002</v>
      </c>
      <c r="N51">
        <f>Tabla2[[#This Row],[entrada_litros]]*Tabla2[[#This Row],[entrada_prot_g_l]]/1000</f>
        <v>160.39867999999998</v>
      </c>
      <c r="O51">
        <f>Tabla2[[#This Row],[cuba_fab_litros]]*Tabla2[[#This Row],[cuba_fab_grasa_g_l]]/1000</f>
        <v>0</v>
      </c>
      <c r="P51">
        <f>Tabla2[[#This Row],[cuba_fab_litros]]*Tabla2[[#This Row],[cuba_fab_prot_g_l]]/1000</f>
        <v>0</v>
      </c>
      <c r="Q51">
        <f>Tabla2[[#This Row],[queso_kg]]*Tabla2[[#This Row],[queso_est_pct]]/100</f>
        <v>0</v>
      </c>
      <c r="R51">
        <f>Tabla2[[#This Row],[queso_kg]]*Tabla2[[#This Row],[queso_mg_pct]]/100</f>
        <v>0</v>
      </c>
      <c r="S51">
        <f>_xlfn.ISOWEEKNUM(Tabla2[[#This Row],[fecha]])</f>
        <v>7</v>
      </c>
      <c r="T51">
        <v>8</v>
      </c>
    </row>
    <row r="52" spans="1:20" x14ac:dyDescent="0.25">
      <c r="A52" s="1">
        <v>45341</v>
      </c>
      <c r="B52">
        <v>5549</v>
      </c>
      <c r="C52">
        <v>5387</v>
      </c>
      <c r="D52">
        <v>42.66</v>
      </c>
      <c r="E52">
        <v>36.42</v>
      </c>
      <c r="F52">
        <v>5033</v>
      </c>
      <c r="G52">
        <v>40.53</v>
      </c>
      <c r="H52">
        <v>34.78</v>
      </c>
      <c r="I52">
        <v>4885</v>
      </c>
      <c r="J52">
        <v>578.01</v>
      </c>
      <c r="K52">
        <v>51.02</v>
      </c>
      <c r="L52">
        <v>25.76</v>
      </c>
      <c r="M52">
        <f>Tabla2[[#This Row],[entrada_litros]]*Tabla2[[#This Row],[entrada_grasa_g_l]]/1000</f>
        <v>229.80941999999999</v>
      </c>
      <c r="N52">
        <f>Tabla2[[#This Row],[entrada_litros]]*Tabla2[[#This Row],[entrada_prot_g_l]]/1000</f>
        <v>196.19454000000002</v>
      </c>
      <c r="O52">
        <f>Tabla2[[#This Row],[cuba_fab_litros]]*Tabla2[[#This Row],[cuba_fab_grasa_g_l]]/1000</f>
        <v>203.98749000000001</v>
      </c>
      <c r="P52">
        <f>Tabla2[[#This Row],[cuba_fab_litros]]*Tabla2[[#This Row],[cuba_fab_prot_g_l]]/1000</f>
        <v>175.04774000000003</v>
      </c>
      <c r="Q52">
        <f>Tabla2[[#This Row],[queso_kg]]*Tabla2[[#This Row],[queso_est_pct]]/100</f>
        <v>294.90070200000002</v>
      </c>
      <c r="R52">
        <f>Tabla2[[#This Row],[queso_kg]]*Tabla2[[#This Row],[queso_mg_pct]]/100</f>
        <v>148.89537600000003</v>
      </c>
      <c r="S52">
        <f>_xlfn.ISOWEEKNUM(Tabla2[[#This Row],[fecha]])</f>
        <v>8</v>
      </c>
      <c r="T52">
        <v>8</v>
      </c>
    </row>
    <row r="53" spans="1:20" x14ac:dyDescent="0.25">
      <c r="A53" s="1">
        <v>45342</v>
      </c>
      <c r="B53">
        <v>4712</v>
      </c>
      <c r="C53">
        <v>4575</v>
      </c>
      <c r="D53">
        <v>44.79</v>
      </c>
      <c r="E53">
        <v>36.340000000000003</v>
      </c>
      <c r="F53">
        <v>5028</v>
      </c>
      <c r="G53">
        <v>41.4</v>
      </c>
      <c r="H53">
        <v>34.5</v>
      </c>
      <c r="I53">
        <v>4460</v>
      </c>
      <c r="J53">
        <v>593.45000000000005</v>
      </c>
      <c r="K53">
        <v>53.14</v>
      </c>
      <c r="L53">
        <v>27.11</v>
      </c>
      <c r="M53">
        <f>Tabla2[[#This Row],[entrada_litros]]*Tabla2[[#This Row],[entrada_grasa_g_l]]/1000</f>
        <v>204.91425000000001</v>
      </c>
      <c r="N53">
        <f>Tabla2[[#This Row],[entrada_litros]]*Tabla2[[#This Row],[entrada_prot_g_l]]/1000</f>
        <v>166.25550000000004</v>
      </c>
      <c r="O53">
        <f>Tabla2[[#This Row],[cuba_fab_litros]]*Tabla2[[#This Row],[cuba_fab_grasa_g_l]]/1000</f>
        <v>208.15919999999997</v>
      </c>
      <c r="P53">
        <f>Tabla2[[#This Row],[cuba_fab_litros]]*Tabla2[[#This Row],[cuba_fab_prot_g_l]]/1000</f>
        <v>173.46600000000001</v>
      </c>
      <c r="Q53">
        <f>Tabla2[[#This Row],[queso_kg]]*Tabla2[[#This Row],[queso_est_pct]]/100</f>
        <v>315.35933000000006</v>
      </c>
      <c r="R53">
        <f>Tabla2[[#This Row],[queso_kg]]*Tabla2[[#This Row],[queso_mg_pct]]/100</f>
        <v>160.88429500000001</v>
      </c>
      <c r="S53">
        <f>_xlfn.ISOWEEKNUM(Tabla2[[#This Row],[fecha]])</f>
        <v>8</v>
      </c>
      <c r="T53">
        <v>8</v>
      </c>
    </row>
    <row r="54" spans="1:20" x14ac:dyDescent="0.25">
      <c r="A54" s="1">
        <v>45343</v>
      </c>
      <c r="B54">
        <v>4951</v>
      </c>
      <c r="C54">
        <v>4807</v>
      </c>
      <c r="D54">
        <v>43.11</v>
      </c>
      <c r="E54">
        <v>34.97</v>
      </c>
      <c r="F54">
        <v>5020</v>
      </c>
      <c r="G54">
        <v>41.68</v>
      </c>
      <c r="H54">
        <v>33.9</v>
      </c>
      <c r="I54">
        <v>4267</v>
      </c>
      <c r="J54">
        <v>602.51</v>
      </c>
      <c r="K54">
        <v>52.47</v>
      </c>
      <c r="L54">
        <v>27.67</v>
      </c>
      <c r="M54">
        <f>Tabla2[[#This Row],[entrada_litros]]*Tabla2[[#This Row],[entrada_grasa_g_l]]/1000</f>
        <v>207.22977</v>
      </c>
      <c r="N54">
        <f>Tabla2[[#This Row],[entrada_litros]]*Tabla2[[#This Row],[entrada_prot_g_l]]/1000</f>
        <v>168.10079000000002</v>
      </c>
      <c r="O54">
        <f>Tabla2[[#This Row],[cuba_fab_litros]]*Tabla2[[#This Row],[cuba_fab_grasa_g_l]]/1000</f>
        <v>209.2336</v>
      </c>
      <c r="P54">
        <f>Tabla2[[#This Row],[cuba_fab_litros]]*Tabla2[[#This Row],[cuba_fab_prot_g_l]]/1000</f>
        <v>170.178</v>
      </c>
      <c r="Q54">
        <f>Tabla2[[#This Row],[queso_kg]]*Tabla2[[#This Row],[queso_est_pct]]/100</f>
        <v>316.13699699999995</v>
      </c>
      <c r="R54">
        <f>Tabla2[[#This Row],[queso_kg]]*Tabla2[[#This Row],[queso_mg_pct]]/100</f>
        <v>166.714517</v>
      </c>
      <c r="S54">
        <f>_xlfn.ISOWEEKNUM(Tabla2[[#This Row],[fecha]])</f>
        <v>8</v>
      </c>
      <c r="T54">
        <v>8</v>
      </c>
    </row>
    <row r="55" spans="1:20" x14ac:dyDescent="0.25">
      <c r="A55" s="1">
        <v>45344</v>
      </c>
      <c r="B55">
        <v>5364</v>
      </c>
      <c r="C55">
        <v>5208</v>
      </c>
      <c r="D55">
        <v>41.05</v>
      </c>
      <c r="E55">
        <v>33.06</v>
      </c>
      <c r="F55">
        <v>5026</v>
      </c>
      <c r="G55">
        <v>39.9</v>
      </c>
      <c r="H55">
        <v>32.799999999999997</v>
      </c>
      <c r="I55">
        <v>4475</v>
      </c>
      <c r="J55">
        <v>574.54</v>
      </c>
      <c r="K55">
        <v>49.94</v>
      </c>
      <c r="L55">
        <v>27.19</v>
      </c>
      <c r="M55">
        <f>Tabla2[[#This Row],[entrada_litros]]*Tabla2[[#This Row],[entrada_grasa_g_l]]/1000</f>
        <v>213.7884</v>
      </c>
      <c r="N55">
        <f>Tabla2[[#This Row],[entrada_litros]]*Tabla2[[#This Row],[entrada_prot_g_l]]/1000</f>
        <v>172.17648</v>
      </c>
      <c r="O55">
        <f>Tabla2[[#This Row],[cuba_fab_litros]]*Tabla2[[#This Row],[cuba_fab_grasa_g_l]]/1000</f>
        <v>200.53739999999999</v>
      </c>
      <c r="P55">
        <f>Tabla2[[#This Row],[cuba_fab_litros]]*Tabla2[[#This Row],[cuba_fab_prot_g_l]]/1000</f>
        <v>164.8528</v>
      </c>
      <c r="Q55">
        <f>Tabla2[[#This Row],[queso_kg]]*Tabla2[[#This Row],[queso_est_pct]]/100</f>
        <v>286.925276</v>
      </c>
      <c r="R55">
        <f>Tabla2[[#This Row],[queso_kg]]*Tabla2[[#This Row],[queso_mg_pct]]/100</f>
        <v>156.21742599999999</v>
      </c>
      <c r="S55">
        <f>_xlfn.ISOWEEKNUM(Tabla2[[#This Row],[fecha]])</f>
        <v>8</v>
      </c>
      <c r="T55">
        <v>8</v>
      </c>
    </row>
    <row r="56" spans="1:20" x14ac:dyDescent="0.25">
      <c r="A56" s="1">
        <v>45345</v>
      </c>
      <c r="F56">
        <v>4500</v>
      </c>
      <c r="G56">
        <v>40.020000000000003</v>
      </c>
      <c r="H56">
        <v>32.71</v>
      </c>
      <c r="J56">
        <v>547.02</v>
      </c>
      <c r="K56">
        <v>52.7</v>
      </c>
      <c r="L56">
        <v>26.3</v>
      </c>
      <c r="M56">
        <f>Tabla2[[#This Row],[entrada_litros]]*Tabla2[[#This Row],[entrada_grasa_g_l]]/1000</f>
        <v>0</v>
      </c>
      <c r="N56">
        <f>Tabla2[[#This Row],[entrada_litros]]*Tabla2[[#This Row],[entrada_prot_g_l]]/1000</f>
        <v>0</v>
      </c>
      <c r="O56">
        <f>Tabla2[[#This Row],[cuba_fab_litros]]*Tabla2[[#This Row],[cuba_fab_grasa_g_l]]/1000</f>
        <v>180.09</v>
      </c>
      <c r="P56">
        <f>Tabla2[[#This Row],[cuba_fab_litros]]*Tabla2[[#This Row],[cuba_fab_prot_g_l]]/1000</f>
        <v>147.19499999999999</v>
      </c>
      <c r="Q56">
        <f>Tabla2[[#This Row],[queso_kg]]*Tabla2[[#This Row],[queso_est_pct]]/100</f>
        <v>288.27954</v>
      </c>
      <c r="R56">
        <f>Tabla2[[#This Row],[queso_kg]]*Tabla2[[#This Row],[queso_mg_pct]]/100</f>
        <v>143.86626000000001</v>
      </c>
      <c r="S56">
        <f>_xlfn.ISOWEEKNUM(Tabla2[[#This Row],[fecha]])</f>
        <v>8</v>
      </c>
      <c r="T56">
        <v>8</v>
      </c>
    </row>
    <row r="57" spans="1:20" x14ac:dyDescent="0.25">
      <c r="A57" s="1">
        <v>45346</v>
      </c>
      <c r="M57">
        <f>Tabla2[[#This Row],[entrada_litros]]*Tabla2[[#This Row],[entrada_grasa_g_l]]/1000</f>
        <v>0</v>
      </c>
      <c r="N57">
        <f>Tabla2[[#This Row],[entrada_litros]]*Tabla2[[#This Row],[entrada_prot_g_l]]/1000</f>
        <v>0</v>
      </c>
      <c r="O57">
        <f>Tabla2[[#This Row],[cuba_fab_litros]]*Tabla2[[#This Row],[cuba_fab_grasa_g_l]]/1000</f>
        <v>0</v>
      </c>
      <c r="P57">
        <f>Tabla2[[#This Row],[cuba_fab_litros]]*Tabla2[[#This Row],[cuba_fab_prot_g_l]]/1000</f>
        <v>0</v>
      </c>
      <c r="Q57">
        <f>Tabla2[[#This Row],[queso_kg]]*Tabla2[[#This Row],[queso_est_pct]]/100</f>
        <v>0</v>
      </c>
      <c r="R57">
        <f>Tabla2[[#This Row],[queso_kg]]*Tabla2[[#This Row],[queso_mg_pct]]/100</f>
        <v>0</v>
      </c>
      <c r="S57">
        <f>_xlfn.ISOWEEKNUM(Tabla2[[#This Row],[fecha]])</f>
        <v>8</v>
      </c>
      <c r="T57">
        <v>8</v>
      </c>
    </row>
    <row r="58" spans="1:20" x14ac:dyDescent="0.25">
      <c r="A58" s="1">
        <v>45347</v>
      </c>
      <c r="B58">
        <v>4477</v>
      </c>
      <c r="C58">
        <v>4347</v>
      </c>
      <c r="D58">
        <v>40.53</v>
      </c>
      <c r="E58">
        <v>36.229999999999997</v>
      </c>
      <c r="I58">
        <v>4347</v>
      </c>
      <c r="M58">
        <f>Tabla2[[#This Row],[entrada_litros]]*Tabla2[[#This Row],[entrada_grasa_g_l]]/1000</f>
        <v>176.18391</v>
      </c>
      <c r="N58">
        <f>Tabla2[[#This Row],[entrada_litros]]*Tabla2[[#This Row],[entrada_prot_g_l]]/1000</f>
        <v>157.49180999999999</v>
      </c>
      <c r="O58">
        <f>Tabla2[[#This Row],[cuba_fab_litros]]*Tabla2[[#This Row],[cuba_fab_grasa_g_l]]/1000</f>
        <v>0</v>
      </c>
      <c r="P58">
        <f>Tabla2[[#This Row],[cuba_fab_litros]]*Tabla2[[#This Row],[cuba_fab_prot_g_l]]/1000</f>
        <v>0</v>
      </c>
      <c r="Q58">
        <f>Tabla2[[#This Row],[queso_kg]]*Tabla2[[#This Row],[queso_est_pct]]/100</f>
        <v>0</v>
      </c>
      <c r="R58">
        <f>Tabla2[[#This Row],[queso_kg]]*Tabla2[[#This Row],[queso_mg_pct]]/100</f>
        <v>0</v>
      </c>
      <c r="S58">
        <f>_xlfn.ISOWEEKNUM(Tabla2[[#This Row],[fecha]])</f>
        <v>8</v>
      </c>
      <c r="T58">
        <v>9</v>
      </c>
    </row>
    <row r="59" spans="1:20" x14ac:dyDescent="0.25">
      <c r="A59" s="1">
        <v>45348</v>
      </c>
      <c r="B59">
        <v>4445</v>
      </c>
      <c r="C59">
        <v>4316</v>
      </c>
      <c r="D59">
        <v>40.71</v>
      </c>
      <c r="E59">
        <v>35.119999999999997</v>
      </c>
      <c r="F59">
        <v>5031</v>
      </c>
      <c r="G59">
        <v>38.89</v>
      </c>
      <c r="H59">
        <v>33.979999999999997</v>
      </c>
      <c r="I59">
        <v>3663</v>
      </c>
      <c r="J59">
        <v>567.51</v>
      </c>
      <c r="K59">
        <v>51.98</v>
      </c>
      <c r="L59">
        <v>27.32</v>
      </c>
      <c r="M59">
        <f>Tabla2[[#This Row],[entrada_litros]]*Tabla2[[#This Row],[entrada_grasa_g_l]]/1000</f>
        <v>175.70436000000001</v>
      </c>
      <c r="N59">
        <f>Tabla2[[#This Row],[entrada_litros]]*Tabla2[[#This Row],[entrada_prot_g_l]]/1000</f>
        <v>151.57791999999998</v>
      </c>
      <c r="O59">
        <f>Tabla2[[#This Row],[cuba_fab_litros]]*Tabla2[[#This Row],[cuba_fab_grasa_g_l]]/1000</f>
        <v>195.65558999999999</v>
      </c>
      <c r="P59">
        <f>Tabla2[[#This Row],[cuba_fab_litros]]*Tabla2[[#This Row],[cuba_fab_prot_g_l]]/1000</f>
        <v>170.95337999999998</v>
      </c>
      <c r="Q59">
        <f>Tabla2[[#This Row],[queso_kg]]*Tabla2[[#This Row],[queso_est_pct]]/100</f>
        <v>294.99169799999999</v>
      </c>
      <c r="R59">
        <f>Tabla2[[#This Row],[queso_kg]]*Tabla2[[#This Row],[queso_mg_pct]]/100</f>
        <v>155.04373200000001</v>
      </c>
      <c r="S59">
        <f>_xlfn.ISOWEEKNUM(Tabla2[[#This Row],[fecha]])</f>
        <v>9</v>
      </c>
      <c r="T59">
        <v>9</v>
      </c>
    </row>
    <row r="60" spans="1:20" x14ac:dyDescent="0.25">
      <c r="A60" s="1">
        <v>45349</v>
      </c>
      <c r="B60">
        <v>4821</v>
      </c>
      <c r="C60">
        <v>4681</v>
      </c>
      <c r="D60">
        <v>42.34</v>
      </c>
      <c r="E60">
        <v>35.72</v>
      </c>
      <c r="F60">
        <v>5029</v>
      </c>
      <c r="G60">
        <v>39.53</v>
      </c>
      <c r="H60">
        <v>33.81</v>
      </c>
      <c r="I60">
        <v>3344</v>
      </c>
      <c r="J60">
        <v>582.94000000000005</v>
      </c>
      <c r="K60">
        <v>53.13</v>
      </c>
      <c r="L60">
        <v>26.4</v>
      </c>
      <c r="M60">
        <f>Tabla2[[#This Row],[entrada_litros]]*Tabla2[[#This Row],[entrada_grasa_g_l]]/1000</f>
        <v>198.19354000000001</v>
      </c>
      <c r="N60">
        <f>Tabla2[[#This Row],[entrada_litros]]*Tabla2[[#This Row],[entrada_prot_g_l]]/1000</f>
        <v>167.20532</v>
      </c>
      <c r="O60">
        <f>Tabla2[[#This Row],[cuba_fab_litros]]*Tabla2[[#This Row],[cuba_fab_grasa_g_l]]/1000</f>
        <v>198.79637</v>
      </c>
      <c r="P60">
        <f>Tabla2[[#This Row],[cuba_fab_litros]]*Tabla2[[#This Row],[cuba_fab_prot_g_l]]/1000</f>
        <v>170.03049000000001</v>
      </c>
      <c r="Q60">
        <f>Tabla2[[#This Row],[queso_kg]]*Tabla2[[#This Row],[queso_est_pct]]/100</f>
        <v>309.71602200000007</v>
      </c>
      <c r="R60">
        <f>Tabla2[[#This Row],[queso_kg]]*Tabla2[[#This Row],[queso_mg_pct]]/100</f>
        <v>153.89616000000001</v>
      </c>
      <c r="S60">
        <f>_xlfn.ISOWEEKNUM(Tabla2[[#This Row],[fecha]])</f>
        <v>9</v>
      </c>
      <c r="T60">
        <v>9</v>
      </c>
    </row>
    <row r="61" spans="1:20" x14ac:dyDescent="0.25">
      <c r="A61" s="1">
        <v>45350</v>
      </c>
      <c r="B61">
        <v>5007</v>
      </c>
      <c r="C61">
        <v>4861</v>
      </c>
      <c r="D61">
        <v>43.4</v>
      </c>
      <c r="E61">
        <v>35.58</v>
      </c>
      <c r="F61">
        <v>5024</v>
      </c>
      <c r="G61">
        <v>40.770000000000003</v>
      </c>
      <c r="H61">
        <v>33.92</v>
      </c>
      <c r="I61">
        <v>3205</v>
      </c>
      <c r="J61">
        <v>566.9</v>
      </c>
      <c r="K61">
        <v>50.83</v>
      </c>
      <c r="L61">
        <v>27.24</v>
      </c>
      <c r="M61">
        <f>Tabla2[[#This Row],[entrada_litros]]*Tabla2[[#This Row],[entrada_grasa_g_l]]/1000</f>
        <v>210.9674</v>
      </c>
      <c r="N61">
        <f>Tabla2[[#This Row],[entrada_litros]]*Tabla2[[#This Row],[entrada_prot_g_l]]/1000</f>
        <v>172.95438000000001</v>
      </c>
      <c r="O61">
        <f>Tabla2[[#This Row],[cuba_fab_litros]]*Tabla2[[#This Row],[cuba_fab_grasa_g_l]]/1000</f>
        <v>204.82848000000001</v>
      </c>
      <c r="P61">
        <f>Tabla2[[#This Row],[cuba_fab_litros]]*Tabla2[[#This Row],[cuba_fab_prot_g_l]]/1000</f>
        <v>170.41408000000001</v>
      </c>
      <c r="Q61">
        <f>Tabla2[[#This Row],[queso_kg]]*Tabla2[[#This Row],[queso_est_pct]]/100</f>
        <v>288.15526999999997</v>
      </c>
      <c r="R61">
        <f>Tabla2[[#This Row],[queso_kg]]*Tabla2[[#This Row],[queso_mg_pct]]/100</f>
        <v>154.42355999999998</v>
      </c>
      <c r="S61">
        <f>_xlfn.ISOWEEKNUM(Tabla2[[#This Row],[fecha]])</f>
        <v>9</v>
      </c>
      <c r="T61">
        <v>9</v>
      </c>
    </row>
    <row r="62" spans="1:20" x14ac:dyDescent="0.25">
      <c r="A62" s="1">
        <v>45351</v>
      </c>
      <c r="B62">
        <v>5071</v>
      </c>
      <c r="C62">
        <v>4923</v>
      </c>
      <c r="D62">
        <v>41.91</v>
      </c>
      <c r="E62">
        <v>34.49</v>
      </c>
      <c r="F62">
        <v>5026</v>
      </c>
      <c r="G62">
        <v>40.08</v>
      </c>
      <c r="H62">
        <v>33.46</v>
      </c>
      <c r="I62">
        <v>3128</v>
      </c>
      <c r="J62">
        <v>630.99</v>
      </c>
      <c r="K62">
        <v>53.06</v>
      </c>
      <c r="L62">
        <v>26.9</v>
      </c>
      <c r="M62">
        <f>Tabla2[[#This Row],[entrada_litros]]*Tabla2[[#This Row],[entrada_grasa_g_l]]/1000</f>
        <v>206.32292999999999</v>
      </c>
      <c r="N62">
        <f>Tabla2[[#This Row],[entrada_litros]]*Tabla2[[#This Row],[entrada_prot_g_l]]/1000</f>
        <v>169.79427000000001</v>
      </c>
      <c r="O62">
        <f>Tabla2[[#This Row],[cuba_fab_litros]]*Tabla2[[#This Row],[cuba_fab_grasa_g_l]]/1000</f>
        <v>201.44207999999998</v>
      </c>
      <c r="P62">
        <f>Tabla2[[#This Row],[cuba_fab_litros]]*Tabla2[[#This Row],[cuba_fab_prot_g_l]]/1000</f>
        <v>168.16996</v>
      </c>
      <c r="Q62">
        <f>Tabla2[[#This Row],[queso_kg]]*Tabla2[[#This Row],[queso_est_pct]]/100</f>
        <v>334.80329400000005</v>
      </c>
      <c r="R62">
        <f>Tabla2[[#This Row],[queso_kg]]*Tabla2[[#This Row],[queso_mg_pct]]/100</f>
        <v>169.73630999999997</v>
      </c>
      <c r="S62">
        <f>_xlfn.ISOWEEKNUM(Tabla2[[#This Row],[fecha]])</f>
        <v>9</v>
      </c>
      <c r="T62">
        <v>9</v>
      </c>
    </row>
    <row r="63" spans="1:20" x14ac:dyDescent="0.25">
      <c r="A63" s="1">
        <v>45352</v>
      </c>
      <c r="F63">
        <v>3149</v>
      </c>
      <c r="G63">
        <v>40.200000000000003</v>
      </c>
      <c r="H63">
        <v>33.61</v>
      </c>
      <c r="J63">
        <v>391.67</v>
      </c>
      <c r="K63">
        <v>53.41</v>
      </c>
      <c r="L63">
        <v>27.62</v>
      </c>
      <c r="M63">
        <f>Tabla2[[#This Row],[entrada_litros]]*Tabla2[[#This Row],[entrada_grasa_g_l]]/1000</f>
        <v>0</v>
      </c>
      <c r="N63">
        <f>Tabla2[[#This Row],[entrada_litros]]*Tabla2[[#This Row],[entrada_prot_g_l]]/1000</f>
        <v>0</v>
      </c>
      <c r="O63">
        <f>Tabla2[[#This Row],[cuba_fab_litros]]*Tabla2[[#This Row],[cuba_fab_grasa_g_l]]/1000</f>
        <v>126.5898</v>
      </c>
      <c r="P63">
        <f>Tabla2[[#This Row],[cuba_fab_litros]]*Tabla2[[#This Row],[cuba_fab_prot_g_l]]/1000</f>
        <v>105.83789</v>
      </c>
      <c r="Q63">
        <f>Tabla2[[#This Row],[queso_kg]]*Tabla2[[#This Row],[queso_est_pct]]/100</f>
        <v>209.19094699999997</v>
      </c>
      <c r="R63">
        <f>Tabla2[[#This Row],[queso_kg]]*Tabla2[[#This Row],[queso_mg_pct]]/100</f>
        <v>108.179254</v>
      </c>
      <c r="S63">
        <f>_xlfn.ISOWEEKNUM(Tabla2[[#This Row],[fecha]])</f>
        <v>9</v>
      </c>
      <c r="T63">
        <v>9</v>
      </c>
    </row>
    <row r="64" spans="1:20" x14ac:dyDescent="0.25">
      <c r="A64" s="1">
        <v>45353</v>
      </c>
      <c r="M64">
        <f>Tabla2[[#This Row],[entrada_litros]]*Tabla2[[#This Row],[entrada_grasa_g_l]]/1000</f>
        <v>0</v>
      </c>
      <c r="N64">
        <f>Tabla2[[#This Row],[entrada_litros]]*Tabla2[[#This Row],[entrada_prot_g_l]]/1000</f>
        <v>0</v>
      </c>
      <c r="O64">
        <f>Tabla2[[#This Row],[cuba_fab_litros]]*Tabla2[[#This Row],[cuba_fab_grasa_g_l]]/1000</f>
        <v>0</v>
      </c>
      <c r="P64">
        <f>Tabla2[[#This Row],[cuba_fab_litros]]*Tabla2[[#This Row],[cuba_fab_prot_g_l]]/1000</f>
        <v>0</v>
      </c>
      <c r="Q64">
        <f>Tabla2[[#This Row],[queso_kg]]*Tabla2[[#This Row],[queso_est_pct]]/100</f>
        <v>0</v>
      </c>
      <c r="R64">
        <f>Tabla2[[#This Row],[queso_kg]]*Tabla2[[#This Row],[queso_mg_pct]]/100</f>
        <v>0</v>
      </c>
      <c r="S64">
        <f>_xlfn.ISOWEEKNUM(Tabla2[[#This Row],[fecha]])</f>
        <v>9</v>
      </c>
      <c r="T64">
        <v>9</v>
      </c>
    </row>
    <row r="65" spans="1:20" x14ac:dyDescent="0.25">
      <c r="A65" s="1">
        <v>45354</v>
      </c>
      <c r="B65">
        <v>5191</v>
      </c>
      <c r="C65">
        <v>5040</v>
      </c>
      <c r="D65">
        <v>43.3</v>
      </c>
      <c r="E65">
        <v>34.28</v>
      </c>
      <c r="I65">
        <v>5040</v>
      </c>
      <c r="M65">
        <f>Tabla2[[#This Row],[entrada_litros]]*Tabla2[[#This Row],[entrada_grasa_g_l]]/1000</f>
        <v>218.232</v>
      </c>
      <c r="N65">
        <f>Tabla2[[#This Row],[entrada_litros]]*Tabla2[[#This Row],[entrada_prot_g_l]]/1000</f>
        <v>172.77120000000002</v>
      </c>
      <c r="O65">
        <f>Tabla2[[#This Row],[cuba_fab_litros]]*Tabla2[[#This Row],[cuba_fab_grasa_g_l]]/1000</f>
        <v>0</v>
      </c>
      <c r="P65">
        <f>Tabla2[[#This Row],[cuba_fab_litros]]*Tabla2[[#This Row],[cuba_fab_prot_g_l]]/1000</f>
        <v>0</v>
      </c>
      <c r="Q65">
        <f>Tabla2[[#This Row],[queso_kg]]*Tabla2[[#This Row],[queso_est_pct]]/100</f>
        <v>0</v>
      </c>
      <c r="R65">
        <f>Tabla2[[#This Row],[queso_kg]]*Tabla2[[#This Row],[queso_mg_pct]]/100</f>
        <v>0</v>
      </c>
      <c r="S65">
        <f>_xlfn.ISOWEEKNUM(Tabla2[[#This Row],[fecha]])</f>
        <v>9</v>
      </c>
      <c r="T65">
        <v>10</v>
      </c>
    </row>
    <row r="66" spans="1:20" x14ac:dyDescent="0.25">
      <c r="A66" s="1">
        <v>45355</v>
      </c>
      <c r="B66">
        <v>5014</v>
      </c>
      <c r="C66">
        <v>4868</v>
      </c>
      <c r="D66">
        <v>42.55</v>
      </c>
      <c r="E66">
        <v>35.65</v>
      </c>
      <c r="F66">
        <v>5028</v>
      </c>
      <c r="G66">
        <v>41.04</v>
      </c>
      <c r="H66">
        <v>33.51</v>
      </c>
      <c r="I66">
        <v>4908</v>
      </c>
      <c r="J66">
        <v>591.79</v>
      </c>
      <c r="K66">
        <v>51.32</v>
      </c>
      <c r="L66">
        <v>25.32</v>
      </c>
      <c r="M66">
        <f>Tabla2[[#This Row],[entrada_litros]]*Tabla2[[#This Row],[entrada_grasa_g_l]]/1000</f>
        <v>207.13339999999999</v>
      </c>
      <c r="N66">
        <f>Tabla2[[#This Row],[entrada_litros]]*Tabla2[[#This Row],[entrada_prot_g_l]]/1000</f>
        <v>173.54419999999999</v>
      </c>
      <c r="O66">
        <f>Tabla2[[#This Row],[cuba_fab_litros]]*Tabla2[[#This Row],[cuba_fab_grasa_g_l]]/1000</f>
        <v>206.34912</v>
      </c>
      <c r="P66">
        <f>Tabla2[[#This Row],[cuba_fab_litros]]*Tabla2[[#This Row],[cuba_fab_prot_g_l]]/1000</f>
        <v>168.48828</v>
      </c>
      <c r="Q66">
        <f>Tabla2[[#This Row],[queso_kg]]*Tabla2[[#This Row],[queso_est_pct]]/100</f>
        <v>303.70662799999997</v>
      </c>
      <c r="R66">
        <f>Tabla2[[#This Row],[queso_kg]]*Tabla2[[#This Row],[queso_mg_pct]]/100</f>
        <v>149.841228</v>
      </c>
      <c r="S66">
        <f>_xlfn.ISOWEEKNUM(Tabla2[[#This Row],[fecha]])</f>
        <v>10</v>
      </c>
      <c r="T66">
        <v>10</v>
      </c>
    </row>
    <row r="67" spans="1:20" x14ac:dyDescent="0.25">
      <c r="A67" s="1">
        <v>45356</v>
      </c>
      <c r="B67">
        <v>4888</v>
      </c>
      <c r="C67">
        <v>4746</v>
      </c>
      <c r="D67">
        <v>40.409999999999997</v>
      </c>
      <c r="E67">
        <v>35.69</v>
      </c>
      <c r="F67">
        <v>5023</v>
      </c>
      <c r="G67">
        <v>40.19</v>
      </c>
      <c r="H67">
        <v>33.72</v>
      </c>
      <c r="I67">
        <v>4654</v>
      </c>
      <c r="J67">
        <v>581.70000000000005</v>
      </c>
      <c r="K67">
        <v>54.21</v>
      </c>
      <c r="L67">
        <v>27.77</v>
      </c>
      <c r="M67">
        <f>Tabla2[[#This Row],[entrada_litros]]*Tabla2[[#This Row],[entrada_grasa_g_l]]/1000</f>
        <v>191.78585999999999</v>
      </c>
      <c r="N67">
        <f>Tabla2[[#This Row],[entrada_litros]]*Tabla2[[#This Row],[entrada_prot_g_l]]/1000</f>
        <v>169.38473999999999</v>
      </c>
      <c r="O67">
        <f>Tabla2[[#This Row],[cuba_fab_litros]]*Tabla2[[#This Row],[cuba_fab_grasa_g_l]]/1000</f>
        <v>201.87437</v>
      </c>
      <c r="P67">
        <f>Tabla2[[#This Row],[cuba_fab_litros]]*Tabla2[[#This Row],[cuba_fab_prot_g_l]]/1000</f>
        <v>169.37556000000001</v>
      </c>
      <c r="Q67">
        <f>Tabla2[[#This Row],[queso_kg]]*Tabla2[[#This Row],[queso_est_pct]]/100</f>
        <v>315.33957000000004</v>
      </c>
      <c r="R67">
        <f>Tabla2[[#This Row],[queso_kg]]*Tabla2[[#This Row],[queso_mg_pct]]/100</f>
        <v>161.53809000000001</v>
      </c>
      <c r="S67">
        <f>_xlfn.ISOWEEKNUM(Tabla2[[#This Row],[fecha]])</f>
        <v>10</v>
      </c>
      <c r="T67">
        <v>10</v>
      </c>
    </row>
    <row r="68" spans="1:20" x14ac:dyDescent="0.25">
      <c r="A68" s="1">
        <v>45357</v>
      </c>
      <c r="B68">
        <v>4773</v>
      </c>
      <c r="C68">
        <v>4634</v>
      </c>
      <c r="D68">
        <v>43.19</v>
      </c>
      <c r="E68">
        <v>36.26</v>
      </c>
      <c r="F68">
        <v>5026</v>
      </c>
      <c r="G68">
        <v>40.56</v>
      </c>
      <c r="H68">
        <v>33.85</v>
      </c>
      <c r="I68">
        <v>4288</v>
      </c>
      <c r="J68">
        <v>591.15</v>
      </c>
      <c r="K68">
        <v>53.39</v>
      </c>
      <c r="L68">
        <v>25.78</v>
      </c>
      <c r="M68">
        <f>Tabla2[[#This Row],[entrada_litros]]*Tabla2[[#This Row],[entrada_grasa_g_l]]/1000</f>
        <v>200.14246</v>
      </c>
      <c r="N68">
        <f>Tabla2[[#This Row],[entrada_litros]]*Tabla2[[#This Row],[entrada_prot_g_l]]/1000</f>
        <v>168.02884</v>
      </c>
      <c r="O68">
        <f>Tabla2[[#This Row],[cuba_fab_litros]]*Tabla2[[#This Row],[cuba_fab_grasa_g_l]]/1000</f>
        <v>203.85455999999999</v>
      </c>
      <c r="P68">
        <f>Tabla2[[#This Row],[cuba_fab_litros]]*Tabla2[[#This Row],[cuba_fab_prot_g_l]]/1000</f>
        <v>170.1301</v>
      </c>
      <c r="Q68">
        <f>Tabla2[[#This Row],[queso_kg]]*Tabla2[[#This Row],[queso_est_pct]]/100</f>
        <v>315.61498499999999</v>
      </c>
      <c r="R68">
        <f>Tabla2[[#This Row],[queso_kg]]*Tabla2[[#This Row],[queso_mg_pct]]/100</f>
        <v>152.39847</v>
      </c>
      <c r="S68">
        <f>_xlfn.ISOWEEKNUM(Tabla2[[#This Row],[fecha]])</f>
        <v>10</v>
      </c>
      <c r="T68">
        <v>10</v>
      </c>
    </row>
    <row r="69" spans="1:20" x14ac:dyDescent="0.25">
      <c r="A69" s="1">
        <v>45358</v>
      </c>
      <c r="B69">
        <v>5046</v>
      </c>
      <c r="C69">
        <v>4899</v>
      </c>
      <c r="D69">
        <v>44.45</v>
      </c>
      <c r="E69">
        <v>34.86</v>
      </c>
      <c r="F69">
        <v>5021</v>
      </c>
      <c r="G69">
        <v>41.53</v>
      </c>
      <c r="H69">
        <v>33.92</v>
      </c>
      <c r="I69">
        <v>4187</v>
      </c>
      <c r="J69">
        <v>577.32000000000005</v>
      </c>
      <c r="K69">
        <v>50.8</v>
      </c>
      <c r="L69">
        <v>27.52</v>
      </c>
      <c r="M69">
        <f>Tabla2[[#This Row],[entrada_litros]]*Tabla2[[#This Row],[entrada_grasa_g_l]]/1000</f>
        <v>217.76055000000002</v>
      </c>
      <c r="N69">
        <f>Tabla2[[#This Row],[entrada_litros]]*Tabla2[[#This Row],[entrada_prot_g_l]]/1000</f>
        <v>170.77913999999998</v>
      </c>
      <c r="O69">
        <f>Tabla2[[#This Row],[cuba_fab_litros]]*Tabla2[[#This Row],[cuba_fab_grasa_g_l]]/1000</f>
        <v>208.52213</v>
      </c>
      <c r="P69">
        <f>Tabla2[[#This Row],[cuba_fab_litros]]*Tabla2[[#This Row],[cuba_fab_prot_g_l]]/1000</f>
        <v>170.31232</v>
      </c>
      <c r="Q69">
        <f>Tabla2[[#This Row],[queso_kg]]*Tabla2[[#This Row],[queso_est_pct]]/100</f>
        <v>293.27855999999997</v>
      </c>
      <c r="R69">
        <f>Tabla2[[#This Row],[queso_kg]]*Tabla2[[#This Row],[queso_mg_pct]]/100</f>
        <v>158.87846400000001</v>
      </c>
      <c r="S69">
        <f>_xlfn.ISOWEEKNUM(Tabla2[[#This Row],[fecha]])</f>
        <v>10</v>
      </c>
      <c r="T69">
        <v>10</v>
      </c>
    </row>
    <row r="70" spans="1:20" x14ac:dyDescent="0.25">
      <c r="A70" s="1">
        <v>45359</v>
      </c>
      <c r="F70">
        <v>4208</v>
      </c>
      <c r="G70">
        <v>41.5</v>
      </c>
      <c r="H70">
        <v>33.68</v>
      </c>
      <c r="J70">
        <v>498.17</v>
      </c>
      <c r="K70">
        <v>52.8</v>
      </c>
      <c r="L70">
        <v>27.64</v>
      </c>
      <c r="M70">
        <f>Tabla2[[#This Row],[entrada_litros]]*Tabla2[[#This Row],[entrada_grasa_g_l]]/1000</f>
        <v>0</v>
      </c>
      <c r="N70">
        <f>Tabla2[[#This Row],[entrada_litros]]*Tabla2[[#This Row],[entrada_prot_g_l]]/1000</f>
        <v>0</v>
      </c>
      <c r="O70">
        <f>Tabla2[[#This Row],[cuba_fab_litros]]*Tabla2[[#This Row],[cuba_fab_grasa_g_l]]/1000</f>
        <v>174.63200000000001</v>
      </c>
      <c r="P70">
        <f>Tabla2[[#This Row],[cuba_fab_litros]]*Tabla2[[#This Row],[cuba_fab_prot_g_l]]/1000</f>
        <v>141.72543999999999</v>
      </c>
      <c r="Q70">
        <f>Tabla2[[#This Row],[queso_kg]]*Tabla2[[#This Row],[queso_est_pct]]/100</f>
        <v>263.03376000000003</v>
      </c>
      <c r="R70">
        <f>Tabla2[[#This Row],[queso_kg]]*Tabla2[[#This Row],[queso_mg_pct]]/100</f>
        <v>137.69418800000003</v>
      </c>
      <c r="S70">
        <f>_xlfn.ISOWEEKNUM(Tabla2[[#This Row],[fecha]])</f>
        <v>10</v>
      </c>
      <c r="T70">
        <v>10</v>
      </c>
    </row>
    <row r="71" spans="1:20" x14ac:dyDescent="0.25">
      <c r="A71" s="1">
        <v>45360</v>
      </c>
      <c r="M71">
        <f>Tabla2[[#This Row],[entrada_litros]]*Tabla2[[#This Row],[entrada_grasa_g_l]]/1000</f>
        <v>0</v>
      </c>
      <c r="N71">
        <f>Tabla2[[#This Row],[entrada_litros]]*Tabla2[[#This Row],[entrada_prot_g_l]]/1000</f>
        <v>0</v>
      </c>
      <c r="O71">
        <f>Tabla2[[#This Row],[cuba_fab_litros]]*Tabla2[[#This Row],[cuba_fab_grasa_g_l]]/1000</f>
        <v>0</v>
      </c>
      <c r="P71">
        <f>Tabla2[[#This Row],[cuba_fab_litros]]*Tabla2[[#This Row],[cuba_fab_prot_g_l]]/1000</f>
        <v>0</v>
      </c>
      <c r="Q71">
        <f>Tabla2[[#This Row],[queso_kg]]*Tabla2[[#This Row],[queso_est_pct]]/100</f>
        <v>0</v>
      </c>
      <c r="R71">
        <f>Tabla2[[#This Row],[queso_kg]]*Tabla2[[#This Row],[queso_mg_pct]]/100</f>
        <v>0</v>
      </c>
      <c r="S71">
        <f>_xlfn.ISOWEEKNUM(Tabla2[[#This Row],[fecha]])</f>
        <v>10</v>
      </c>
      <c r="T71">
        <v>10</v>
      </c>
    </row>
    <row r="72" spans="1:20" x14ac:dyDescent="0.25">
      <c r="A72" s="1">
        <v>45361</v>
      </c>
      <c r="B72">
        <v>5175</v>
      </c>
      <c r="C72">
        <v>5024</v>
      </c>
      <c r="D72">
        <v>41.81</v>
      </c>
      <c r="E72">
        <v>34.19</v>
      </c>
      <c r="I72">
        <v>5024</v>
      </c>
      <c r="M72">
        <f>Tabla2[[#This Row],[entrada_litros]]*Tabla2[[#This Row],[entrada_grasa_g_l]]/1000</f>
        <v>210.05343999999999</v>
      </c>
      <c r="N72">
        <f>Tabla2[[#This Row],[entrada_litros]]*Tabla2[[#This Row],[entrada_prot_g_l]]/1000</f>
        <v>171.77055999999999</v>
      </c>
      <c r="O72">
        <f>Tabla2[[#This Row],[cuba_fab_litros]]*Tabla2[[#This Row],[cuba_fab_grasa_g_l]]/1000</f>
        <v>0</v>
      </c>
      <c r="P72">
        <f>Tabla2[[#This Row],[cuba_fab_litros]]*Tabla2[[#This Row],[cuba_fab_prot_g_l]]/1000</f>
        <v>0</v>
      </c>
      <c r="Q72">
        <f>Tabla2[[#This Row],[queso_kg]]*Tabla2[[#This Row],[queso_est_pct]]/100</f>
        <v>0</v>
      </c>
      <c r="R72">
        <f>Tabla2[[#This Row],[queso_kg]]*Tabla2[[#This Row],[queso_mg_pct]]/100</f>
        <v>0</v>
      </c>
      <c r="S72">
        <f>_xlfn.ISOWEEKNUM(Tabla2[[#This Row],[fecha]])</f>
        <v>10</v>
      </c>
      <c r="T72">
        <v>11</v>
      </c>
    </row>
    <row r="73" spans="1:20" x14ac:dyDescent="0.25">
      <c r="A73" s="1">
        <v>45362</v>
      </c>
      <c r="B73">
        <v>4975</v>
      </c>
      <c r="C73">
        <v>4830</v>
      </c>
      <c r="D73">
        <v>42.99</v>
      </c>
      <c r="E73">
        <v>34.340000000000003</v>
      </c>
      <c r="F73">
        <v>5034</v>
      </c>
      <c r="G73">
        <v>40.17</v>
      </c>
      <c r="H73">
        <v>32.5</v>
      </c>
      <c r="I73">
        <v>4854</v>
      </c>
      <c r="J73">
        <v>605.83000000000004</v>
      </c>
      <c r="K73">
        <v>52.63</v>
      </c>
      <c r="L73">
        <v>27.97</v>
      </c>
      <c r="M73">
        <f>Tabla2[[#This Row],[entrada_litros]]*Tabla2[[#This Row],[entrada_grasa_g_l]]/1000</f>
        <v>207.64170000000001</v>
      </c>
      <c r="N73">
        <f>Tabla2[[#This Row],[entrada_litros]]*Tabla2[[#This Row],[entrada_prot_g_l]]/1000</f>
        <v>165.8622</v>
      </c>
      <c r="O73">
        <f>Tabla2[[#This Row],[cuba_fab_litros]]*Tabla2[[#This Row],[cuba_fab_grasa_g_l]]/1000</f>
        <v>202.21578</v>
      </c>
      <c r="P73">
        <f>Tabla2[[#This Row],[cuba_fab_litros]]*Tabla2[[#This Row],[cuba_fab_prot_g_l]]/1000</f>
        <v>163.60499999999999</v>
      </c>
      <c r="Q73">
        <f>Tabla2[[#This Row],[queso_kg]]*Tabla2[[#This Row],[queso_est_pct]]/100</f>
        <v>318.84832900000004</v>
      </c>
      <c r="R73">
        <f>Tabla2[[#This Row],[queso_kg]]*Tabla2[[#This Row],[queso_mg_pct]]/100</f>
        <v>169.45065099999999</v>
      </c>
      <c r="S73">
        <f>_xlfn.ISOWEEKNUM(Tabla2[[#This Row],[fecha]])</f>
        <v>11</v>
      </c>
      <c r="T73">
        <v>11</v>
      </c>
    </row>
    <row r="74" spans="1:20" x14ac:dyDescent="0.25">
      <c r="A74" s="1">
        <v>45363</v>
      </c>
      <c r="B74">
        <v>4754</v>
      </c>
      <c r="C74">
        <v>4616</v>
      </c>
      <c r="D74">
        <v>41.88</v>
      </c>
      <c r="E74">
        <v>35.869999999999997</v>
      </c>
      <c r="F74">
        <v>5021</v>
      </c>
      <c r="G74">
        <v>40.26</v>
      </c>
      <c r="H74">
        <v>33.61</v>
      </c>
      <c r="I74">
        <v>4470</v>
      </c>
      <c r="J74">
        <v>592.57000000000005</v>
      </c>
      <c r="K74">
        <v>52.37</v>
      </c>
      <c r="L74">
        <v>26.32</v>
      </c>
      <c r="M74">
        <f>Tabla2[[#This Row],[entrada_litros]]*Tabla2[[#This Row],[entrada_grasa_g_l]]/1000</f>
        <v>193.31808000000001</v>
      </c>
      <c r="N74">
        <f>Tabla2[[#This Row],[entrada_litros]]*Tabla2[[#This Row],[entrada_prot_g_l]]/1000</f>
        <v>165.57592</v>
      </c>
      <c r="O74">
        <f>Tabla2[[#This Row],[cuba_fab_litros]]*Tabla2[[#This Row],[cuba_fab_grasa_g_l]]/1000</f>
        <v>202.14545999999999</v>
      </c>
      <c r="P74">
        <f>Tabla2[[#This Row],[cuba_fab_litros]]*Tabla2[[#This Row],[cuba_fab_prot_g_l]]/1000</f>
        <v>168.75581</v>
      </c>
      <c r="Q74">
        <f>Tabla2[[#This Row],[queso_kg]]*Tabla2[[#This Row],[queso_est_pct]]/100</f>
        <v>310.32890900000001</v>
      </c>
      <c r="R74">
        <f>Tabla2[[#This Row],[queso_kg]]*Tabla2[[#This Row],[queso_mg_pct]]/100</f>
        <v>155.96442400000001</v>
      </c>
      <c r="S74">
        <f>_xlfn.ISOWEEKNUM(Tabla2[[#This Row],[fecha]])</f>
        <v>11</v>
      </c>
      <c r="T74">
        <v>11</v>
      </c>
    </row>
    <row r="75" spans="1:20" x14ac:dyDescent="0.25">
      <c r="A75" s="1">
        <v>45364</v>
      </c>
      <c r="B75">
        <v>4965</v>
      </c>
      <c r="C75">
        <v>4820</v>
      </c>
      <c r="D75">
        <v>45.21</v>
      </c>
      <c r="E75">
        <v>35.89</v>
      </c>
      <c r="F75">
        <v>5024</v>
      </c>
      <c r="G75">
        <v>41.86</v>
      </c>
      <c r="H75">
        <v>33.86</v>
      </c>
      <c r="I75">
        <v>4290</v>
      </c>
      <c r="J75">
        <v>593.64</v>
      </c>
      <c r="K75">
        <v>53.28</v>
      </c>
      <c r="L75">
        <v>26.98</v>
      </c>
      <c r="M75">
        <f>Tabla2[[#This Row],[entrada_litros]]*Tabla2[[#This Row],[entrada_grasa_g_l]]/1000</f>
        <v>217.91220000000001</v>
      </c>
      <c r="N75">
        <f>Tabla2[[#This Row],[entrada_litros]]*Tabla2[[#This Row],[entrada_prot_g_l]]/1000</f>
        <v>172.9898</v>
      </c>
      <c r="O75">
        <f>Tabla2[[#This Row],[cuba_fab_litros]]*Tabla2[[#This Row],[cuba_fab_grasa_g_l]]/1000</f>
        <v>210.30463999999998</v>
      </c>
      <c r="P75">
        <f>Tabla2[[#This Row],[cuba_fab_litros]]*Tabla2[[#This Row],[cuba_fab_prot_g_l]]/1000</f>
        <v>170.11264</v>
      </c>
      <c r="Q75">
        <f>Tabla2[[#This Row],[queso_kg]]*Tabla2[[#This Row],[queso_est_pct]]/100</f>
        <v>316.29139200000003</v>
      </c>
      <c r="R75">
        <f>Tabla2[[#This Row],[queso_kg]]*Tabla2[[#This Row],[queso_mg_pct]]/100</f>
        <v>160.164072</v>
      </c>
      <c r="S75">
        <f>_xlfn.ISOWEEKNUM(Tabla2[[#This Row],[fecha]])</f>
        <v>11</v>
      </c>
      <c r="T75">
        <v>11</v>
      </c>
    </row>
    <row r="76" spans="1:20" x14ac:dyDescent="0.25">
      <c r="A76" s="1">
        <v>45365</v>
      </c>
      <c r="B76">
        <v>5194</v>
      </c>
      <c r="C76">
        <v>5043</v>
      </c>
      <c r="D76">
        <v>40.51</v>
      </c>
      <c r="E76">
        <v>34.57</v>
      </c>
      <c r="F76">
        <v>5025</v>
      </c>
      <c r="G76">
        <v>40.18</v>
      </c>
      <c r="H76">
        <v>33.229999999999997</v>
      </c>
      <c r="I76">
        <v>4333</v>
      </c>
      <c r="J76">
        <v>578.79999999999995</v>
      </c>
      <c r="K76">
        <v>51.87</v>
      </c>
      <c r="L76">
        <v>27.76</v>
      </c>
      <c r="M76">
        <f>Tabla2[[#This Row],[entrada_litros]]*Tabla2[[#This Row],[entrada_grasa_g_l]]/1000</f>
        <v>204.29192999999998</v>
      </c>
      <c r="N76">
        <f>Tabla2[[#This Row],[entrada_litros]]*Tabla2[[#This Row],[entrada_prot_g_l]]/1000</f>
        <v>174.33651</v>
      </c>
      <c r="O76">
        <f>Tabla2[[#This Row],[cuba_fab_litros]]*Tabla2[[#This Row],[cuba_fab_grasa_g_l]]/1000</f>
        <v>201.90450000000001</v>
      </c>
      <c r="P76">
        <f>Tabla2[[#This Row],[cuba_fab_litros]]*Tabla2[[#This Row],[cuba_fab_prot_g_l]]/1000</f>
        <v>166.98074999999997</v>
      </c>
      <c r="Q76">
        <f>Tabla2[[#This Row],[queso_kg]]*Tabla2[[#This Row],[queso_est_pct]]/100</f>
        <v>300.22355999999996</v>
      </c>
      <c r="R76">
        <f>Tabla2[[#This Row],[queso_kg]]*Tabla2[[#This Row],[queso_mg_pct]]/100</f>
        <v>160.67488</v>
      </c>
      <c r="S76">
        <f>_xlfn.ISOWEEKNUM(Tabla2[[#This Row],[fecha]])</f>
        <v>11</v>
      </c>
      <c r="T76">
        <v>11</v>
      </c>
    </row>
    <row r="77" spans="1:20" x14ac:dyDescent="0.25">
      <c r="A77" s="1">
        <v>45366</v>
      </c>
      <c r="F77">
        <v>4360</v>
      </c>
      <c r="G77">
        <v>40.35</v>
      </c>
      <c r="H77">
        <v>33.5</v>
      </c>
      <c r="J77">
        <v>505.67</v>
      </c>
      <c r="K77">
        <v>53.49</v>
      </c>
      <c r="L77">
        <v>28.32</v>
      </c>
      <c r="M77">
        <f>Tabla2[[#This Row],[entrada_litros]]*Tabla2[[#This Row],[entrada_grasa_g_l]]/1000</f>
        <v>0</v>
      </c>
      <c r="N77">
        <f>Tabla2[[#This Row],[entrada_litros]]*Tabla2[[#This Row],[entrada_prot_g_l]]/1000</f>
        <v>0</v>
      </c>
      <c r="O77">
        <f>Tabla2[[#This Row],[cuba_fab_litros]]*Tabla2[[#This Row],[cuba_fab_grasa_g_l]]/1000</f>
        <v>175.92599999999999</v>
      </c>
      <c r="P77">
        <f>Tabla2[[#This Row],[cuba_fab_litros]]*Tabla2[[#This Row],[cuba_fab_prot_g_l]]/1000</f>
        <v>146.06</v>
      </c>
      <c r="Q77">
        <f>Tabla2[[#This Row],[queso_kg]]*Tabla2[[#This Row],[queso_est_pct]]/100</f>
        <v>270.48288300000002</v>
      </c>
      <c r="R77">
        <f>Tabla2[[#This Row],[queso_kg]]*Tabla2[[#This Row],[queso_mg_pct]]/100</f>
        <v>143.20574400000001</v>
      </c>
      <c r="S77">
        <f>_xlfn.ISOWEEKNUM(Tabla2[[#This Row],[fecha]])</f>
        <v>11</v>
      </c>
      <c r="T77">
        <v>11</v>
      </c>
    </row>
    <row r="78" spans="1:20" x14ac:dyDescent="0.25">
      <c r="A78" s="1">
        <v>45367</v>
      </c>
      <c r="M78">
        <f>Tabla2[[#This Row],[entrada_litros]]*Tabla2[[#This Row],[entrada_grasa_g_l]]/1000</f>
        <v>0</v>
      </c>
      <c r="N78">
        <f>Tabla2[[#This Row],[entrada_litros]]*Tabla2[[#This Row],[entrada_prot_g_l]]/1000</f>
        <v>0</v>
      </c>
      <c r="O78">
        <f>Tabla2[[#This Row],[cuba_fab_litros]]*Tabla2[[#This Row],[cuba_fab_grasa_g_l]]/1000</f>
        <v>0</v>
      </c>
      <c r="P78">
        <f>Tabla2[[#This Row],[cuba_fab_litros]]*Tabla2[[#This Row],[cuba_fab_prot_g_l]]/1000</f>
        <v>0</v>
      </c>
      <c r="Q78">
        <f>Tabla2[[#This Row],[queso_kg]]*Tabla2[[#This Row],[queso_est_pct]]/100</f>
        <v>0</v>
      </c>
      <c r="R78">
        <f>Tabla2[[#This Row],[queso_kg]]*Tabla2[[#This Row],[queso_mg_pct]]/100</f>
        <v>0</v>
      </c>
      <c r="S78">
        <f>_xlfn.ISOWEEKNUM(Tabla2[[#This Row],[fecha]])</f>
        <v>11</v>
      </c>
      <c r="T78">
        <v>11</v>
      </c>
    </row>
    <row r="79" spans="1:20" x14ac:dyDescent="0.25">
      <c r="A79" s="1">
        <v>45368</v>
      </c>
      <c r="B79">
        <v>5370</v>
      </c>
      <c r="C79">
        <v>5214</v>
      </c>
      <c r="D79">
        <v>42.77</v>
      </c>
      <c r="E79">
        <v>36.799999999999997</v>
      </c>
      <c r="I79">
        <v>5214</v>
      </c>
      <c r="M79">
        <f>Tabla2[[#This Row],[entrada_litros]]*Tabla2[[#This Row],[entrada_grasa_g_l]]/1000</f>
        <v>223.00278000000003</v>
      </c>
      <c r="N79">
        <f>Tabla2[[#This Row],[entrada_litros]]*Tabla2[[#This Row],[entrada_prot_g_l]]/1000</f>
        <v>191.87519999999998</v>
      </c>
      <c r="O79">
        <f>Tabla2[[#This Row],[cuba_fab_litros]]*Tabla2[[#This Row],[cuba_fab_grasa_g_l]]/1000</f>
        <v>0</v>
      </c>
      <c r="P79">
        <f>Tabla2[[#This Row],[cuba_fab_litros]]*Tabla2[[#This Row],[cuba_fab_prot_g_l]]/1000</f>
        <v>0</v>
      </c>
      <c r="Q79">
        <f>Tabla2[[#This Row],[queso_kg]]*Tabla2[[#This Row],[queso_est_pct]]/100</f>
        <v>0</v>
      </c>
      <c r="R79">
        <f>Tabla2[[#This Row],[queso_kg]]*Tabla2[[#This Row],[queso_mg_pct]]/100</f>
        <v>0</v>
      </c>
      <c r="S79">
        <f>_xlfn.ISOWEEKNUM(Tabla2[[#This Row],[fecha]])</f>
        <v>11</v>
      </c>
      <c r="T79">
        <v>12</v>
      </c>
    </row>
    <row r="80" spans="1:20" x14ac:dyDescent="0.25">
      <c r="A80" s="1">
        <v>45369</v>
      </c>
      <c r="B80">
        <v>4719</v>
      </c>
      <c r="C80">
        <v>4582</v>
      </c>
      <c r="D80">
        <v>40.549999999999997</v>
      </c>
      <c r="E80">
        <v>34.159999999999997</v>
      </c>
      <c r="F80">
        <v>5028</v>
      </c>
      <c r="G80">
        <v>39.85</v>
      </c>
      <c r="H80">
        <v>33.770000000000003</v>
      </c>
      <c r="I80">
        <v>4796</v>
      </c>
      <c r="J80">
        <v>594.11</v>
      </c>
      <c r="K80">
        <v>50.74</v>
      </c>
      <c r="L80">
        <v>27.56</v>
      </c>
      <c r="M80">
        <f>Tabla2[[#This Row],[entrada_litros]]*Tabla2[[#This Row],[entrada_grasa_g_l]]/1000</f>
        <v>185.80009999999999</v>
      </c>
      <c r="N80">
        <f>Tabla2[[#This Row],[entrada_litros]]*Tabla2[[#This Row],[entrada_prot_g_l]]/1000</f>
        <v>156.52112</v>
      </c>
      <c r="O80">
        <f>Tabla2[[#This Row],[cuba_fab_litros]]*Tabla2[[#This Row],[cuba_fab_grasa_g_l]]/1000</f>
        <v>200.36580000000001</v>
      </c>
      <c r="P80">
        <f>Tabla2[[#This Row],[cuba_fab_litros]]*Tabla2[[#This Row],[cuba_fab_prot_g_l]]/1000</f>
        <v>169.79556000000002</v>
      </c>
      <c r="Q80">
        <f>Tabla2[[#This Row],[queso_kg]]*Tabla2[[#This Row],[queso_est_pct]]/100</f>
        <v>301.451414</v>
      </c>
      <c r="R80">
        <f>Tabla2[[#This Row],[queso_kg]]*Tabla2[[#This Row],[queso_mg_pct]]/100</f>
        <v>163.736716</v>
      </c>
      <c r="S80">
        <f>_xlfn.ISOWEEKNUM(Tabla2[[#This Row],[fecha]])</f>
        <v>12</v>
      </c>
      <c r="T80">
        <v>12</v>
      </c>
    </row>
    <row r="81" spans="1:20" x14ac:dyDescent="0.25">
      <c r="A81" s="1">
        <v>45370</v>
      </c>
      <c r="B81">
        <v>4766</v>
      </c>
      <c r="C81">
        <v>4627</v>
      </c>
      <c r="D81">
        <v>42.55</v>
      </c>
      <c r="E81">
        <v>36.44</v>
      </c>
      <c r="F81">
        <v>5030</v>
      </c>
      <c r="G81">
        <v>40.32</v>
      </c>
      <c r="H81">
        <v>34.090000000000003</v>
      </c>
      <c r="I81">
        <v>4423</v>
      </c>
      <c r="J81">
        <v>589.25</v>
      </c>
      <c r="K81">
        <v>50.38</v>
      </c>
      <c r="L81">
        <v>27.71</v>
      </c>
      <c r="M81">
        <f>Tabla2[[#This Row],[entrada_litros]]*Tabla2[[#This Row],[entrada_grasa_g_l]]/1000</f>
        <v>196.87884999999997</v>
      </c>
      <c r="N81">
        <f>Tabla2[[#This Row],[entrada_litros]]*Tabla2[[#This Row],[entrada_prot_g_l]]/1000</f>
        <v>168.60787999999997</v>
      </c>
      <c r="O81">
        <f>Tabla2[[#This Row],[cuba_fab_litros]]*Tabla2[[#This Row],[cuba_fab_grasa_g_l]]/1000</f>
        <v>202.80960000000002</v>
      </c>
      <c r="P81">
        <f>Tabla2[[#This Row],[cuba_fab_litros]]*Tabla2[[#This Row],[cuba_fab_prot_g_l]]/1000</f>
        <v>171.4727</v>
      </c>
      <c r="Q81">
        <f>Tabla2[[#This Row],[queso_kg]]*Tabla2[[#This Row],[queso_est_pct]]/100</f>
        <v>296.86415</v>
      </c>
      <c r="R81">
        <f>Tabla2[[#This Row],[queso_kg]]*Tabla2[[#This Row],[queso_mg_pct]]/100</f>
        <v>163.28117499999999</v>
      </c>
      <c r="S81">
        <f>_xlfn.ISOWEEKNUM(Tabla2[[#This Row],[fecha]])</f>
        <v>12</v>
      </c>
      <c r="T81">
        <v>12</v>
      </c>
    </row>
    <row r="82" spans="1:20" x14ac:dyDescent="0.25">
      <c r="A82" s="1">
        <v>45371</v>
      </c>
      <c r="B82">
        <v>4977</v>
      </c>
      <c r="C82">
        <v>4832</v>
      </c>
      <c r="D82">
        <v>42.39</v>
      </c>
      <c r="E82">
        <v>35.619999999999997</v>
      </c>
      <c r="F82">
        <v>5034</v>
      </c>
      <c r="G82">
        <v>40.299999999999997</v>
      </c>
      <c r="H82">
        <v>34.229999999999997</v>
      </c>
      <c r="I82">
        <v>4255</v>
      </c>
      <c r="J82">
        <v>601.12</v>
      </c>
      <c r="K82">
        <v>51.31</v>
      </c>
      <c r="L82">
        <v>29.21</v>
      </c>
      <c r="M82">
        <f>Tabla2[[#This Row],[entrada_litros]]*Tabla2[[#This Row],[entrada_grasa_g_l]]/1000</f>
        <v>204.82848000000001</v>
      </c>
      <c r="N82">
        <f>Tabla2[[#This Row],[entrada_litros]]*Tabla2[[#This Row],[entrada_prot_g_l]]/1000</f>
        <v>172.11583999999999</v>
      </c>
      <c r="O82">
        <f>Tabla2[[#This Row],[cuba_fab_litros]]*Tabla2[[#This Row],[cuba_fab_grasa_g_l]]/1000</f>
        <v>202.87019999999998</v>
      </c>
      <c r="P82">
        <f>Tabla2[[#This Row],[cuba_fab_litros]]*Tabla2[[#This Row],[cuba_fab_prot_g_l]]/1000</f>
        <v>172.31381999999996</v>
      </c>
      <c r="Q82">
        <f>Tabla2[[#This Row],[queso_kg]]*Tabla2[[#This Row],[queso_est_pct]]/100</f>
        <v>308.43467200000003</v>
      </c>
      <c r="R82">
        <f>Tabla2[[#This Row],[queso_kg]]*Tabla2[[#This Row],[queso_mg_pct]]/100</f>
        <v>175.58715200000003</v>
      </c>
      <c r="S82">
        <f>_xlfn.ISOWEEKNUM(Tabla2[[#This Row],[fecha]])</f>
        <v>12</v>
      </c>
      <c r="T82">
        <v>12</v>
      </c>
    </row>
    <row r="83" spans="1:20" x14ac:dyDescent="0.25">
      <c r="A83" s="1">
        <v>45372</v>
      </c>
      <c r="B83">
        <v>5331</v>
      </c>
      <c r="C83">
        <v>5176</v>
      </c>
      <c r="D83">
        <v>45.36</v>
      </c>
      <c r="E83">
        <v>36.03</v>
      </c>
      <c r="F83">
        <v>5030</v>
      </c>
      <c r="G83">
        <v>41.96</v>
      </c>
      <c r="H83">
        <v>34.69</v>
      </c>
      <c r="I83">
        <v>4431</v>
      </c>
      <c r="J83">
        <v>593.53</v>
      </c>
      <c r="K83">
        <v>50.27</v>
      </c>
      <c r="L83">
        <v>26.6</v>
      </c>
      <c r="M83">
        <f>Tabla2[[#This Row],[entrada_litros]]*Tabla2[[#This Row],[entrada_grasa_g_l]]/1000</f>
        <v>234.78335999999999</v>
      </c>
      <c r="N83">
        <f>Tabla2[[#This Row],[entrada_litros]]*Tabla2[[#This Row],[entrada_prot_g_l]]/1000</f>
        <v>186.49127999999999</v>
      </c>
      <c r="O83">
        <f>Tabla2[[#This Row],[cuba_fab_litros]]*Tabla2[[#This Row],[cuba_fab_grasa_g_l]]/1000</f>
        <v>211.05880000000002</v>
      </c>
      <c r="P83">
        <f>Tabla2[[#This Row],[cuba_fab_litros]]*Tabla2[[#This Row],[cuba_fab_prot_g_l]]/1000</f>
        <v>174.49069999999998</v>
      </c>
      <c r="Q83">
        <f>Tabla2[[#This Row],[queso_kg]]*Tabla2[[#This Row],[queso_est_pct]]/100</f>
        <v>298.36753100000004</v>
      </c>
      <c r="R83">
        <f>Tabla2[[#This Row],[queso_kg]]*Tabla2[[#This Row],[queso_mg_pct]]/100</f>
        <v>157.87897999999998</v>
      </c>
      <c r="S83">
        <f>_xlfn.ISOWEEKNUM(Tabla2[[#This Row],[fecha]])</f>
        <v>12</v>
      </c>
      <c r="T83">
        <v>12</v>
      </c>
    </row>
    <row r="84" spans="1:20" x14ac:dyDescent="0.25">
      <c r="A84" s="1">
        <v>45373</v>
      </c>
      <c r="F84">
        <v>4452</v>
      </c>
      <c r="G84">
        <v>42.08</v>
      </c>
      <c r="H84">
        <v>34.53</v>
      </c>
      <c r="J84">
        <v>532.72</v>
      </c>
      <c r="K84">
        <v>50.85</v>
      </c>
      <c r="L84">
        <v>27.42</v>
      </c>
      <c r="M84">
        <f>Tabla2[[#This Row],[entrada_litros]]*Tabla2[[#This Row],[entrada_grasa_g_l]]/1000</f>
        <v>0</v>
      </c>
      <c r="N84">
        <f>Tabla2[[#This Row],[entrada_litros]]*Tabla2[[#This Row],[entrada_prot_g_l]]/1000</f>
        <v>0</v>
      </c>
      <c r="O84">
        <f>Tabla2[[#This Row],[cuba_fab_litros]]*Tabla2[[#This Row],[cuba_fab_grasa_g_l]]/1000</f>
        <v>187.34016</v>
      </c>
      <c r="P84">
        <f>Tabla2[[#This Row],[cuba_fab_litros]]*Tabla2[[#This Row],[cuba_fab_prot_g_l]]/1000</f>
        <v>153.72756000000001</v>
      </c>
      <c r="Q84">
        <f>Tabla2[[#This Row],[queso_kg]]*Tabla2[[#This Row],[queso_est_pct]]/100</f>
        <v>270.88812000000001</v>
      </c>
      <c r="R84">
        <f>Tabla2[[#This Row],[queso_kg]]*Tabla2[[#This Row],[queso_mg_pct]]/100</f>
        <v>146.07182400000002</v>
      </c>
      <c r="S84">
        <f>_xlfn.ISOWEEKNUM(Tabla2[[#This Row],[fecha]])</f>
        <v>12</v>
      </c>
      <c r="T84">
        <v>12</v>
      </c>
    </row>
    <row r="85" spans="1:20" x14ac:dyDescent="0.25">
      <c r="A85" s="1">
        <v>45374</v>
      </c>
      <c r="M85">
        <f>Tabla2[[#This Row],[entrada_litros]]*Tabla2[[#This Row],[entrada_grasa_g_l]]/1000</f>
        <v>0</v>
      </c>
      <c r="N85">
        <f>Tabla2[[#This Row],[entrada_litros]]*Tabla2[[#This Row],[entrada_prot_g_l]]/1000</f>
        <v>0</v>
      </c>
      <c r="O85">
        <f>Tabla2[[#This Row],[cuba_fab_litros]]*Tabla2[[#This Row],[cuba_fab_grasa_g_l]]/1000</f>
        <v>0</v>
      </c>
      <c r="P85">
        <f>Tabla2[[#This Row],[cuba_fab_litros]]*Tabla2[[#This Row],[cuba_fab_prot_g_l]]/1000</f>
        <v>0</v>
      </c>
      <c r="Q85">
        <f>Tabla2[[#This Row],[queso_kg]]*Tabla2[[#This Row],[queso_est_pct]]/100</f>
        <v>0</v>
      </c>
      <c r="R85">
        <f>Tabla2[[#This Row],[queso_kg]]*Tabla2[[#This Row],[queso_mg_pct]]/100</f>
        <v>0</v>
      </c>
      <c r="S85">
        <f>_xlfn.ISOWEEKNUM(Tabla2[[#This Row],[fecha]])</f>
        <v>12</v>
      </c>
      <c r="T85">
        <v>12</v>
      </c>
    </row>
    <row r="86" spans="1:20" x14ac:dyDescent="0.25">
      <c r="A86" s="1">
        <v>45375</v>
      </c>
      <c r="B86">
        <v>5396</v>
      </c>
      <c r="C86">
        <v>5239</v>
      </c>
      <c r="D86">
        <v>42.6</v>
      </c>
      <c r="E86">
        <v>36.35</v>
      </c>
      <c r="I86">
        <v>5239</v>
      </c>
      <c r="M86">
        <f>Tabla2[[#This Row],[entrada_litros]]*Tabla2[[#This Row],[entrada_grasa_g_l]]/1000</f>
        <v>223.1814</v>
      </c>
      <c r="N86">
        <f>Tabla2[[#This Row],[entrada_litros]]*Tabla2[[#This Row],[entrada_prot_g_l]]/1000</f>
        <v>190.43764999999999</v>
      </c>
      <c r="O86">
        <f>Tabla2[[#This Row],[cuba_fab_litros]]*Tabla2[[#This Row],[cuba_fab_grasa_g_l]]/1000</f>
        <v>0</v>
      </c>
      <c r="P86">
        <f>Tabla2[[#This Row],[cuba_fab_litros]]*Tabla2[[#This Row],[cuba_fab_prot_g_l]]/1000</f>
        <v>0</v>
      </c>
      <c r="Q86">
        <f>Tabla2[[#This Row],[queso_kg]]*Tabla2[[#This Row],[queso_est_pct]]/100</f>
        <v>0</v>
      </c>
      <c r="R86">
        <f>Tabla2[[#This Row],[queso_kg]]*Tabla2[[#This Row],[queso_mg_pct]]/100</f>
        <v>0</v>
      </c>
      <c r="S86">
        <f>_xlfn.ISOWEEKNUM(Tabla2[[#This Row],[fecha]])</f>
        <v>12</v>
      </c>
      <c r="T86">
        <v>13</v>
      </c>
    </row>
    <row r="87" spans="1:20" x14ac:dyDescent="0.25">
      <c r="A87" s="1">
        <v>45376</v>
      </c>
      <c r="B87">
        <v>5149</v>
      </c>
      <c r="C87">
        <v>4999</v>
      </c>
      <c r="D87">
        <v>43.03</v>
      </c>
      <c r="E87">
        <v>35.44</v>
      </c>
      <c r="F87">
        <v>5020</v>
      </c>
      <c r="G87">
        <v>40.97</v>
      </c>
      <c r="H87">
        <v>34.29</v>
      </c>
      <c r="I87">
        <v>5238</v>
      </c>
      <c r="J87">
        <v>577.79</v>
      </c>
      <c r="K87">
        <v>50.34</v>
      </c>
      <c r="L87">
        <v>25.81</v>
      </c>
      <c r="M87">
        <f>Tabla2[[#This Row],[entrada_litros]]*Tabla2[[#This Row],[entrada_grasa_g_l]]/1000</f>
        <v>215.10696999999999</v>
      </c>
      <c r="N87">
        <f>Tabla2[[#This Row],[entrada_litros]]*Tabla2[[#This Row],[entrada_prot_g_l]]/1000</f>
        <v>177.16455999999999</v>
      </c>
      <c r="O87">
        <f>Tabla2[[#This Row],[cuba_fab_litros]]*Tabla2[[#This Row],[cuba_fab_grasa_g_l]]/1000</f>
        <v>205.6694</v>
      </c>
      <c r="P87">
        <f>Tabla2[[#This Row],[cuba_fab_litros]]*Tabla2[[#This Row],[cuba_fab_prot_g_l]]/1000</f>
        <v>172.13579999999999</v>
      </c>
      <c r="Q87">
        <f>Tabla2[[#This Row],[queso_kg]]*Tabla2[[#This Row],[queso_est_pct]]/100</f>
        <v>290.859486</v>
      </c>
      <c r="R87">
        <f>Tabla2[[#This Row],[queso_kg]]*Tabla2[[#This Row],[queso_mg_pct]]/100</f>
        <v>149.127599</v>
      </c>
      <c r="S87">
        <f>_xlfn.ISOWEEKNUM(Tabla2[[#This Row],[fecha]])</f>
        <v>13</v>
      </c>
      <c r="T87">
        <v>13</v>
      </c>
    </row>
    <row r="88" spans="1:20" x14ac:dyDescent="0.25">
      <c r="A88" s="1">
        <v>45377</v>
      </c>
      <c r="B88">
        <v>5487</v>
      </c>
      <c r="C88">
        <v>5327</v>
      </c>
      <c r="D88">
        <v>43.19</v>
      </c>
      <c r="E88">
        <v>35.03</v>
      </c>
      <c r="F88">
        <v>5026</v>
      </c>
      <c r="G88">
        <v>41.03</v>
      </c>
      <c r="H88">
        <v>34.01</v>
      </c>
      <c r="I88">
        <v>5565</v>
      </c>
      <c r="J88">
        <v>589.29</v>
      </c>
      <c r="K88">
        <v>53.84</v>
      </c>
      <c r="L88">
        <v>27.67</v>
      </c>
      <c r="M88">
        <f>Tabla2[[#This Row],[entrada_litros]]*Tabla2[[#This Row],[entrada_grasa_g_l]]/1000</f>
        <v>230.07312999999996</v>
      </c>
      <c r="N88">
        <f>Tabla2[[#This Row],[entrada_litros]]*Tabla2[[#This Row],[entrada_prot_g_l]]/1000</f>
        <v>186.60480999999999</v>
      </c>
      <c r="O88">
        <f>Tabla2[[#This Row],[cuba_fab_litros]]*Tabla2[[#This Row],[cuba_fab_grasa_g_l]]/1000</f>
        <v>206.21678</v>
      </c>
      <c r="P88">
        <f>Tabla2[[#This Row],[cuba_fab_litros]]*Tabla2[[#This Row],[cuba_fab_prot_g_l]]/1000</f>
        <v>170.93425999999997</v>
      </c>
      <c r="Q88">
        <f>Tabla2[[#This Row],[queso_kg]]*Tabla2[[#This Row],[queso_est_pct]]/100</f>
        <v>317.27373599999999</v>
      </c>
      <c r="R88">
        <f>Tabla2[[#This Row],[queso_kg]]*Tabla2[[#This Row],[queso_mg_pct]]/100</f>
        <v>163.056543</v>
      </c>
      <c r="S88">
        <f>_xlfn.ISOWEEKNUM(Tabla2[[#This Row],[fecha]])</f>
        <v>13</v>
      </c>
      <c r="T88">
        <v>13</v>
      </c>
    </row>
    <row r="89" spans="1:20" x14ac:dyDescent="0.25">
      <c r="A89" s="1">
        <v>45378</v>
      </c>
      <c r="B89">
        <v>5334</v>
      </c>
      <c r="C89">
        <v>5179</v>
      </c>
      <c r="D89">
        <v>41.03</v>
      </c>
      <c r="E89">
        <v>35.75</v>
      </c>
      <c r="F89">
        <v>5030</v>
      </c>
      <c r="G89">
        <v>39.92</v>
      </c>
      <c r="H89">
        <v>33.869999999999997</v>
      </c>
      <c r="I89">
        <v>5744</v>
      </c>
      <c r="J89">
        <v>582.54999999999995</v>
      </c>
      <c r="K89">
        <v>53.33</v>
      </c>
      <c r="L89">
        <v>25.89</v>
      </c>
      <c r="M89">
        <f>Tabla2[[#This Row],[entrada_litros]]*Tabla2[[#This Row],[entrada_grasa_g_l]]/1000</f>
        <v>212.49437</v>
      </c>
      <c r="N89">
        <f>Tabla2[[#This Row],[entrada_litros]]*Tabla2[[#This Row],[entrada_prot_g_l]]/1000</f>
        <v>185.14924999999999</v>
      </c>
      <c r="O89">
        <f>Tabla2[[#This Row],[cuba_fab_litros]]*Tabla2[[#This Row],[cuba_fab_grasa_g_l]]/1000</f>
        <v>200.79760000000002</v>
      </c>
      <c r="P89">
        <f>Tabla2[[#This Row],[cuba_fab_litros]]*Tabla2[[#This Row],[cuba_fab_prot_g_l]]/1000</f>
        <v>170.36609999999999</v>
      </c>
      <c r="Q89">
        <f>Tabla2[[#This Row],[queso_kg]]*Tabla2[[#This Row],[queso_est_pct]]/100</f>
        <v>310.67391499999997</v>
      </c>
      <c r="R89">
        <f>Tabla2[[#This Row],[queso_kg]]*Tabla2[[#This Row],[queso_mg_pct]]/100</f>
        <v>150.82219499999999</v>
      </c>
      <c r="S89">
        <f>_xlfn.ISOWEEKNUM(Tabla2[[#This Row],[fecha]])</f>
        <v>13</v>
      </c>
      <c r="T89">
        <v>13</v>
      </c>
    </row>
    <row r="90" spans="1:20" x14ac:dyDescent="0.25">
      <c r="A90" s="1">
        <v>45379</v>
      </c>
      <c r="B90">
        <v>5181</v>
      </c>
      <c r="C90">
        <v>5030</v>
      </c>
      <c r="D90">
        <v>45.59</v>
      </c>
      <c r="E90">
        <v>36.75</v>
      </c>
      <c r="F90">
        <v>5030</v>
      </c>
      <c r="G90">
        <v>41.79</v>
      </c>
      <c r="H90">
        <v>34.520000000000003</v>
      </c>
      <c r="I90">
        <v>5774</v>
      </c>
      <c r="J90">
        <v>576.86</v>
      </c>
      <c r="K90">
        <v>50.85</v>
      </c>
      <c r="L90">
        <v>26.2</v>
      </c>
      <c r="M90">
        <f>Tabla2[[#This Row],[entrada_litros]]*Tabla2[[#This Row],[entrada_grasa_g_l]]/1000</f>
        <v>229.3177</v>
      </c>
      <c r="N90">
        <f>Tabla2[[#This Row],[entrada_litros]]*Tabla2[[#This Row],[entrada_prot_g_l]]/1000</f>
        <v>184.85249999999999</v>
      </c>
      <c r="O90">
        <f>Tabla2[[#This Row],[cuba_fab_litros]]*Tabla2[[#This Row],[cuba_fab_grasa_g_l]]/1000</f>
        <v>210.20369999999997</v>
      </c>
      <c r="P90">
        <f>Tabla2[[#This Row],[cuba_fab_litros]]*Tabla2[[#This Row],[cuba_fab_prot_g_l]]/1000</f>
        <v>173.63560000000001</v>
      </c>
      <c r="Q90">
        <f>Tabla2[[#This Row],[queso_kg]]*Tabla2[[#This Row],[queso_est_pct]]/100</f>
        <v>293.33331000000004</v>
      </c>
      <c r="R90">
        <f>Tabla2[[#This Row],[queso_kg]]*Tabla2[[#This Row],[queso_mg_pct]]/100</f>
        <v>151.13731999999999</v>
      </c>
      <c r="S90">
        <f>_xlfn.ISOWEEKNUM(Tabla2[[#This Row],[fecha]])</f>
        <v>13</v>
      </c>
      <c r="T90">
        <v>13</v>
      </c>
    </row>
    <row r="91" spans="1:20" x14ac:dyDescent="0.25">
      <c r="A91" s="1">
        <v>45380</v>
      </c>
      <c r="F91">
        <v>5799</v>
      </c>
      <c r="G91">
        <v>41.8</v>
      </c>
      <c r="H91">
        <v>34.549999999999997</v>
      </c>
      <c r="J91">
        <v>683.58</v>
      </c>
      <c r="K91">
        <v>49.24</v>
      </c>
      <c r="L91">
        <v>26.64</v>
      </c>
      <c r="M91">
        <f>Tabla2[[#This Row],[entrada_litros]]*Tabla2[[#This Row],[entrada_grasa_g_l]]/1000</f>
        <v>0</v>
      </c>
      <c r="N91">
        <f>Tabla2[[#This Row],[entrada_litros]]*Tabla2[[#This Row],[entrada_prot_g_l]]/1000</f>
        <v>0</v>
      </c>
      <c r="O91">
        <f>Tabla2[[#This Row],[cuba_fab_litros]]*Tabla2[[#This Row],[cuba_fab_grasa_g_l]]/1000</f>
        <v>242.39819999999997</v>
      </c>
      <c r="P91">
        <f>Tabla2[[#This Row],[cuba_fab_litros]]*Tabla2[[#This Row],[cuba_fab_prot_g_l]]/1000</f>
        <v>200.35544999999999</v>
      </c>
      <c r="Q91">
        <f>Tabla2[[#This Row],[queso_kg]]*Tabla2[[#This Row],[queso_est_pct]]/100</f>
        <v>336.59479200000004</v>
      </c>
      <c r="R91">
        <f>Tabla2[[#This Row],[queso_kg]]*Tabla2[[#This Row],[queso_mg_pct]]/100</f>
        <v>182.10571200000001</v>
      </c>
      <c r="S91">
        <f>_xlfn.ISOWEEKNUM(Tabla2[[#This Row],[fecha]])</f>
        <v>13</v>
      </c>
      <c r="T91">
        <v>13</v>
      </c>
    </row>
    <row r="92" spans="1:20" x14ac:dyDescent="0.25">
      <c r="A92" s="1">
        <v>45381</v>
      </c>
      <c r="M92">
        <f>Tabla2[[#This Row],[entrada_litros]]*Tabla2[[#This Row],[entrada_grasa_g_l]]/1000</f>
        <v>0</v>
      </c>
      <c r="N92">
        <f>Tabla2[[#This Row],[entrada_litros]]*Tabla2[[#This Row],[entrada_prot_g_l]]/1000</f>
        <v>0</v>
      </c>
      <c r="O92">
        <f>Tabla2[[#This Row],[cuba_fab_litros]]*Tabla2[[#This Row],[cuba_fab_grasa_g_l]]/1000</f>
        <v>0</v>
      </c>
      <c r="P92">
        <f>Tabla2[[#This Row],[cuba_fab_litros]]*Tabla2[[#This Row],[cuba_fab_prot_g_l]]/1000</f>
        <v>0</v>
      </c>
      <c r="Q92">
        <f>Tabla2[[#This Row],[queso_kg]]*Tabla2[[#This Row],[queso_est_pct]]/100</f>
        <v>0</v>
      </c>
      <c r="R92">
        <f>Tabla2[[#This Row],[queso_kg]]*Tabla2[[#This Row],[queso_mg_pct]]/100</f>
        <v>0</v>
      </c>
      <c r="S92">
        <f>_xlfn.ISOWEEKNUM(Tabla2[[#This Row],[fecha]])</f>
        <v>13</v>
      </c>
      <c r="T92">
        <v>13</v>
      </c>
    </row>
    <row r="93" spans="1:20" x14ac:dyDescent="0.25">
      <c r="A93" s="1">
        <v>45382</v>
      </c>
      <c r="B93">
        <v>5377</v>
      </c>
      <c r="C93">
        <v>5220</v>
      </c>
      <c r="D93">
        <v>43.3</v>
      </c>
      <c r="E93">
        <v>36.380000000000003</v>
      </c>
      <c r="I93">
        <v>5220</v>
      </c>
      <c r="M93">
        <f>Tabla2[[#This Row],[entrada_litros]]*Tabla2[[#This Row],[entrada_grasa_g_l]]/1000</f>
        <v>226.02599999999998</v>
      </c>
      <c r="N93">
        <f>Tabla2[[#This Row],[entrada_litros]]*Tabla2[[#This Row],[entrada_prot_g_l]]/1000</f>
        <v>189.90360000000001</v>
      </c>
      <c r="O93">
        <f>Tabla2[[#This Row],[cuba_fab_litros]]*Tabla2[[#This Row],[cuba_fab_grasa_g_l]]/1000</f>
        <v>0</v>
      </c>
      <c r="P93">
        <f>Tabla2[[#This Row],[cuba_fab_litros]]*Tabla2[[#This Row],[cuba_fab_prot_g_l]]/1000</f>
        <v>0</v>
      </c>
      <c r="Q93">
        <f>Tabla2[[#This Row],[queso_kg]]*Tabla2[[#This Row],[queso_est_pct]]/100</f>
        <v>0</v>
      </c>
      <c r="R93">
        <f>Tabla2[[#This Row],[queso_kg]]*Tabla2[[#This Row],[queso_mg_pct]]/100</f>
        <v>0</v>
      </c>
      <c r="S93">
        <f>_xlfn.ISOWEEKNUM(Tabla2[[#This Row],[fecha]])</f>
        <v>13</v>
      </c>
      <c r="T93">
        <v>14</v>
      </c>
    </row>
    <row r="94" spans="1:20" x14ac:dyDescent="0.25">
      <c r="A94" s="1">
        <v>45383</v>
      </c>
      <c r="B94">
        <v>5163</v>
      </c>
      <c r="C94">
        <v>5013</v>
      </c>
      <c r="D94">
        <v>42.2</v>
      </c>
      <c r="E94">
        <v>35.04</v>
      </c>
      <c r="F94">
        <v>5021</v>
      </c>
      <c r="G94">
        <v>40.76</v>
      </c>
      <c r="H94">
        <v>33.93</v>
      </c>
      <c r="I94">
        <v>5233</v>
      </c>
      <c r="J94">
        <v>566.61</v>
      </c>
      <c r="K94">
        <v>50.82</v>
      </c>
      <c r="L94">
        <v>26.33</v>
      </c>
      <c r="M94">
        <f>Tabla2[[#This Row],[entrada_litros]]*Tabla2[[#This Row],[entrada_grasa_g_l]]/1000</f>
        <v>211.54859999999999</v>
      </c>
      <c r="N94">
        <f>Tabla2[[#This Row],[entrada_litros]]*Tabla2[[#This Row],[entrada_prot_g_l]]/1000</f>
        <v>175.65552</v>
      </c>
      <c r="O94">
        <f>Tabla2[[#This Row],[cuba_fab_litros]]*Tabla2[[#This Row],[cuba_fab_grasa_g_l]]/1000</f>
        <v>204.65595999999999</v>
      </c>
      <c r="P94">
        <f>Tabla2[[#This Row],[cuba_fab_litros]]*Tabla2[[#This Row],[cuba_fab_prot_g_l]]/1000</f>
        <v>170.36252999999999</v>
      </c>
      <c r="Q94">
        <f>Tabla2[[#This Row],[queso_kg]]*Tabla2[[#This Row],[queso_est_pct]]/100</f>
        <v>287.95120200000002</v>
      </c>
      <c r="R94">
        <f>Tabla2[[#This Row],[queso_kg]]*Tabla2[[#This Row],[queso_mg_pct]]/100</f>
        <v>149.188413</v>
      </c>
      <c r="S94">
        <f>_xlfn.ISOWEEKNUM(Tabla2[[#This Row],[fecha]])</f>
        <v>14</v>
      </c>
      <c r="T94">
        <v>14</v>
      </c>
    </row>
    <row r="95" spans="1:20" x14ac:dyDescent="0.25">
      <c r="A95" s="1">
        <v>45384</v>
      </c>
      <c r="B95">
        <v>5425</v>
      </c>
      <c r="C95">
        <v>5267</v>
      </c>
      <c r="D95">
        <v>43.84</v>
      </c>
      <c r="E95">
        <v>35.08</v>
      </c>
      <c r="F95">
        <v>5026</v>
      </c>
      <c r="G95">
        <v>41.26</v>
      </c>
      <c r="H95">
        <v>33.79</v>
      </c>
      <c r="I95">
        <v>5500</v>
      </c>
      <c r="J95">
        <v>600.17999999999995</v>
      </c>
      <c r="K95">
        <v>52.19</v>
      </c>
      <c r="L95">
        <v>27.12</v>
      </c>
      <c r="M95">
        <f>Tabla2[[#This Row],[entrada_litros]]*Tabla2[[#This Row],[entrada_grasa_g_l]]/1000</f>
        <v>230.90528000000003</v>
      </c>
      <c r="N95">
        <f>Tabla2[[#This Row],[entrada_litros]]*Tabla2[[#This Row],[entrada_prot_g_l]]/1000</f>
        <v>184.76635999999999</v>
      </c>
      <c r="O95">
        <f>Tabla2[[#This Row],[cuba_fab_litros]]*Tabla2[[#This Row],[cuba_fab_grasa_g_l]]/1000</f>
        <v>207.37275999999997</v>
      </c>
      <c r="P95">
        <f>Tabla2[[#This Row],[cuba_fab_litros]]*Tabla2[[#This Row],[cuba_fab_prot_g_l]]/1000</f>
        <v>169.82854</v>
      </c>
      <c r="Q95">
        <f>Tabla2[[#This Row],[queso_kg]]*Tabla2[[#This Row],[queso_est_pct]]/100</f>
        <v>313.23394199999996</v>
      </c>
      <c r="R95">
        <f>Tabla2[[#This Row],[queso_kg]]*Tabla2[[#This Row],[queso_mg_pct]]/100</f>
        <v>162.76881599999999</v>
      </c>
      <c r="S95">
        <f>_xlfn.ISOWEEKNUM(Tabla2[[#This Row],[fecha]])</f>
        <v>14</v>
      </c>
      <c r="T95">
        <v>14</v>
      </c>
    </row>
    <row r="96" spans="1:20" x14ac:dyDescent="0.25">
      <c r="A96" s="1">
        <v>45385</v>
      </c>
      <c r="B96">
        <v>4690</v>
      </c>
      <c r="C96">
        <v>4553</v>
      </c>
      <c r="D96">
        <v>42.79</v>
      </c>
      <c r="E96">
        <v>36.18</v>
      </c>
      <c r="F96">
        <v>5025</v>
      </c>
      <c r="G96">
        <v>41.03</v>
      </c>
      <c r="H96">
        <v>34</v>
      </c>
      <c r="I96">
        <v>5053</v>
      </c>
      <c r="J96">
        <v>599.24</v>
      </c>
      <c r="K96">
        <v>54.44</v>
      </c>
      <c r="L96">
        <v>26.04</v>
      </c>
      <c r="M96">
        <f>Tabla2[[#This Row],[entrada_litros]]*Tabla2[[#This Row],[entrada_grasa_g_l]]/1000</f>
        <v>194.82286999999999</v>
      </c>
      <c r="N96">
        <f>Tabla2[[#This Row],[entrada_litros]]*Tabla2[[#This Row],[entrada_prot_g_l]]/1000</f>
        <v>164.72754</v>
      </c>
      <c r="O96">
        <f>Tabla2[[#This Row],[cuba_fab_litros]]*Tabla2[[#This Row],[cuba_fab_grasa_g_l]]/1000</f>
        <v>206.17574999999999</v>
      </c>
      <c r="P96">
        <f>Tabla2[[#This Row],[cuba_fab_litros]]*Tabla2[[#This Row],[cuba_fab_prot_g_l]]/1000</f>
        <v>170.85</v>
      </c>
      <c r="Q96">
        <f>Tabla2[[#This Row],[queso_kg]]*Tabla2[[#This Row],[queso_est_pct]]/100</f>
        <v>326.22625599999998</v>
      </c>
      <c r="R96">
        <f>Tabla2[[#This Row],[queso_kg]]*Tabla2[[#This Row],[queso_mg_pct]]/100</f>
        <v>156.04209600000002</v>
      </c>
      <c r="S96">
        <f>_xlfn.ISOWEEKNUM(Tabla2[[#This Row],[fecha]])</f>
        <v>14</v>
      </c>
      <c r="T96">
        <v>14</v>
      </c>
    </row>
    <row r="97" spans="1:20" x14ac:dyDescent="0.25">
      <c r="A97" s="1">
        <v>45386</v>
      </c>
      <c r="B97">
        <v>4997</v>
      </c>
      <c r="C97">
        <v>4851</v>
      </c>
      <c r="D97">
        <v>43</v>
      </c>
      <c r="E97">
        <v>35.19</v>
      </c>
      <c r="F97">
        <v>5022</v>
      </c>
      <c r="G97">
        <v>41.48</v>
      </c>
      <c r="H97">
        <v>33.61</v>
      </c>
      <c r="I97">
        <v>4904</v>
      </c>
      <c r="J97">
        <v>585.78</v>
      </c>
      <c r="K97">
        <v>50.62</v>
      </c>
      <c r="L97">
        <v>25.81</v>
      </c>
      <c r="M97">
        <f>Tabla2[[#This Row],[entrada_litros]]*Tabla2[[#This Row],[entrada_grasa_g_l]]/1000</f>
        <v>208.59299999999999</v>
      </c>
      <c r="N97">
        <f>Tabla2[[#This Row],[entrada_litros]]*Tabla2[[#This Row],[entrada_prot_g_l]]/1000</f>
        <v>170.70669000000001</v>
      </c>
      <c r="O97">
        <f>Tabla2[[#This Row],[cuba_fab_litros]]*Tabla2[[#This Row],[cuba_fab_grasa_g_l]]/1000</f>
        <v>208.31255999999999</v>
      </c>
      <c r="P97">
        <f>Tabla2[[#This Row],[cuba_fab_litros]]*Tabla2[[#This Row],[cuba_fab_prot_g_l]]/1000</f>
        <v>168.78941999999998</v>
      </c>
      <c r="Q97">
        <f>Tabla2[[#This Row],[queso_kg]]*Tabla2[[#This Row],[queso_est_pct]]/100</f>
        <v>296.52183599999995</v>
      </c>
      <c r="R97">
        <f>Tabla2[[#This Row],[queso_kg]]*Tabla2[[#This Row],[queso_mg_pct]]/100</f>
        <v>151.18981799999997</v>
      </c>
      <c r="S97">
        <f>_xlfn.ISOWEEKNUM(Tabla2[[#This Row],[fecha]])</f>
        <v>14</v>
      </c>
      <c r="T97">
        <v>14</v>
      </c>
    </row>
    <row r="98" spans="1:20" x14ac:dyDescent="0.25">
      <c r="A98" s="1">
        <v>45387</v>
      </c>
      <c r="F98">
        <v>4922</v>
      </c>
      <c r="G98">
        <v>40.94</v>
      </c>
      <c r="H98">
        <v>34.07</v>
      </c>
      <c r="J98">
        <v>564.22</v>
      </c>
      <c r="K98">
        <v>51.64</v>
      </c>
      <c r="L98">
        <v>26.63</v>
      </c>
      <c r="M98">
        <f>Tabla2[[#This Row],[entrada_litros]]*Tabla2[[#This Row],[entrada_grasa_g_l]]/1000</f>
        <v>0</v>
      </c>
      <c r="N98">
        <f>Tabla2[[#This Row],[entrada_litros]]*Tabla2[[#This Row],[entrada_prot_g_l]]/1000</f>
        <v>0</v>
      </c>
      <c r="O98">
        <f>Tabla2[[#This Row],[cuba_fab_litros]]*Tabla2[[#This Row],[cuba_fab_grasa_g_l]]/1000</f>
        <v>201.50667999999999</v>
      </c>
      <c r="P98">
        <f>Tabla2[[#This Row],[cuba_fab_litros]]*Tabla2[[#This Row],[cuba_fab_prot_g_l]]/1000</f>
        <v>167.69254000000001</v>
      </c>
      <c r="Q98">
        <f>Tabla2[[#This Row],[queso_kg]]*Tabla2[[#This Row],[queso_est_pct]]/100</f>
        <v>291.36320799999999</v>
      </c>
      <c r="R98">
        <f>Tabla2[[#This Row],[queso_kg]]*Tabla2[[#This Row],[queso_mg_pct]]/100</f>
        <v>150.25178599999998</v>
      </c>
      <c r="S98">
        <f>_xlfn.ISOWEEKNUM(Tabla2[[#This Row],[fecha]])</f>
        <v>14</v>
      </c>
      <c r="T98">
        <v>14</v>
      </c>
    </row>
    <row r="99" spans="1:20" x14ac:dyDescent="0.25">
      <c r="A99" s="1">
        <v>45388</v>
      </c>
      <c r="M99">
        <f>Tabla2[[#This Row],[entrada_litros]]*Tabla2[[#This Row],[entrada_grasa_g_l]]/1000</f>
        <v>0</v>
      </c>
      <c r="N99">
        <f>Tabla2[[#This Row],[entrada_litros]]*Tabla2[[#This Row],[entrada_prot_g_l]]/1000</f>
        <v>0</v>
      </c>
      <c r="O99">
        <f>Tabla2[[#This Row],[cuba_fab_litros]]*Tabla2[[#This Row],[cuba_fab_grasa_g_l]]/1000</f>
        <v>0</v>
      </c>
      <c r="P99">
        <f>Tabla2[[#This Row],[cuba_fab_litros]]*Tabla2[[#This Row],[cuba_fab_prot_g_l]]/1000</f>
        <v>0</v>
      </c>
      <c r="Q99">
        <f>Tabla2[[#This Row],[queso_kg]]*Tabla2[[#This Row],[queso_est_pct]]/100</f>
        <v>0</v>
      </c>
      <c r="R99">
        <f>Tabla2[[#This Row],[queso_kg]]*Tabla2[[#This Row],[queso_mg_pct]]/100</f>
        <v>0</v>
      </c>
      <c r="S99">
        <f>_xlfn.ISOWEEKNUM(Tabla2[[#This Row],[fecha]])</f>
        <v>14</v>
      </c>
      <c r="T99">
        <v>14</v>
      </c>
    </row>
    <row r="100" spans="1:20" x14ac:dyDescent="0.25">
      <c r="A100" s="1">
        <v>45389</v>
      </c>
      <c r="B100">
        <v>4879</v>
      </c>
      <c r="C100">
        <v>4737</v>
      </c>
      <c r="D100">
        <v>42.96</v>
      </c>
      <c r="E100">
        <v>36.58</v>
      </c>
      <c r="I100">
        <v>4737</v>
      </c>
      <c r="M100">
        <f>Tabla2[[#This Row],[entrada_litros]]*Tabla2[[#This Row],[entrada_grasa_g_l]]/1000</f>
        <v>203.50152</v>
      </c>
      <c r="N100">
        <f>Tabla2[[#This Row],[entrada_litros]]*Tabla2[[#This Row],[entrada_prot_g_l]]/1000</f>
        <v>173.27946</v>
      </c>
      <c r="O100">
        <f>Tabla2[[#This Row],[cuba_fab_litros]]*Tabla2[[#This Row],[cuba_fab_grasa_g_l]]/1000</f>
        <v>0</v>
      </c>
      <c r="P100">
        <f>Tabla2[[#This Row],[cuba_fab_litros]]*Tabla2[[#This Row],[cuba_fab_prot_g_l]]/1000</f>
        <v>0</v>
      </c>
      <c r="Q100">
        <f>Tabla2[[#This Row],[queso_kg]]*Tabla2[[#This Row],[queso_est_pct]]/100</f>
        <v>0</v>
      </c>
      <c r="R100">
        <f>Tabla2[[#This Row],[queso_kg]]*Tabla2[[#This Row],[queso_mg_pct]]/100</f>
        <v>0</v>
      </c>
      <c r="S100">
        <f>_xlfn.ISOWEEKNUM(Tabla2[[#This Row],[fecha]])</f>
        <v>14</v>
      </c>
      <c r="T100">
        <v>15</v>
      </c>
    </row>
    <row r="101" spans="1:20" x14ac:dyDescent="0.25">
      <c r="A101" s="1">
        <v>45390</v>
      </c>
      <c r="B101">
        <v>4920</v>
      </c>
      <c r="C101">
        <v>4777</v>
      </c>
      <c r="D101">
        <v>41.41</v>
      </c>
      <c r="E101">
        <v>34.01</v>
      </c>
      <c r="F101">
        <v>5028</v>
      </c>
      <c r="G101">
        <v>40.31</v>
      </c>
      <c r="H101">
        <v>33.729999999999997</v>
      </c>
      <c r="I101">
        <v>4514</v>
      </c>
      <c r="J101">
        <v>584.66999999999996</v>
      </c>
      <c r="K101">
        <v>52.64</v>
      </c>
      <c r="L101">
        <v>27.64</v>
      </c>
      <c r="M101">
        <f>Tabla2[[#This Row],[entrada_litros]]*Tabla2[[#This Row],[entrada_grasa_g_l]]/1000</f>
        <v>197.81556999999998</v>
      </c>
      <c r="N101">
        <f>Tabla2[[#This Row],[entrada_litros]]*Tabla2[[#This Row],[entrada_prot_g_l]]/1000</f>
        <v>162.46576999999999</v>
      </c>
      <c r="O101">
        <f>Tabla2[[#This Row],[cuba_fab_litros]]*Tabla2[[#This Row],[cuba_fab_grasa_g_l]]/1000</f>
        <v>202.67868000000001</v>
      </c>
      <c r="P101">
        <f>Tabla2[[#This Row],[cuba_fab_litros]]*Tabla2[[#This Row],[cuba_fab_prot_g_l]]/1000</f>
        <v>169.59443999999996</v>
      </c>
      <c r="Q101">
        <f>Tabla2[[#This Row],[queso_kg]]*Tabla2[[#This Row],[queso_est_pct]]/100</f>
        <v>307.77028799999994</v>
      </c>
      <c r="R101">
        <f>Tabla2[[#This Row],[queso_kg]]*Tabla2[[#This Row],[queso_mg_pct]]/100</f>
        <v>161.602788</v>
      </c>
      <c r="S101">
        <f>_xlfn.ISOWEEKNUM(Tabla2[[#This Row],[fecha]])</f>
        <v>15</v>
      </c>
      <c r="T101">
        <v>15</v>
      </c>
    </row>
    <row r="102" spans="1:20" x14ac:dyDescent="0.25">
      <c r="A102" s="1">
        <v>45391</v>
      </c>
      <c r="B102">
        <v>5036</v>
      </c>
      <c r="C102">
        <v>4889</v>
      </c>
      <c r="D102">
        <v>42.02</v>
      </c>
      <c r="E102">
        <v>35.590000000000003</v>
      </c>
      <c r="F102">
        <v>5026</v>
      </c>
      <c r="G102">
        <v>40.119999999999997</v>
      </c>
      <c r="H102">
        <v>33.93</v>
      </c>
      <c r="I102">
        <v>4403</v>
      </c>
      <c r="J102">
        <v>579.5</v>
      </c>
      <c r="K102">
        <v>53.15</v>
      </c>
      <c r="L102">
        <v>27.07</v>
      </c>
      <c r="M102">
        <f>Tabla2[[#This Row],[entrada_litros]]*Tabla2[[#This Row],[entrada_grasa_g_l]]/1000</f>
        <v>205.43578000000002</v>
      </c>
      <c r="N102">
        <f>Tabla2[[#This Row],[entrada_litros]]*Tabla2[[#This Row],[entrada_prot_g_l]]/1000</f>
        <v>173.99951000000001</v>
      </c>
      <c r="O102">
        <f>Tabla2[[#This Row],[cuba_fab_litros]]*Tabla2[[#This Row],[cuba_fab_grasa_g_l]]/1000</f>
        <v>201.64311999999998</v>
      </c>
      <c r="P102">
        <f>Tabla2[[#This Row],[cuba_fab_litros]]*Tabla2[[#This Row],[cuba_fab_prot_g_l]]/1000</f>
        <v>170.53217999999998</v>
      </c>
      <c r="Q102">
        <f>Tabla2[[#This Row],[queso_kg]]*Tabla2[[#This Row],[queso_est_pct]]/100</f>
        <v>308.00425000000001</v>
      </c>
      <c r="R102">
        <f>Tabla2[[#This Row],[queso_kg]]*Tabla2[[#This Row],[queso_mg_pct]]/100</f>
        <v>156.87065000000001</v>
      </c>
      <c r="S102">
        <f>_xlfn.ISOWEEKNUM(Tabla2[[#This Row],[fecha]])</f>
        <v>15</v>
      </c>
      <c r="T102">
        <v>15</v>
      </c>
    </row>
    <row r="103" spans="1:20" x14ac:dyDescent="0.25">
      <c r="A103" s="1">
        <v>45392</v>
      </c>
      <c r="B103">
        <v>4853</v>
      </c>
      <c r="C103">
        <v>4712</v>
      </c>
      <c r="D103">
        <v>42.35</v>
      </c>
      <c r="E103">
        <v>36.72</v>
      </c>
      <c r="F103">
        <v>5021</v>
      </c>
      <c r="G103">
        <v>40.49</v>
      </c>
      <c r="H103">
        <v>34.22</v>
      </c>
      <c r="I103">
        <v>4115</v>
      </c>
      <c r="J103">
        <v>611.9</v>
      </c>
      <c r="K103">
        <v>53.58</v>
      </c>
      <c r="L103">
        <v>27.69</v>
      </c>
      <c r="M103">
        <f>Tabla2[[#This Row],[entrada_litros]]*Tabla2[[#This Row],[entrada_grasa_g_l]]/1000</f>
        <v>199.5532</v>
      </c>
      <c r="N103">
        <f>Tabla2[[#This Row],[entrada_litros]]*Tabla2[[#This Row],[entrada_prot_g_l]]/1000</f>
        <v>173.02463999999998</v>
      </c>
      <c r="O103">
        <f>Tabla2[[#This Row],[cuba_fab_litros]]*Tabla2[[#This Row],[cuba_fab_grasa_g_l]]/1000</f>
        <v>203.30029000000002</v>
      </c>
      <c r="P103">
        <f>Tabla2[[#This Row],[cuba_fab_litros]]*Tabla2[[#This Row],[cuba_fab_prot_g_l]]/1000</f>
        <v>171.81861999999998</v>
      </c>
      <c r="Q103">
        <f>Tabla2[[#This Row],[queso_kg]]*Tabla2[[#This Row],[queso_est_pct]]/100</f>
        <v>327.85602</v>
      </c>
      <c r="R103">
        <f>Tabla2[[#This Row],[queso_kg]]*Tabla2[[#This Row],[queso_mg_pct]]/100</f>
        <v>169.43510999999998</v>
      </c>
      <c r="S103">
        <f>_xlfn.ISOWEEKNUM(Tabla2[[#This Row],[fecha]])</f>
        <v>15</v>
      </c>
      <c r="T103">
        <v>15</v>
      </c>
    </row>
    <row r="104" spans="1:20" x14ac:dyDescent="0.25">
      <c r="A104" s="1">
        <v>45393</v>
      </c>
      <c r="B104">
        <v>4726</v>
      </c>
      <c r="C104">
        <v>4588</v>
      </c>
      <c r="D104">
        <v>43.4</v>
      </c>
      <c r="E104">
        <v>34.75</v>
      </c>
      <c r="F104">
        <v>5031</v>
      </c>
      <c r="G104">
        <v>40.630000000000003</v>
      </c>
      <c r="H104">
        <v>34</v>
      </c>
      <c r="I104">
        <v>3703</v>
      </c>
      <c r="J104">
        <v>585.84</v>
      </c>
      <c r="K104">
        <v>49.96</v>
      </c>
      <c r="L104">
        <v>28.39</v>
      </c>
      <c r="M104">
        <f>Tabla2[[#This Row],[entrada_litros]]*Tabla2[[#This Row],[entrada_grasa_g_l]]/1000</f>
        <v>199.11919999999998</v>
      </c>
      <c r="N104">
        <f>Tabla2[[#This Row],[entrada_litros]]*Tabla2[[#This Row],[entrada_prot_g_l]]/1000</f>
        <v>159.43299999999999</v>
      </c>
      <c r="O104">
        <f>Tabla2[[#This Row],[cuba_fab_litros]]*Tabla2[[#This Row],[cuba_fab_grasa_g_l]]/1000</f>
        <v>204.40952999999999</v>
      </c>
      <c r="P104">
        <f>Tabla2[[#This Row],[cuba_fab_litros]]*Tabla2[[#This Row],[cuba_fab_prot_g_l]]/1000</f>
        <v>171.054</v>
      </c>
      <c r="Q104">
        <f>Tabla2[[#This Row],[queso_kg]]*Tabla2[[#This Row],[queso_est_pct]]/100</f>
        <v>292.68566400000003</v>
      </c>
      <c r="R104">
        <f>Tabla2[[#This Row],[queso_kg]]*Tabla2[[#This Row],[queso_mg_pct]]/100</f>
        <v>166.31997600000003</v>
      </c>
      <c r="S104">
        <f>_xlfn.ISOWEEKNUM(Tabla2[[#This Row],[fecha]])</f>
        <v>15</v>
      </c>
      <c r="T104">
        <v>15</v>
      </c>
    </row>
    <row r="105" spans="1:20" x14ac:dyDescent="0.25">
      <c r="A105" s="1">
        <v>45394</v>
      </c>
      <c r="F105">
        <v>3717</v>
      </c>
      <c r="G105">
        <v>40.700000000000003</v>
      </c>
      <c r="H105">
        <v>33.64</v>
      </c>
      <c r="J105">
        <v>442.12</v>
      </c>
      <c r="K105">
        <v>52.97</v>
      </c>
      <c r="L105">
        <v>26.94</v>
      </c>
      <c r="M105">
        <f>Tabla2[[#This Row],[entrada_litros]]*Tabla2[[#This Row],[entrada_grasa_g_l]]/1000</f>
        <v>0</v>
      </c>
      <c r="N105">
        <f>Tabla2[[#This Row],[entrada_litros]]*Tabla2[[#This Row],[entrada_prot_g_l]]/1000</f>
        <v>0</v>
      </c>
      <c r="O105">
        <f>Tabla2[[#This Row],[cuba_fab_litros]]*Tabla2[[#This Row],[cuba_fab_grasa_g_l]]/1000</f>
        <v>151.28190000000004</v>
      </c>
      <c r="P105">
        <f>Tabla2[[#This Row],[cuba_fab_litros]]*Tabla2[[#This Row],[cuba_fab_prot_g_l]]/1000</f>
        <v>125.03988000000001</v>
      </c>
      <c r="Q105">
        <f>Tabla2[[#This Row],[queso_kg]]*Tabla2[[#This Row],[queso_est_pct]]/100</f>
        <v>234.19096399999998</v>
      </c>
      <c r="R105">
        <f>Tabla2[[#This Row],[queso_kg]]*Tabla2[[#This Row],[queso_mg_pct]]/100</f>
        <v>119.10712800000002</v>
      </c>
      <c r="S105">
        <f>_xlfn.ISOWEEKNUM(Tabla2[[#This Row],[fecha]])</f>
        <v>15</v>
      </c>
      <c r="T105">
        <v>15</v>
      </c>
    </row>
    <row r="106" spans="1:20" x14ac:dyDescent="0.25">
      <c r="A106" s="1">
        <v>45395</v>
      </c>
      <c r="M106">
        <f>Tabla2[[#This Row],[entrada_litros]]*Tabla2[[#This Row],[entrada_grasa_g_l]]/1000</f>
        <v>0</v>
      </c>
      <c r="N106">
        <f>Tabla2[[#This Row],[entrada_litros]]*Tabla2[[#This Row],[entrada_prot_g_l]]/1000</f>
        <v>0</v>
      </c>
      <c r="O106">
        <f>Tabla2[[#This Row],[cuba_fab_litros]]*Tabla2[[#This Row],[cuba_fab_grasa_g_l]]/1000</f>
        <v>0</v>
      </c>
      <c r="P106">
        <f>Tabla2[[#This Row],[cuba_fab_litros]]*Tabla2[[#This Row],[cuba_fab_prot_g_l]]/1000</f>
        <v>0</v>
      </c>
      <c r="Q106">
        <f>Tabla2[[#This Row],[queso_kg]]*Tabla2[[#This Row],[queso_est_pct]]/100</f>
        <v>0</v>
      </c>
      <c r="R106">
        <f>Tabla2[[#This Row],[queso_kg]]*Tabla2[[#This Row],[queso_mg_pct]]/100</f>
        <v>0</v>
      </c>
      <c r="S106">
        <f>_xlfn.ISOWEEKNUM(Tabla2[[#This Row],[fecha]])</f>
        <v>15</v>
      </c>
      <c r="T106">
        <v>15</v>
      </c>
    </row>
    <row r="107" spans="1:20" x14ac:dyDescent="0.25">
      <c r="A107" s="1">
        <v>45396</v>
      </c>
      <c r="B107">
        <v>5111</v>
      </c>
      <c r="C107">
        <v>4962</v>
      </c>
      <c r="D107">
        <v>41.18</v>
      </c>
      <c r="E107">
        <v>35.17</v>
      </c>
      <c r="I107">
        <v>4962</v>
      </c>
      <c r="M107">
        <f>Tabla2[[#This Row],[entrada_litros]]*Tabla2[[#This Row],[entrada_grasa_g_l]]/1000</f>
        <v>204.33516</v>
      </c>
      <c r="N107">
        <f>Tabla2[[#This Row],[entrada_litros]]*Tabla2[[#This Row],[entrada_prot_g_l]]/1000</f>
        <v>174.51354000000001</v>
      </c>
      <c r="O107">
        <f>Tabla2[[#This Row],[cuba_fab_litros]]*Tabla2[[#This Row],[cuba_fab_grasa_g_l]]/1000</f>
        <v>0</v>
      </c>
      <c r="P107">
        <f>Tabla2[[#This Row],[cuba_fab_litros]]*Tabla2[[#This Row],[cuba_fab_prot_g_l]]/1000</f>
        <v>0</v>
      </c>
      <c r="Q107">
        <f>Tabla2[[#This Row],[queso_kg]]*Tabla2[[#This Row],[queso_est_pct]]/100</f>
        <v>0</v>
      </c>
      <c r="R107">
        <f>Tabla2[[#This Row],[queso_kg]]*Tabla2[[#This Row],[queso_mg_pct]]/100</f>
        <v>0</v>
      </c>
      <c r="S107">
        <f>_xlfn.ISOWEEKNUM(Tabla2[[#This Row],[fecha]])</f>
        <v>15</v>
      </c>
      <c r="T107">
        <v>16</v>
      </c>
    </row>
    <row r="108" spans="1:20" x14ac:dyDescent="0.25">
      <c r="A108" s="1">
        <v>45397</v>
      </c>
      <c r="B108">
        <v>5547</v>
      </c>
      <c r="C108">
        <v>5385</v>
      </c>
      <c r="D108">
        <v>41.5</v>
      </c>
      <c r="E108">
        <v>36.18</v>
      </c>
      <c r="F108">
        <v>5035</v>
      </c>
      <c r="G108">
        <v>39.51</v>
      </c>
      <c r="H108">
        <v>34.32</v>
      </c>
      <c r="I108">
        <v>5347</v>
      </c>
      <c r="J108">
        <v>593.98</v>
      </c>
      <c r="K108">
        <v>51.01</v>
      </c>
      <c r="L108">
        <v>25.94</v>
      </c>
      <c r="M108">
        <f>Tabla2[[#This Row],[entrada_litros]]*Tabla2[[#This Row],[entrada_grasa_g_l]]/1000</f>
        <v>223.47749999999999</v>
      </c>
      <c r="N108">
        <f>Tabla2[[#This Row],[entrada_litros]]*Tabla2[[#This Row],[entrada_prot_g_l]]/1000</f>
        <v>194.82929999999999</v>
      </c>
      <c r="O108">
        <f>Tabla2[[#This Row],[cuba_fab_litros]]*Tabla2[[#This Row],[cuba_fab_grasa_g_l]]/1000</f>
        <v>198.93284999999997</v>
      </c>
      <c r="P108">
        <f>Tabla2[[#This Row],[cuba_fab_litros]]*Tabla2[[#This Row],[cuba_fab_prot_g_l]]/1000</f>
        <v>172.80120000000002</v>
      </c>
      <c r="Q108">
        <f>Tabla2[[#This Row],[queso_kg]]*Tabla2[[#This Row],[queso_est_pct]]/100</f>
        <v>302.98919799999999</v>
      </c>
      <c r="R108">
        <f>Tabla2[[#This Row],[queso_kg]]*Tabla2[[#This Row],[queso_mg_pct]]/100</f>
        <v>154.07841200000001</v>
      </c>
      <c r="S108">
        <f>_xlfn.ISOWEEKNUM(Tabla2[[#This Row],[fecha]])</f>
        <v>16</v>
      </c>
      <c r="T108">
        <v>16</v>
      </c>
    </row>
    <row r="109" spans="1:20" x14ac:dyDescent="0.25">
      <c r="A109" s="1">
        <v>45398</v>
      </c>
      <c r="B109">
        <v>5070</v>
      </c>
      <c r="C109">
        <v>4922</v>
      </c>
      <c r="D109">
        <v>44.03</v>
      </c>
      <c r="E109">
        <v>36.65</v>
      </c>
      <c r="F109">
        <v>5021</v>
      </c>
      <c r="G109">
        <v>41.01</v>
      </c>
      <c r="H109">
        <v>34.909999999999997</v>
      </c>
      <c r="I109">
        <v>5269</v>
      </c>
      <c r="J109">
        <v>591.94000000000005</v>
      </c>
      <c r="K109">
        <v>53.98</v>
      </c>
      <c r="L109">
        <v>26.04</v>
      </c>
      <c r="M109">
        <f>Tabla2[[#This Row],[entrada_litros]]*Tabla2[[#This Row],[entrada_grasa_g_l]]/1000</f>
        <v>216.71566000000001</v>
      </c>
      <c r="N109">
        <f>Tabla2[[#This Row],[entrada_litros]]*Tabla2[[#This Row],[entrada_prot_g_l]]/1000</f>
        <v>180.3913</v>
      </c>
      <c r="O109">
        <f>Tabla2[[#This Row],[cuba_fab_litros]]*Tabla2[[#This Row],[cuba_fab_grasa_g_l]]/1000</f>
        <v>205.91120999999998</v>
      </c>
      <c r="P109">
        <f>Tabla2[[#This Row],[cuba_fab_litros]]*Tabla2[[#This Row],[cuba_fab_prot_g_l]]/1000</f>
        <v>175.28310999999999</v>
      </c>
      <c r="Q109">
        <f>Tabla2[[#This Row],[queso_kg]]*Tabla2[[#This Row],[queso_est_pct]]/100</f>
        <v>319.52921200000003</v>
      </c>
      <c r="R109">
        <f>Tabla2[[#This Row],[queso_kg]]*Tabla2[[#This Row],[queso_mg_pct]]/100</f>
        <v>154.141176</v>
      </c>
      <c r="S109">
        <f>_xlfn.ISOWEEKNUM(Tabla2[[#This Row],[fecha]])</f>
        <v>16</v>
      </c>
      <c r="T109">
        <v>16</v>
      </c>
    </row>
    <row r="110" spans="1:20" x14ac:dyDescent="0.25">
      <c r="A110" s="1">
        <v>45399</v>
      </c>
      <c r="B110">
        <v>4961</v>
      </c>
      <c r="C110">
        <v>4817</v>
      </c>
      <c r="D110">
        <v>43.29</v>
      </c>
      <c r="E110">
        <v>35.35</v>
      </c>
      <c r="F110">
        <v>5027</v>
      </c>
      <c r="G110">
        <v>40.880000000000003</v>
      </c>
      <c r="H110">
        <v>34.159999999999997</v>
      </c>
      <c r="I110">
        <v>5086</v>
      </c>
      <c r="J110">
        <v>577.84</v>
      </c>
      <c r="K110">
        <v>52.21</v>
      </c>
      <c r="L110">
        <v>26.16</v>
      </c>
      <c r="M110">
        <f>Tabla2[[#This Row],[entrada_litros]]*Tabla2[[#This Row],[entrada_grasa_g_l]]/1000</f>
        <v>208.52793</v>
      </c>
      <c r="N110">
        <f>Tabla2[[#This Row],[entrada_litros]]*Tabla2[[#This Row],[entrada_prot_g_l]]/1000</f>
        <v>170.28095000000002</v>
      </c>
      <c r="O110">
        <f>Tabla2[[#This Row],[cuba_fab_litros]]*Tabla2[[#This Row],[cuba_fab_grasa_g_l]]/1000</f>
        <v>205.50376</v>
      </c>
      <c r="P110">
        <f>Tabla2[[#This Row],[cuba_fab_litros]]*Tabla2[[#This Row],[cuba_fab_prot_g_l]]/1000</f>
        <v>171.72231999999997</v>
      </c>
      <c r="Q110">
        <f>Tabla2[[#This Row],[queso_kg]]*Tabla2[[#This Row],[queso_est_pct]]/100</f>
        <v>301.69026400000001</v>
      </c>
      <c r="R110">
        <f>Tabla2[[#This Row],[queso_kg]]*Tabla2[[#This Row],[queso_mg_pct]]/100</f>
        <v>151.16294400000001</v>
      </c>
      <c r="S110">
        <f>_xlfn.ISOWEEKNUM(Tabla2[[#This Row],[fecha]])</f>
        <v>16</v>
      </c>
      <c r="T110">
        <v>16</v>
      </c>
    </row>
    <row r="111" spans="1:20" x14ac:dyDescent="0.25">
      <c r="A111" s="1">
        <v>45400</v>
      </c>
      <c r="B111">
        <v>4970</v>
      </c>
      <c r="C111">
        <v>4825</v>
      </c>
      <c r="D111">
        <v>44.92</v>
      </c>
      <c r="E111">
        <v>35.81</v>
      </c>
      <c r="F111">
        <v>5029</v>
      </c>
      <c r="G111">
        <v>41.66</v>
      </c>
      <c r="H111">
        <v>34</v>
      </c>
      <c r="I111">
        <v>4911</v>
      </c>
      <c r="J111">
        <v>580.86</v>
      </c>
      <c r="K111">
        <v>53.9</v>
      </c>
      <c r="L111">
        <v>27.47</v>
      </c>
      <c r="M111">
        <f>Tabla2[[#This Row],[entrada_litros]]*Tabla2[[#This Row],[entrada_grasa_g_l]]/1000</f>
        <v>216.739</v>
      </c>
      <c r="N111">
        <f>Tabla2[[#This Row],[entrada_litros]]*Tabla2[[#This Row],[entrada_prot_g_l]]/1000</f>
        <v>172.78325000000001</v>
      </c>
      <c r="O111">
        <f>Tabla2[[#This Row],[cuba_fab_litros]]*Tabla2[[#This Row],[cuba_fab_grasa_g_l]]/1000</f>
        <v>209.50814</v>
      </c>
      <c r="P111">
        <f>Tabla2[[#This Row],[cuba_fab_litros]]*Tabla2[[#This Row],[cuba_fab_prot_g_l]]/1000</f>
        <v>170.98599999999999</v>
      </c>
      <c r="Q111">
        <f>Tabla2[[#This Row],[queso_kg]]*Tabla2[[#This Row],[queso_est_pct]]/100</f>
        <v>313.08353999999997</v>
      </c>
      <c r="R111">
        <f>Tabla2[[#This Row],[queso_kg]]*Tabla2[[#This Row],[queso_mg_pct]]/100</f>
        <v>159.562242</v>
      </c>
      <c r="S111">
        <f>_xlfn.ISOWEEKNUM(Tabla2[[#This Row],[fecha]])</f>
        <v>16</v>
      </c>
      <c r="T111">
        <v>16</v>
      </c>
    </row>
    <row r="112" spans="1:20" x14ac:dyDescent="0.25">
      <c r="A112" s="1">
        <v>45401</v>
      </c>
      <c r="F112">
        <v>4931</v>
      </c>
      <c r="G112">
        <v>41.91</v>
      </c>
      <c r="H112">
        <v>34.44</v>
      </c>
      <c r="J112">
        <v>563.01</v>
      </c>
      <c r="K112">
        <v>52.02</v>
      </c>
      <c r="L112">
        <v>26.06</v>
      </c>
      <c r="M112">
        <f>Tabla2[[#This Row],[entrada_litros]]*Tabla2[[#This Row],[entrada_grasa_g_l]]/1000</f>
        <v>0</v>
      </c>
      <c r="N112">
        <f>Tabla2[[#This Row],[entrada_litros]]*Tabla2[[#This Row],[entrada_prot_g_l]]/1000</f>
        <v>0</v>
      </c>
      <c r="O112">
        <f>Tabla2[[#This Row],[cuba_fab_litros]]*Tabla2[[#This Row],[cuba_fab_grasa_g_l]]/1000</f>
        <v>206.65821</v>
      </c>
      <c r="P112">
        <f>Tabla2[[#This Row],[cuba_fab_litros]]*Tabla2[[#This Row],[cuba_fab_prot_g_l]]/1000</f>
        <v>169.82363999999998</v>
      </c>
      <c r="Q112">
        <f>Tabla2[[#This Row],[queso_kg]]*Tabla2[[#This Row],[queso_est_pct]]/100</f>
        <v>292.87780200000003</v>
      </c>
      <c r="R112">
        <f>Tabla2[[#This Row],[queso_kg]]*Tabla2[[#This Row],[queso_mg_pct]]/100</f>
        <v>146.720406</v>
      </c>
      <c r="S112">
        <f>_xlfn.ISOWEEKNUM(Tabla2[[#This Row],[fecha]])</f>
        <v>16</v>
      </c>
      <c r="T112">
        <v>16</v>
      </c>
    </row>
    <row r="113" spans="1:20" x14ac:dyDescent="0.25">
      <c r="A113" s="1">
        <v>45402</v>
      </c>
      <c r="M113">
        <f>Tabla2[[#This Row],[entrada_litros]]*Tabla2[[#This Row],[entrada_grasa_g_l]]/1000</f>
        <v>0</v>
      </c>
      <c r="N113">
        <f>Tabla2[[#This Row],[entrada_litros]]*Tabla2[[#This Row],[entrada_prot_g_l]]/1000</f>
        <v>0</v>
      </c>
      <c r="O113">
        <f>Tabla2[[#This Row],[cuba_fab_litros]]*Tabla2[[#This Row],[cuba_fab_grasa_g_l]]/1000</f>
        <v>0</v>
      </c>
      <c r="P113">
        <f>Tabla2[[#This Row],[cuba_fab_litros]]*Tabla2[[#This Row],[cuba_fab_prot_g_l]]/1000</f>
        <v>0</v>
      </c>
      <c r="Q113">
        <f>Tabla2[[#This Row],[queso_kg]]*Tabla2[[#This Row],[queso_est_pct]]/100</f>
        <v>0</v>
      </c>
      <c r="R113">
        <f>Tabla2[[#This Row],[queso_kg]]*Tabla2[[#This Row],[queso_mg_pct]]/100</f>
        <v>0</v>
      </c>
      <c r="S113">
        <f>_xlfn.ISOWEEKNUM(Tabla2[[#This Row],[fecha]])</f>
        <v>16</v>
      </c>
      <c r="T113">
        <v>16</v>
      </c>
    </row>
    <row r="114" spans="1:20" x14ac:dyDescent="0.25">
      <c r="A114" s="1">
        <v>45403</v>
      </c>
      <c r="B114">
        <v>5001</v>
      </c>
      <c r="C114">
        <v>4855</v>
      </c>
      <c r="D114">
        <v>43.13</v>
      </c>
      <c r="E114">
        <v>34.729999999999997</v>
      </c>
      <c r="I114">
        <v>4855</v>
      </c>
      <c r="M114">
        <f>Tabla2[[#This Row],[entrada_litros]]*Tabla2[[#This Row],[entrada_grasa_g_l]]/1000</f>
        <v>209.39615000000003</v>
      </c>
      <c r="N114">
        <f>Tabla2[[#This Row],[entrada_litros]]*Tabla2[[#This Row],[entrada_prot_g_l]]/1000</f>
        <v>168.61415</v>
      </c>
      <c r="O114">
        <f>Tabla2[[#This Row],[cuba_fab_litros]]*Tabla2[[#This Row],[cuba_fab_grasa_g_l]]/1000</f>
        <v>0</v>
      </c>
      <c r="P114">
        <f>Tabla2[[#This Row],[cuba_fab_litros]]*Tabla2[[#This Row],[cuba_fab_prot_g_l]]/1000</f>
        <v>0</v>
      </c>
      <c r="Q114">
        <f>Tabla2[[#This Row],[queso_kg]]*Tabla2[[#This Row],[queso_est_pct]]/100</f>
        <v>0</v>
      </c>
      <c r="R114">
        <f>Tabla2[[#This Row],[queso_kg]]*Tabla2[[#This Row],[queso_mg_pct]]/100</f>
        <v>0</v>
      </c>
      <c r="S114">
        <f>_xlfn.ISOWEEKNUM(Tabla2[[#This Row],[fecha]])</f>
        <v>16</v>
      </c>
      <c r="T114">
        <v>17</v>
      </c>
    </row>
    <row r="115" spans="1:20" x14ac:dyDescent="0.25">
      <c r="A115" s="1">
        <v>45404</v>
      </c>
      <c r="B115">
        <v>5341</v>
      </c>
      <c r="C115">
        <v>5185</v>
      </c>
      <c r="D115">
        <v>42.69</v>
      </c>
      <c r="E115">
        <v>36.21</v>
      </c>
      <c r="F115">
        <v>5018</v>
      </c>
      <c r="G115">
        <v>41.02</v>
      </c>
      <c r="H115">
        <v>33.65</v>
      </c>
      <c r="I115">
        <v>5040</v>
      </c>
      <c r="J115">
        <v>575.83000000000004</v>
      </c>
      <c r="K115">
        <v>52.16</v>
      </c>
      <c r="L115">
        <v>26.09</v>
      </c>
      <c r="M115">
        <f>Tabla2[[#This Row],[entrada_litros]]*Tabla2[[#This Row],[entrada_grasa_g_l]]/1000</f>
        <v>221.34764999999999</v>
      </c>
      <c r="N115">
        <f>Tabla2[[#This Row],[entrada_litros]]*Tabla2[[#This Row],[entrada_prot_g_l]]/1000</f>
        <v>187.74885</v>
      </c>
      <c r="O115">
        <f>Tabla2[[#This Row],[cuba_fab_litros]]*Tabla2[[#This Row],[cuba_fab_grasa_g_l]]/1000</f>
        <v>205.83836000000002</v>
      </c>
      <c r="P115">
        <f>Tabla2[[#This Row],[cuba_fab_litros]]*Tabla2[[#This Row],[cuba_fab_prot_g_l]]/1000</f>
        <v>168.85569999999998</v>
      </c>
      <c r="Q115">
        <f>Tabla2[[#This Row],[queso_kg]]*Tabla2[[#This Row],[queso_est_pct]]/100</f>
        <v>300.35292800000002</v>
      </c>
      <c r="R115">
        <f>Tabla2[[#This Row],[queso_kg]]*Tabla2[[#This Row],[queso_mg_pct]]/100</f>
        <v>150.234047</v>
      </c>
      <c r="S115">
        <f>_xlfn.ISOWEEKNUM(Tabla2[[#This Row],[fecha]])</f>
        <v>17</v>
      </c>
      <c r="T115">
        <v>17</v>
      </c>
    </row>
    <row r="116" spans="1:20" x14ac:dyDescent="0.25">
      <c r="A116" s="1">
        <v>45405</v>
      </c>
      <c r="B116">
        <v>5218</v>
      </c>
      <c r="C116">
        <v>5066</v>
      </c>
      <c r="D116">
        <v>42.56</v>
      </c>
      <c r="E116">
        <v>37.93</v>
      </c>
      <c r="F116">
        <v>5021</v>
      </c>
      <c r="G116">
        <v>40.72</v>
      </c>
      <c r="H116">
        <v>35.39</v>
      </c>
      <c r="I116">
        <v>5106</v>
      </c>
      <c r="J116">
        <v>603.15</v>
      </c>
      <c r="K116">
        <v>52.07</v>
      </c>
      <c r="L116">
        <v>26.43</v>
      </c>
      <c r="M116">
        <f>Tabla2[[#This Row],[entrada_litros]]*Tabla2[[#This Row],[entrada_grasa_g_l]]/1000</f>
        <v>215.60896000000002</v>
      </c>
      <c r="N116">
        <f>Tabla2[[#This Row],[entrada_litros]]*Tabla2[[#This Row],[entrada_prot_g_l]]/1000</f>
        <v>192.15338</v>
      </c>
      <c r="O116">
        <f>Tabla2[[#This Row],[cuba_fab_litros]]*Tabla2[[#This Row],[cuba_fab_grasa_g_l]]/1000</f>
        <v>204.45511999999999</v>
      </c>
      <c r="P116">
        <f>Tabla2[[#This Row],[cuba_fab_litros]]*Tabla2[[#This Row],[cuba_fab_prot_g_l]]/1000</f>
        <v>177.69319000000002</v>
      </c>
      <c r="Q116">
        <f>Tabla2[[#This Row],[queso_kg]]*Tabla2[[#This Row],[queso_est_pct]]/100</f>
        <v>314.060205</v>
      </c>
      <c r="R116">
        <f>Tabla2[[#This Row],[queso_kg]]*Tabla2[[#This Row],[queso_mg_pct]]/100</f>
        <v>159.41254499999999</v>
      </c>
      <c r="S116">
        <f>_xlfn.ISOWEEKNUM(Tabla2[[#This Row],[fecha]])</f>
        <v>17</v>
      </c>
      <c r="T116">
        <v>17</v>
      </c>
    </row>
    <row r="117" spans="1:20" x14ac:dyDescent="0.25">
      <c r="A117" s="1">
        <v>45406</v>
      </c>
      <c r="B117">
        <v>4737</v>
      </c>
      <c r="C117">
        <v>4599</v>
      </c>
      <c r="D117">
        <v>40.51</v>
      </c>
      <c r="E117">
        <v>37.270000000000003</v>
      </c>
      <c r="F117">
        <v>5030</v>
      </c>
      <c r="G117">
        <v>39.880000000000003</v>
      </c>
      <c r="H117">
        <v>35.17</v>
      </c>
      <c r="I117">
        <v>4705</v>
      </c>
      <c r="J117">
        <v>590.59</v>
      </c>
      <c r="K117">
        <v>51.22</v>
      </c>
      <c r="L117">
        <v>26.08</v>
      </c>
      <c r="M117">
        <f>Tabla2[[#This Row],[entrada_litros]]*Tabla2[[#This Row],[entrada_grasa_g_l]]/1000</f>
        <v>186.30548999999999</v>
      </c>
      <c r="N117">
        <f>Tabla2[[#This Row],[entrada_litros]]*Tabla2[[#This Row],[entrada_prot_g_l]]/1000</f>
        <v>171.40473</v>
      </c>
      <c r="O117">
        <f>Tabla2[[#This Row],[cuba_fab_litros]]*Tabla2[[#This Row],[cuba_fab_grasa_g_l]]/1000</f>
        <v>200.59640000000002</v>
      </c>
      <c r="P117">
        <f>Tabla2[[#This Row],[cuba_fab_litros]]*Tabla2[[#This Row],[cuba_fab_prot_g_l]]/1000</f>
        <v>176.9051</v>
      </c>
      <c r="Q117">
        <f>Tabla2[[#This Row],[queso_kg]]*Tabla2[[#This Row],[queso_est_pct]]/100</f>
        <v>302.50019800000001</v>
      </c>
      <c r="R117">
        <f>Tabla2[[#This Row],[queso_kg]]*Tabla2[[#This Row],[queso_mg_pct]]/100</f>
        <v>154.02587199999999</v>
      </c>
      <c r="S117">
        <f>_xlfn.ISOWEEKNUM(Tabla2[[#This Row],[fecha]])</f>
        <v>17</v>
      </c>
      <c r="T117">
        <v>17</v>
      </c>
    </row>
    <row r="118" spans="1:20" x14ac:dyDescent="0.25">
      <c r="A118" s="1">
        <v>45407</v>
      </c>
      <c r="B118">
        <v>5207</v>
      </c>
      <c r="C118">
        <v>5055</v>
      </c>
      <c r="D118">
        <v>41.56</v>
      </c>
      <c r="E118">
        <v>36.5</v>
      </c>
      <c r="F118">
        <v>5030</v>
      </c>
      <c r="G118">
        <v>39.840000000000003</v>
      </c>
      <c r="H118">
        <v>35.57</v>
      </c>
      <c r="I118">
        <v>4760</v>
      </c>
      <c r="J118">
        <v>623.79999999999995</v>
      </c>
      <c r="K118">
        <v>52.64</v>
      </c>
      <c r="L118">
        <v>26.86</v>
      </c>
      <c r="M118">
        <f>Tabla2[[#This Row],[entrada_litros]]*Tabla2[[#This Row],[entrada_grasa_g_l]]/1000</f>
        <v>210.08580000000001</v>
      </c>
      <c r="N118">
        <f>Tabla2[[#This Row],[entrada_litros]]*Tabla2[[#This Row],[entrada_prot_g_l]]/1000</f>
        <v>184.50749999999999</v>
      </c>
      <c r="O118">
        <f>Tabla2[[#This Row],[cuba_fab_litros]]*Tabla2[[#This Row],[cuba_fab_grasa_g_l]]/1000</f>
        <v>200.39520000000002</v>
      </c>
      <c r="P118">
        <f>Tabla2[[#This Row],[cuba_fab_litros]]*Tabla2[[#This Row],[cuba_fab_prot_g_l]]/1000</f>
        <v>178.9171</v>
      </c>
      <c r="Q118">
        <f>Tabla2[[#This Row],[queso_kg]]*Tabla2[[#This Row],[queso_est_pct]]/100</f>
        <v>328.36831999999993</v>
      </c>
      <c r="R118">
        <f>Tabla2[[#This Row],[queso_kg]]*Tabla2[[#This Row],[queso_mg_pct]]/100</f>
        <v>167.55268000000001</v>
      </c>
      <c r="S118">
        <f>_xlfn.ISOWEEKNUM(Tabla2[[#This Row],[fecha]])</f>
        <v>17</v>
      </c>
      <c r="T118">
        <v>17</v>
      </c>
    </row>
    <row r="119" spans="1:20" x14ac:dyDescent="0.25">
      <c r="A119" s="1">
        <v>45408</v>
      </c>
      <c r="F119">
        <v>4781</v>
      </c>
      <c r="G119">
        <v>39.56</v>
      </c>
      <c r="H119">
        <v>34.51</v>
      </c>
      <c r="J119">
        <v>559.79999999999995</v>
      </c>
      <c r="K119">
        <v>51.54</v>
      </c>
      <c r="L119">
        <v>27.34</v>
      </c>
      <c r="M119">
        <f>Tabla2[[#This Row],[entrada_litros]]*Tabla2[[#This Row],[entrada_grasa_g_l]]/1000</f>
        <v>0</v>
      </c>
      <c r="N119">
        <f>Tabla2[[#This Row],[entrada_litros]]*Tabla2[[#This Row],[entrada_prot_g_l]]/1000</f>
        <v>0</v>
      </c>
      <c r="O119">
        <f>Tabla2[[#This Row],[cuba_fab_litros]]*Tabla2[[#This Row],[cuba_fab_grasa_g_l]]/1000</f>
        <v>189.13636000000002</v>
      </c>
      <c r="P119">
        <f>Tabla2[[#This Row],[cuba_fab_litros]]*Tabla2[[#This Row],[cuba_fab_prot_g_l]]/1000</f>
        <v>164.99231</v>
      </c>
      <c r="Q119">
        <f>Tabla2[[#This Row],[queso_kg]]*Tabla2[[#This Row],[queso_est_pct]]/100</f>
        <v>288.52091999999999</v>
      </c>
      <c r="R119">
        <f>Tabla2[[#This Row],[queso_kg]]*Tabla2[[#This Row],[queso_mg_pct]]/100</f>
        <v>153.04931999999999</v>
      </c>
      <c r="S119">
        <f>_xlfn.ISOWEEKNUM(Tabla2[[#This Row],[fecha]])</f>
        <v>17</v>
      </c>
      <c r="T119">
        <v>17</v>
      </c>
    </row>
    <row r="120" spans="1:20" x14ac:dyDescent="0.25">
      <c r="A120" s="1">
        <v>45409</v>
      </c>
      <c r="M120">
        <f>Tabla2[[#This Row],[entrada_litros]]*Tabla2[[#This Row],[entrada_grasa_g_l]]/1000</f>
        <v>0</v>
      </c>
      <c r="N120">
        <f>Tabla2[[#This Row],[entrada_litros]]*Tabla2[[#This Row],[entrada_prot_g_l]]/1000</f>
        <v>0</v>
      </c>
      <c r="O120">
        <f>Tabla2[[#This Row],[cuba_fab_litros]]*Tabla2[[#This Row],[cuba_fab_grasa_g_l]]/1000</f>
        <v>0</v>
      </c>
      <c r="P120">
        <f>Tabla2[[#This Row],[cuba_fab_litros]]*Tabla2[[#This Row],[cuba_fab_prot_g_l]]/1000</f>
        <v>0</v>
      </c>
      <c r="Q120">
        <f>Tabla2[[#This Row],[queso_kg]]*Tabla2[[#This Row],[queso_est_pct]]/100</f>
        <v>0</v>
      </c>
      <c r="R120">
        <f>Tabla2[[#This Row],[queso_kg]]*Tabla2[[#This Row],[queso_mg_pct]]/100</f>
        <v>0</v>
      </c>
      <c r="S120">
        <f>_xlfn.ISOWEEKNUM(Tabla2[[#This Row],[fecha]])</f>
        <v>17</v>
      </c>
      <c r="T120">
        <v>17</v>
      </c>
    </row>
    <row r="121" spans="1:20" x14ac:dyDescent="0.25">
      <c r="A121" s="1">
        <v>45410</v>
      </c>
      <c r="B121">
        <v>5162</v>
      </c>
      <c r="C121">
        <v>5012</v>
      </c>
      <c r="D121">
        <v>39.81</v>
      </c>
      <c r="E121">
        <v>37.04</v>
      </c>
      <c r="I121">
        <v>5012</v>
      </c>
      <c r="M121">
        <f>Tabla2[[#This Row],[entrada_litros]]*Tabla2[[#This Row],[entrada_grasa_g_l]]/1000</f>
        <v>199.52771999999999</v>
      </c>
      <c r="N121">
        <f>Tabla2[[#This Row],[entrada_litros]]*Tabla2[[#This Row],[entrada_prot_g_l]]/1000</f>
        <v>185.64447999999999</v>
      </c>
      <c r="O121">
        <f>Tabla2[[#This Row],[cuba_fab_litros]]*Tabla2[[#This Row],[cuba_fab_grasa_g_l]]/1000</f>
        <v>0</v>
      </c>
      <c r="P121">
        <f>Tabla2[[#This Row],[cuba_fab_litros]]*Tabla2[[#This Row],[cuba_fab_prot_g_l]]/1000</f>
        <v>0</v>
      </c>
      <c r="Q121">
        <f>Tabla2[[#This Row],[queso_kg]]*Tabla2[[#This Row],[queso_est_pct]]/100</f>
        <v>0</v>
      </c>
      <c r="R121">
        <f>Tabla2[[#This Row],[queso_kg]]*Tabla2[[#This Row],[queso_mg_pct]]/100</f>
        <v>0</v>
      </c>
      <c r="S121">
        <f>_xlfn.ISOWEEKNUM(Tabla2[[#This Row],[fecha]])</f>
        <v>17</v>
      </c>
      <c r="T121">
        <v>18</v>
      </c>
    </row>
    <row r="122" spans="1:20" x14ac:dyDescent="0.25">
      <c r="A122" s="1">
        <v>45411</v>
      </c>
      <c r="B122">
        <v>5180</v>
      </c>
      <c r="C122">
        <v>5029</v>
      </c>
      <c r="D122">
        <v>42.89</v>
      </c>
      <c r="E122">
        <v>37.549999999999997</v>
      </c>
      <c r="F122">
        <v>5024</v>
      </c>
      <c r="G122">
        <v>39.479999999999997</v>
      </c>
      <c r="H122">
        <v>35.659999999999997</v>
      </c>
      <c r="I122">
        <v>5041</v>
      </c>
      <c r="J122">
        <v>603.73</v>
      </c>
      <c r="K122">
        <v>51.52</v>
      </c>
      <c r="L122">
        <v>26.6</v>
      </c>
      <c r="M122">
        <f>Tabla2[[#This Row],[entrada_litros]]*Tabla2[[#This Row],[entrada_grasa_g_l]]/1000</f>
        <v>215.69380999999998</v>
      </c>
      <c r="N122">
        <f>Tabla2[[#This Row],[entrada_litros]]*Tabla2[[#This Row],[entrada_prot_g_l]]/1000</f>
        <v>188.83894999999998</v>
      </c>
      <c r="O122">
        <f>Tabla2[[#This Row],[cuba_fab_litros]]*Tabla2[[#This Row],[cuba_fab_grasa_g_l]]/1000</f>
        <v>198.34752</v>
      </c>
      <c r="P122">
        <f>Tabla2[[#This Row],[cuba_fab_litros]]*Tabla2[[#This Row],[cuba_fab_prot_g_l]]/1000</f>
        <v>179.15583999999998</v>
      </c>
      <c r="Q122">
        <f>Tabla2[[#This Row],[queso_kg]]*Tabla2[[#This Row],[queso_est_pct]]/100</f>
        <v>311.041696</v>
      </c>
      <c r="R122">
        <f>Tabla2[[#This Row],[queso_kg]]*Tabla2[[#This Row],[queso_mg_pct]]/100</f>
        <v>160.59218000000001</v>
      </c>
      <c r="S122">
        <f>_xlfn.ISOWEEKNUM(Tabla2[[#This Row],[fecha]])</f>
        <v>18</v>
      </c>
      <c r="T122">
        <v>18</v>
      </c>
    </row>
    <row r="123" spans="1:20" x14ac:dyDescent="0.25">
      <c r="A123" s="1">
        <v>45412</v>
      </c>
      <c r="B123">
        <v>5579</v>
      </c>
      <c r="C123">
        <v>5417</v>
      </c>
      <c r="D123">
        <v>42.47</v>
      </c>
      <c r="E123">
        <v>35.14</v>
      </c>
      <c r="F123">
        <v>5030</v>
      </c>
      <c r="G123">
        <v>40.270000000000003</v>
      </c>
      <c r="H123">
        <v>34.68</v>
      </c>
      <c r="I123">
        <v>5458</v>
      </c>
      <c r="J123">
        <v>575.14</v>
      </c>
      <c r="K123">
        <v>51.76</v>
      </c>
      <c r="L123">
        <v>25.51</v>
      </c>
      <c r="M123">
        <f>Tabla2[[#This Row],[entrada_litros]]*Tabla2[[#This Row],[entrada_grasa_g_l]]/1000</f>
        <v>230.05999</v>
      </c>
      <c r="N123">
        <f>Tabla2[[#This Row],[entrada_litros]]*Tabla2[[#This Row],[entrada_prot_g_l]]/1000</f>
        <v>190.35338000000002</v>
      </c>
      <c r="O123">
        <f>Tabla2[[#This Row],[cuba_fab_litros]]*Tabla2[[#This Row],[cuba_fab_grasa_g_l]]/1000</f>
        <v>202.5581</v>
      </c>
      <c r="P123">
        <f>Tabla2[[#This Row],[cuba_fab_litros]]*Tabla2[[#This Row],[cuba_fab_prot_g_l]]/1000</f>
        <v>174.44039999999998</v>
      </c>
      <c r="Q123">
        <f>Tabla2[[#This Row],[queso_kg]]*Tabla2[[#This Row],[queso_est_pct]]/100</f>
        <v>297.69246399999997</v>
      </c>
      <c r="R123">
        <f>Tabla2[[#This Row],[queso_kg]]*Tabla2[[#This Row],[queso_mg_pct]]/100</f>
        <v>146.71821400000002</v>
      </c>
      <c r="S123">
        <f>_xlfn.ISOWEEKNUM(Tabla2[[#This Row],[fecha]])</f>
        <v>18</v>
      </c>
      <c r="T123">
        <v>18</v>
      </c>
    </row>
    <row r="124" spans="1:20" x14ac:dyDescent="0.25">
      <c r="A124" s="1">
        <v>45413</v>
      </c>
      <c r="B124">
        <v>5311</v>
      </c>
      <c r="C124">
        <v>5156</v>
      </c>
      <c r="D124">
        <v>43.24</v>
      </c>
      <c r="E124">
        <v>34.78</v>
      </c>
      <c r="F124">
        <v>5021</v>
      </c>
      <c r="G124">
        <v>40.64</v>
      </c>
      <c r="H124">
        <v>33.869999999999997</v>
      </c>
      <c r="I124">
        <v>5614</v>
      </c>
      <c r="J124">
        <v>581.29999999999995</v>
      </c>
      <c r="K124">
        <v>53.32</v>
      </c>
      <c r="L124">
        <v>26.31</v>
      </c>
      <c r="M124">
        <f>Tabla2[[#This Row],[entrada_litros]]*Tabla2[[#This Row],[entrada_grasa_g_l]]/1000</f>
        <v>222.94543999999999</v>
      </c>
      <c r="N124">
        <f>Tabla2[[#This Row],[entrada_litros]]*Tabla2[[#This Row],[entrada_prot_g_l]]/1000</f>
        <v>179.32568000000001</v>
      </c>
      <c r="O124">
        <f>Tabla2[[#This Row],[cuba_fab_litros]]*Tabla2[[#This Row],[cuba_fab_grasa_g_l]]/1000</f>
        <v>204.05343999999999</v>
      </c>
      <c r="P124">
        <f>Tabla2[[#This Row],[cuba_fab_litros]]*Tabla2[[#This Row],[cuba_fab_prot_g_l]]/1000</f>
        <v>170.06126999999998</v>
      </c>
      <c r="Q124">
        <f>Tabla2[[#This Row],[queso_kg]]*Tabla2[[#This Row],[queso_est_pct]]/100</f>
        <v>309.94915999999995</v>
      </c>
      <c r="R124">
        <f>Tabla2[[#This Row],[queso_kg]]*Tabla2[[#This Row],[queso_mg_pct]]/100</f>
        <v>152.94002999999998</v>
      </c>
      <c r="S124">
        <f>_xlfn.ISOWEEKNUM(Tabla2[[#This Row],[fecha]])</f>
        <v>18</v>
      </c>
      <c r="T124">
        <v>18</v>
      </c>
    </row>
    <row r="125" spans="1:20" x14ac:dyDescent="0.25">
      <c r="A125" s="1">
        <v>45414</v>
      </c>
      <c r="B125">
        <v>5218</v>
      </c>
      <c r="C125">
        <v>5066</v>
      </c>
      <c r="D125">
        <v>41.67</v>
      </c>
      <c r="E125">
        <v>35.69</v>
      </c>
      <c r="F125">
        <v>5035</v>
      </c>
      <c r="G125">
        <v>40.14</v>
      </c>
      <c r="H125">
        <v>33.74</v>
      </c>
      <c r="I125">
        <v>5680</v>
      </c>
      <c r="J125">
        <v>588</v>
      </c>
      <c r="K125">
        <v>52.87</v>
      </c>
      <c r="L125">
        <v>27</v>
      </c>
      <c r="M125">
        <f>Tabla2[[#This Row],[entrada_litros]]*Tabla2[[#This Row],[entrada_grasa_g_l]]/1000</f>
        <v>211.10022000000001</v>
      </c>
      <c r="N125">
        <f>Tabla2[[#This Row],[entrada_litros]]*Tabla2[[#This Row],[entrada_prot_g_l]]/1000</f>
        <v>180.80553999999998</v>
      </c>
      <c r="O125">
        <f>Tabla2[[#This Row],[cuba_fab_litros]]*Tabla2[[#This Row],[cuba_fab_grasa_g_l]]/1000</f>
        <v>202.10489999999999</v>
      </c>
      <c r="P125">
        <f>Tabla2[[#This Row],[cuba_fab_litros]]*Tabla2[[#This Row],[cuba_fab_prot_g_l]]/1000</f>
        <v>169.88090000000003</v>
      </c>
      <c r="Q125">
        <f>Tabla2[[#This Row],[queso_kg]]*Tabla2[[#This Row],[queso_est_pct]]/100</f>
        <v>310.87559999999996</v>
      </c>
      <c r="R125">
        <f>Tabla2[[#This Row],[queso_kg]]*Tabla2[[#This Row],[queso_mg_pct]]/100</f>
        <v>158.76</v>
      </c>
      <c r="S125">
        <f>_xlfn.ISOWEEKNUM(Tabla2[[#This Row],[fecha]])</f>
        <v>18</v>
      </c>
      <c r="T125">
        <v>18</v>
      </c>
    </row>
    <row r="126" spans="1:20" x14ac:dyDescent="0.25">
      <c r="A126" s="1">
        <v>45415</v>
      </c>
      <c r="F126">
        <v>5700</v>
      </c>
      <c r="G126">
        <v>40.25</v>
      </c>
      <c r="H126">
        <v>33.79</v>
      </c>
      <c r="J126">
        <v>702.81</v>
      </c>
      <c r="K126">
        <v>51.97</v>
      </c>
      <c r="L126">
        <v>25.97</v>
      </c>
      <c r="M126">
        <f>Tabla2[[#This Row],[entrada_litros]]*Tabla2[[#This Row],[entrada_grasa_g_l]]/1000</f>
        <v>0</v>
      </c>
      <c r="N126">
        <f>Tabla2[[#This Row],[entrada_litros]]*Tabla2[[#This Row],[entrada_prot_g_l]]/1000</f>
        <v>0</v>
      </c>
      <c r="O126">
        <f>Tabla2[[#This Row],[cuba_fab_litros]]*Tabla2[[#This Row],[cuba_fab_grasa_g_l]]/1000</f>
        <v>229.42500000000001</v>
      </c>
      <c r="P126">
        <f>Tabla2[[#This Row],[cuba_fab_litros]]*Tabla2[[#This Row],[cuba_fab_prot_g_l]]/1000</f>
        <v>192.60300000000001</v>
      </c>
      <c r="Q126">
        <f>Tabla2[[#This Row],[queso_kg]]*Tabla2[[#This Row],[queso_est_pct]]/100</f>
        <v>365.25035699999995</v>
      </c>
      <c r="R126">
        <f>Tabla2[[#This Row],[queso_kg]]*Tabla2[[#This Row],[queso_mg_pct]]/100</f>
        <v>182.519757</v>
      </c>
      <c r="S126">
        <f>_xlfn.ISOWEEKNUM(Tabla2[[#This Row],[fecha]])</f>
        <v>18</v>
      </c>
      <c r="T126">
        <v>18</v>
      </c>
    </row>
    <row r="127" spans="1:20" x14ac:dyDescent="0.25">
      <c r="A127" s="1">
        <v>45416</v>
      </c>
      <c r="M127">
        <f>Tabla2[[#This Row],[entrada_litros]]*Tabla2[[#This Row],[entrada_grasa_g_l]]/1000</f>
        <v>0</v>
      </c>
      <c r="N127">
        <f>Tabla2[[#This Row],[entrada_litros]]*Tabla2[[#This Row],[entrada_prot_g_l]]/1000</f>
        <v>0</v>
      </c>
      <c r="O127">
        <f>Tabla2[[#This Row],[cuba_fab_litros]]*Tabla2[[#This Row],[cuba_fab_grasa_g_l]]/1000</f>
        <v>0</v>
      </c>
      <c r="P127">
        <f>Tabla2[[#This Row],[cuba_fab_litros]]*Tabla2[[#This Row],[cuba_fab_prot_g_l]]/1000</f>
        <v>0</v>
      </c>
      <c r="Q127">
        <f>Tabla2[[#This Row],[queso_kg]]*Tabla2[[#This Row],[queso_est_pct]]/100</f>
        <v>0</v>
      </c>
      <c r="R127">
        <f>Tabla2[[#This Row],[queso_kg]]*Tabla2[[#This Row],[queso_mg_pct]]/100</f>
        <v>0</v>
      </c>
      <c r="S127">
        <f>_xlfn.ISOWEEKNUM(Tabla2[[#This Row],[fecha]])</f>
        <v>18</v>
      </c>
      <c r="T127">
        <v>18</v>
      </c>
    </row>
    <row r="128" spans="1:20" x14ac:dyDescent="0.25">
      <c r="A128" s="1">
        <v>45417</v>
      </c>
      <c r="B128">
        <v>5000</v>
      </c>
      <c r="C128">
        <v>4854</v>
      </c>
      <c r="D128">
        <v>42.08</v>
      </c>
      <c r="E128">
        <v>36.090000000000003</v>
      </c>
      <c r="I128">
        <v>4854</v>
      </c>
      <c r="M128">
        <f>Tabla2[[#This Row],[entrada_litros]]*Tabla2[[#This Row],[entrada_grasa_g_l]]/1000</f>
        <v>204.25631999999999</v>
      </c>
      <c r="N128">
        <f>Tabla2[[#This Row],[entrada_litros]]*Tabla2[[#This Row],[entrada_prot_g_l]]/1000</f>
        <v>175.18086000000002</v>
      </c>
      <c r="O128">
        <f>Tabla2[[#This Row],[cuba_fab_litros]]*Tabla2[[#This Row],[cuba_fab_grasa_g_l]]/1000</f>
        <v>0</v>
      </c>
      <c r="P128">
        <f>Tabla2[[#This Row],[cuba_fab_litros]]*Tabla2[[#This Row],[cuba_fab_prot_g_l]]/1000</f>
        <v>0</v>
      </c>
      <c r="Q128">
        <f>Tabla2[[#This Row],[queso_kg]]*Tabla2[[#This Row],[queso_est_pct]]/100</f>
        <v>0</v>
      </c>
      <c r="R128">
        <f>Tabla2[[#This Row],[queso_kg]]*Tabla2[[#This Row],[queso_mg_pct]]/100</f>
        <v>0</v>
      </c>
      <c r="S128">
        <f>_xlfn.ISOWEEKNUM(Tabla2[[#This Row],[fecha]])</f>
        <v>18</v>
      </c>
      <c r="T128">
        <v>19</v>
      </c>
    </row>
    <row r="129" spans="1:20" x14ac:dyDescent="0.25">
      <c r="A129" s="1">
        <v>45418</v>
      </c>
      <c r="B129">
        <v>5175</v>
      </c>
      <c r="C129">
        <v>5024</v>
      </c>
      <c r="D129">
        <v>43.66</v>
      </c>
      <c r="E129">
        <v>36.1</v>
      </c>
      <c r="F129">
        <v>5032</v>
      </c>
      <c r="G129">
        <v>40.83</v>
      </c>
      <c r="H129">
        <v>34.299999999999997</v>
      </c>
      <c r="I129">
        <v>4878</v>
      </c>
      <c r="J129">
        <v>605.17999999999995</v>
      </c>
      <c r="K129">
        <v>50.6</v>
      </c>
      <c r="L129">
        <v>27.3</v>
      </c>
      <c r="M129">
        <f>Tabla2[[#This Row],[entrada_litros]]*Tabla2[[#This Row],[entrada_grasa_g_l]]/1000</f>
        <v>219.34783999999999</v>
      </c>
      <c r="N129">
        <f>Tabla2[[#This Row],[entrada_litros]]*Tabla2[[#This Row],[entrada_prot_g_l]]/1000</f>
        <v>181.3664</v>
      </c>
      <c r="O129">
        <f>Tabla2[[#This Row],[cuba_fab_litros]]*Tabla2[[#This Row],[cuba_fab_grasa_g_l]]/1000</f>
        <v>205.45656</v>
      </c>
      <c r="P129">
        <f>Tabla2[[#This Row],[cuba_fab_litros]]*Tabla2[[#This Row],[cuba_fab_prot_g_l]]/1000</f>
        <v>172.59759999999997</v>
      </c>
      <c r="Q129">
        <f>Tabla2[[#This Row],[queso_kg]]*Tabla2[[#This Row],[queso_est_pct]]/100</f>
        <v>306.22107999999997</v>
      </c>
      <c r="R129">
        <f>Tabla2[[#This Row],[queso_kg]]*Tabla2[[#This Row],[queso_mg_pct]]/100</f>
        <v>165.21414000000001</v>
      </c>
      <c r="S129">
        <f>_xlfn.ISOWEEKNUM(Tabla2[[#This Row],[fecha]])</f>
        <v>19</v>
      </c>
      <c r="T129">
        <v>19</v>
      </c>
    </row>
    <row r="130" spans="1:20" x14ac:dyDescent="0.25">
      <c r="A130" s="1">
        <v>45419</v>
      </c>
      <c r="B130">
        <v>5117</v>
      </c>
      <c r="C130">
        <v>4968</v>
      </c>
      <c r="D130">
        <v>42.2</v>
      </c>
      <c r="E130">
        <v>37.049999999999997</v>
      </c>
      <c r="F130">
        <v>5031</v>
      </c>
      <c r="G130">
        <v>40.68</v>
      </c>
      <c r="H130">
        <v>35.090000000000003</v>
      </c>
      <c r="I130">
        <v>4846</v>
      </c>
      <c r="J130">
        <v>610.79</v>
      </c>
      <c r="K130">
        <v>52.2</v>
      </c>
      <c r="L130">
        <v>25.58</v>
      </c>
      <c r="M130">
        <f>Tabla2[[#This Row],[entrada_litros]]*Tabla2[[#This Row],[entrada_grasa_g_l]]/1000</f>
        <v>209.64959999999999</v>
      </c>
      <c r="N130">
        <f>Tabla2[[#This Row],[entrada_litros]]*Tabla2[[#This Row],[entrada_prot_g_l]]/1000</f>
        <v>184.06440000000001</v>
      </c>
      <c r="O130">
        <f>Tabla2[[#This Row],[cuba_fab_litros]]*Tabla2[[#This Row],[cuba_fab_grasa_g_l]]/1000</f>
        <v>204.66108</v>
      </c>
      <c r="P130">
        <f>Tabla2[[#This Row],[cuba_fab_litros]]*Tabla2[[#This Row],[cuba_fab_prot_g_l]]/1000</f>
        <v>176.53779</v>
      </c>
      <c r="Q130">
        <f>Tabla2[[#This Row],[queso_kg]]*Tabla2[[#This Row],[queso_est_pct]]/100</f>
        <v>318.83238</v>
      </c>
      <c r="R130">
        <f>Tabla2[[#This Row],[queso_kg]]*Tabla2[[#This Row],[queso_mg_pct]]/100</f>
        <v>156.24008199999997</v>
      </c>
      <c r="S130">
        <f>_xlfn.ISOWEEKNUM(Tabla2[[#This Row],[fecha]])</f>
        <v>19</v>
      </c>
      <c r="T130">
        <v>19</v>
      </c>
    </row>
    <row r="131" spans="1:20" x14ac:dyDescent="0.25">
      <c r="A131" s="1">
        <v>45420</v>
      </c>
      <c r="B131">
        <v>5251</v>
      </c>
      <c r="C131">
        <v>5098</v>
      </c>
      <c r="D131">
        <v>42.1</v>
      </c>
      <c r="E131">
        <v>35.450000000000003</v>
      </c>
      <c r="F131">
        <v>5018</v>
      </c>
      <c r="G131">
        <v>40.33</v>
      </c>
      <c r="H131">
        <v>34.36</v>
      </c>
      <c r="I131">
        <v>4944</v>
      </c>
      <c r="J131">
        <v>588.05999999999995</v>
      </c>
      <c r="K131">
        <v>51.53</v>
      </c>
      <c r="L131">
        <v>26.85</v>
      </c>
      <c r="M131">
        <f>Tabla2[[#This Row],[entrada_litros]]*Tabla2[[#This Row],[entrada_grasa_g_l]]/1000</f>
        <v>214.62580000000003</v>
      </c>
      <c r="N131">
        <f>Tabla2[[#This Row],[entrada_litros]]*Tabla2[[#This Row],[entrada_prot_g_l]]/1000</f>
        <v>180.72409999999999</v>
      </c>
      <c r="O131">
        <f>Tabla2[[#This Row],[cuba_fab_litros]]*Tabla2[[#This Row],[cuba_fab_grasa_g_l]]/1000</f>
        <v>202.37594000000001</v>
      </c>
      <c r="P131">
        <f>Tabla2[[#This Row],[cuba_fab_litros]]*Tabla2[[#This Row],[cuba_fab_prot_g_l]]/1000</f>
        <v>172.41848000000002</v>
      </c>
      <c r="Q131">
        <f>Tabla2[[#This Row],[queso_kg]]*Tabla2[[#This Row],[queso_est_pct]]/100</f>
        <v>303.02731799999998</v>
      </c>
      <c r="R131">
        <f>Tabla2[[#This Row],[queso_kg]]*Tabla2[[#This Row],[queso_mg_pct]]/100</f>
        <v>157.89411000000001</v>
      </c>
      <c r="S131">
        <f>_xlfn.ISOWEEKNUM(Tabla2[[#This Row],[fecha]])</f>
        <v>19</v>
      </c>
      <c r="T131">
        <v>19</v>
      </c>
    </row>
    <row r="132" spans="1:20" x14ac:dyDescent="0.25">
      <c r="A132" s="1">
        <v>45421</v>
      </c>
      <c r="B132">
        <v>5413</v>
      </c>
      <c r="C132">
        <v>5255</v>
      </c>
      <c r="D132">
        <v>39.18</v>
      </c>
      <c r="E132">
        <v>36.03</v>
      </c>
      <c r="F132">
        <v>5028</v>
      </c>
      <c r="G132">
        <v>38.92</v>
      </c>
      <c r="H132">
        <v>34.46</v>
      </c>
      <c r="I132">
        <v>5199</v>
      </c>
      <c r="J132">
        <v>584.89</v>
      </c>
      <c r="K132">
        <v>52.21</v>
      </c>
      <c r="L132">
        <v>25.94</v>
      </c>
      <c r="M132">
        <f>Tabla2[[#This Row],[entrada_litros]]*Tabla2[[#This Row],[entrada_grasa_g_l]]/1000</f>
        <v>205.89089999999999</v>
      </c>
      <c r="N132">
        <f>Tabla2[[#This Row],[entrada_litros]]*Tabla2[[#This Row],[entrada_prot_g_l]]/1000</f>
        <v>189.33765</v>
      </c>
      <c r="O132">
        <f>Tabla2[[#This Row],[cuba_fab_litros]]*Tabla2[[#This Row],[cuba_fab_grasa_g_l]]/1000</f>
        <v>195.68976000000001</v>
      </c>
      <c r="P132">
        <f>Tabla2[[#This Row],[cuba_fab_litros]]*Tabla2[[#This Row],[cuba_fab_prot_g_l]]/1000</f>
        <v>173.26488000000001</v>
      </c>
      <c r="Q132">
        <f>Tabla2[[#This Row],[queso_kg]]*Tabla2[[#This Row],[queso_est_pct]]/100</f>
        <v>305.37106899999998</v>
      </c>
      <c r="R132">
        <f>Tabla2[[#This Row],[queso_kg]]*Tabla2[[#This Row],[queso_mg_pct]]/100</f>
        <v>151.72046599999999</v>
      </c>
      <c r="S132">
        <f>_xlfn.ISOWEEKNUM(Tabla2[[#This Row],[fecha]])</f>
        <v>19</v>
      </c>
      <c r="T132">
        <v>19</v>
      </c>
    </row>
    <row r="133" spans="1:20" x14ac:dyDescent="0.25">
      <c r="A133" s="1">
        <v>45422</v>
      </c>
      <c r="F133">
        <v>5217</v>
      </c>
      <c r="G133">
        <v>39.28</v>
      </c>
      <c r="H133">
        <v>34.46</v>
      </c>
      <c r="J133">
        <v>645.30999999999995</v>
      </c>
      <c r="K133">
        <v>51.1</v>
      </c>
      <c r="L133">
        <v>27.76</v>
      </c>
      <c r="M133">
        <f>Tabla2[[#This Row],[entrada_litros]]*Tabla2[[#This Row],[entrada_grasa_g_l]]/1000</f>
        <v>0</v>
      </c>
      <c r="N133">
        <f>Tabla2[[#This Row],[entrada_litros]]*Tabla2[[#This Row],[entrada_prot_g_l]]/1000</f>
        <v>0</v>
      </c>
      <c r="O133">
        <f>Tabla2[[#This Row],[cuba_fab_litros]]*Tabla2[[#This Row],[cuba_fab_grasa_g_l]]/1000</f>
        <v>204.92376000000002</v>
      </c>
      <c r="P133">
        <f>Tabla2[[#This Row],[cuba_fab_litros]]*Tabla2[[#This Row],[cuba_fab_prot_g_l]]/1000</f>
        <v>179.77782000000002</v>
      </c>
      <c r="Q133">
        <f>Tabla2[[#This Row],[queso_kg]]*Tabla2[[#This Row],[queso_est_pct]]/100</f>
        <v>329.75341000000003</v>
      </c>
      <c r="R133">
        <f>Tabla2[[#This Row],[queso_kg]]*Tabla2[[#This Row],[queso_mg_pct]]/100</f>
        <v>179.13805600000001</v>
      </c>
      <c r="S133">
        <f>_xlfn.ISOWEEKNUM(Tabla2[[#This Row],[fecha]])</f>
        <v>19</v>
      </c>
      <c r="T133">
        <v>19</v>
      </c>
    </row>
    <row r="134" spans="1:20" x14ac:dyDescent="0.25">
      <c r="A134" s="1">
        <v>45423</v>
      </c>
      <c r="M134">
        <f>Tabla2[[#This Row],[entrada_litros]]*Tabla2[[#This Row],[entrada_grasa_g_l]]/1000</f>
        <v>0</v>
      </c>
      <c r="N134">
        <f>Tabla2[[#This Row],[entrada_litros]]*Tabla2[[#This Row],[entrada_prot_g_l]]/1000</f>
        <v>0</v>
      </c>
      <c r="O134">
        <f>Tabla2[[#This Row],[cuba_fab_litros]]*Tabla2[[#This Row],[cuba_fab_grasa_g_l]]/1000</f>
        <v>0</v>
      </c>
      <c r="P134">
        <f>Tabla2[[#This Row],[cuba_fab_litros]]*Tabla2[[#This Row],[cuba_fab_prot_g_l]]/1000</f>
        <v>0</v>
      </c>
      <c r="Q134">
        <f>Tabla2[[#This Row],[queso_kg]]*Tabla2[[#This Row],[queso_est_pct]]/100</f>
        <v>0</v>
      </c>
      <c r="R134">
        <f>Tabla2[[#This Row],[queso_kg]]*Tabla2[[#This Row],[queso_mg_pct]]/100</f>
        <v>0</v>
      </c>
      <c r="S134">
        <f>_xlfn.ISOWEEKNUM(Tabla2[[#This Row],[fecha]])</f>
        <v>19</v>
      </c>
      <c r="T134">
        <v>19</v>
      </c>
    </row>
    <row r="135" spans="1:20" x14ac:dyDescent="0.25">
      <c r="A135" s="1">
        <v>45424</v>
      </c>
      <c r="B135">
        <v>5116</v>
      </c>
      <c r="C135">
        <v>4967</v>
      </c>
      <c r="D135">
        <v>42.88</v>
      </c>
      <c r="E135">
        <v>36.79</v>
      </c>
      <c r="I135">
        <v>4967</v>
      </c>
      <c r="M135">
        <f>Tabla2[[#This Row],[entrada_litros]]*Tabla2[[#This Row],[entrada_grasa_g_l]]/1000</f>
        <v>212.98496000000003</v>
      </c>
      <c r="N135">
        <f>Tabla2[[#This Row],[entrada_litros]]*Tabla2[[#This Row],[entrada_prot_g_l]]/1000</f>
        <v>182.73593</v>
      </c>
      <c r="O135">
        <f>Tabla2[[#This Row],[cuba_fab_litros]]*Tabla2[[#This Row],[cuba_fab_grasa_g_l]]/1000</f>
        <v>0</v>
      </c>
      <c r="P135">
        <f>Tabla2[[#This Row],[cuba_fab_litros]]*Tabla2[[#This Row],[cuba_fab_prot_g_l]]/1000</f>
        <v>0</v>
      </c>
      <c r="Q135">
        <f>Tabla2[[#This Row],[queso_kg]]*Tabla2[[#This Row],[queso_est_pct]]/100</f>
        <v>0</v>
      </c>
      <c r="R135">
        <f>Tabla2[[#This Row],[queso_kg]]*Tabla2[[#This Row],[queso_mg_pct]]/100</f>
        <v>0</v>
      </c>
      <c r="S135">
        <f>_xlfn.ISOWEEKNUM(Tabla2[[#This Row],[fecha]])</f>
        <v>19</v>
      </c>
      <c r="T135">
        <v>20</v>
      </c>
    </row>
    <row r="136" spans="1:20" x14ac:dyDescent="0.25">
      <c r="A136" s="1">
        <v>45425</v>
      </c>
      <c r="B136">
        <v>5136</v>
      </c>
      <c r="C136">
        <v>4986</v>
      </c>
      <c r="D136">
        <v>43.03</v>
      </c>
      <c r="E136">
        <v>35.99</v>
      </c>
      <c r="F136">
        <v>5024</v>
      </c>
      <c r="G136">
        <v>41.27</v>
      </c>
      <c r="H136">
        <v>34.880000000000003</v>
      </c>
      <c r="I136">
        <v>4953</v>
      </c>
      <c r="J136">
        <v>588.12</v>
      </c>
      <c r="K136">
        <v>50.47</v>
      </c>
      <c r="L136">
        <v>26.58</v>
      </c>
      <c r="M136">
        <f>Tabla2[[#This Row],[entrada_litros]]*Tabla2[[#This Row],[entrada_grasa_g_l]]/1000</f>
        <v>214.54758000000001</v>
      </c>
      <c r="N136">
        <f>Tabla2[[#This Row],[entrada_litros]]*Tabla2[[#This Row],[entrada_prot_g_l]]/1000</f>
        <v>179.44614000000001</v>
      </c>
      <c r="O136">
        <f>Tabla2[[#This Row],[cuba_fab_litros]]*Tabla2[[#This Row],[cuba_fab_grasa_g_l]]/1000</f>
        <v>207.34048000000001</v>
      </c>
      <c r="P136">
        <f>Tabla2[[#This Row],[cuba_fab_litros]]*Tabla2[[#This Row],[cuba_fab_prot_g_l]]/1000</f>
        <v>175.23712000000003</v>
      </c>
      <c r="Q136">
        <f>Tabla2[[#This Row],[queso_kg]]*Tabla2[[#This Row],[queso_est_pct]]/100</f>
        <v>296.824164</v>
      </c>
      <c r="R136">
        <f>Tabla2[[#This Row],[queso_kg]]*Tabla2[[#This Row],[queso_mg_pct]]/100</f>
        <v>156.32229599999999</v>
      </c>
      <c r="S136">
        <f>_xlfn.ISOWEEKNUM(Tabla2[[#This Row],[fecha]])</f>
        <v>20</v>
      </c>
      <c r="T136">
        <v>20</v>
      </c>
    </row>
    <row r="137" spans="1:20" x14ac:dyDescent="0.25">
      <c r="A137" s="1">
        <v>45426</v>
      </c>
      <c r="B137">
        <v>5496</v>
      </c>
      <c r="C137">
        <v>5336</v>
      </c>
      <c r="D137">
        <v>43.4</v>
      </c>
      <c r="E137">
        <v>35.47</v>
      </c>
      <c r="F137">
        <v>5022</v>
      </c>
      <c r="G137">
        <v>40.880000000000003</v>
      </c>
      <c r="H137">
        <v>34.28</v>
      </c>
      <c r="I137">
        <v>5289</v>
      </c>
      <c r="J137">
        <v>577.21</v>
      </c>
      <c r="K137">
        <v>51.81</v>
      </c>
      <c r="L137">
        <v>27.76</v>
      </c>
      <c r="M137">
        <f>Tabla2[[#This Row],[entrada_litros]]*Tabla2[[#This Row],[entrada_grasa_g_l]]/1000</f>
        <v>231.58240000000001</v>
      </c>
      <c r="N137">
        <f>Tabla2[[#This Row],[entrada_litros]]*Tabla2[[#This Row],[entrada_prot_g_l]]/1000</f>
        <v>189.26791999999998</v>
      </c>
      <c r="O137">
        <f>Tabla2[[#This Row],[cuba_fab_litros]]*Tabla2[[#This Row],[cuba_fab_grasa_g_l]]/1000</f>
        <v>205.29936000000001</v>
      </c>
      <c r="P137">
        <f>Tabla2[[#This Row],[cuba_fab_litros]]*Tabla2[[#This Row],[cuba_fab_prot_g_l]]/1000</f>
        <v>172.15415999999999</v>
      </c>
      <c r="Q137">
        <f>Tabla2[[#This Row],[queso_kg]]*Tabla2[[#This Row],[queso_est_pct]]/100</f>
        <v>299.05250100000006</v>
      </c>
      <c r="R137">
        <f>Tabla2[[#This Row],[queso_kg]]*Tabla2[[#This Row],[queso_mg_pct]]/100</f>
        <v>160.233496</v>
      </c>
      <c r="S137">
        <f>_xlfn.ISOWEEKNUM(Tabla2[[#This Row],[fecha]])</f>
        <v>20</v>
      </c>
      <c r="T137">
        <v>20</v>
      </c>
    </row>
    <row r="138" spans="1:20" x14ac:dyDescent="0.25">
      <c r="A138" s="1">
        <v>45427</v>
      </c>
      <c r="B138">
        <v>4650</v>
      </c>
      <c r="C138">
        <v>4515</v>
      </c>
      <c r="D138">
        <v>46.9</v>
      </c>
      <c r="E138">
        <v>35.44</v>
      </c>
      <c r="F138">
        <v>5029</v>
      </c>
      <c r="G138">
        <v>42.89</v>
      </c>
      <c r="H138">
        <v>34.19</v>
      </c>
      <c r="I138">
        <v>4804</v>
      </c>
      <c r="J138">
        <v>585.78</v>
      </c>
      <c r="K138">
        <v>52.56</v>
      </c>
      <c r="L138">
        <v>26.94</v>
      </c>
      <c r="M138">
        <f>Tabla2[[#This Row],[entrada_litros]]*Tabla2[[#This Row],[entrada_grasa_g_l]]/1000</f>
        <v>211.7535</v>
      </c>
      <c r="N138">
        <f>Tabla2[[#This Row],[entrada_litros]]*Tabla2[[#This Row],[entrada_prot_g_l]]/1000</f>
        <v>160.01159999999999</v>
      </c>
      <c r="O138">
        <f>Tabla2[[#This Row],[cuba_fab_litros]]*Tabla2[[#This Row],[cuba_fab_grasa_g_l]]/1000</f>
        <v>215.69380999999998</v>
      </c>
      <c r="P138">
        <f>Tabla2[[#This Row],[cuba_fab_litros]]*Tabla2[[#This Row],[cuba_fab_prot_g_l]]/1000</f>
        <v>171.94150999999999</v>
      </c>
      <c r="Q138">
        <f>Tabla2[[#This Row],[queso_kg]]*Tabla2[[#This Row],[queso_est_pct]]/100</f>
        <v>307.88596799999999</v>
      </c>
      <c r="R138">
        <f>Tabla2[[#This Row],[queso_kg]]*Tabla2[[#This Row],[queso_mg_pct]]/100</f>
        <v>157.80913200000001</v>
      </c>
      <c r="S138">
        <f>_xlfn.ISOWEEKNUM(Tabla2[[#This Row],[fecha]])</f>
        <v>20</v>
      </c>
      <c r="T138">
        <v>20</v>
      </c>
    </row>
    <row r="139" spans="1:20" x14ac:dyDescent="0.25">
      <c r="A139" s="1">
        <v>45428</v>
      </c>
      <c r="B139">
        <v>5386</v>
      </c>
      <c r="C139">
        <v>5229</v>
      </c>
      <c r="D139">
        <v>43.09</v>
      </c>
      <c r="E139">
        <v>35.049999999999997</v>
      </c>
      <c r="F139">
        <v>5013</v>
      </c>
      <c r="G139">
        <v>41.69</v>
      </c>
      <c r="H139">
        <v>33.94</v>
      </c>
      <c r="I139">
        <v>5033</v>
      </c>
      <c r="J139">
        <v>599.85</v>
      </c>
      <c r="K139">
        <v>50.57</v>
      </c>
      <c r="L139">
        <v>26.74</v>
      </c>
      <c r="M139">
        <f>Tabla2[[#This Row],[entrada_litros]]*Tabla2[[#This Row],[entrada_grasa_g_l]]/1000</f>
        <v>225.31761</v>
      </c>
      <c r="N139">
        <f>Tabla2[[#This Row],[entrada_litros]]*Tabla2[[#This Row],[entrada_prot_g_l]]/1000</f>
        <v>183.27644999999998</v>
      </c>
      <c r="O139">
        <f>Tabla2[[#This Row],[cuba_fab_litros]]*Tabla2[[#This Row],[cuba_fab_grasa_g_l]]/1000</f>
        <v>208.99197000000001</v>
      </c>
      <c r="P139">
        <f>Tabla2[[#This Row],[cuba_fab_litros]]*Tabla2[[#This Row],[cuba_fab_prot_g_l]]/1000</f>
        <v>170.14122</v>
      </c>
      <c r="Q139">
        <f>Tabla2[[#This Row],[queso_kg]]*Tabla2[[#This Row],[queso_est_pct]]/100</f>
        <v>303.34414500000003</v>
      </c>
      <c r="R139">
        <f>Tabla2[[#This Row],[queso_kg]]*Tabla2[[#This Row],[queso_mg_pct]]/100</f>
        <v>160.39989</v>
      </c>
      <c r="S139">
        <f>_xlfn.ISOWEEKNUM(Tabla2[[#This Row],[fecha]])</f>
        <v>20</v>
      </c>
      <c r="T139">
        <v>20</v>
      </c>
    </row>
    <row r="140" spans="1:20" x14ac:dyDescent="0.25">
      <c r="A140" s="1">
        <v>45429</v>
      </c>
      <c r="F140">
        <v>5056</v>
      </c>
      <c r="G140">
        <v>41.83</v>
      </c>
      <c r="H140">
        <v>34.130000000000003</v>
      </c>
      <c r="J140">
        <v>594.62</v>
      </c>
      <c r="K140">
        <v>51.89</v>
      </c>
      <c r="L140">
        <v>25.62</v>
      </c>
      <c r="M140">
        <f>Tabla2[[#This Row],[entrada_litros]]*Tabla2[[#This Row],[entrada_grasa_g_l]]/1000</f>
        <v>0</v>
      </c>
      <c r="N140">
        <f>Tabla2[[#This Row],[entrada_litros]]*Tabla2[[#This Row],[entrada_prot_g_l]]/1000</f>
        <v>0</v>
      </c>
      <c r="O140">
        <f>Tabla2[[#This Row],[cuba_fab_litros]]*Tabla2[[#This Row],[cuba_fab_grasa_g_l]]/1000</f>
        <v>211.49247999999997</v>
      </c>
      <c r="P140">
        <f>Tabla2[[#This Row],[cuba_fab_litros]]*Tabla2[[#This Row],[cuba_fab_prot_g_l]]/1000</f>
        <v>172.56128000000001</v>
      </c>
      <c r="Q140">
        <f>Tabla2[[#This Row],[queso_kg]]*Tabla2[[#This Row],[queso_est_pct]]/100</f>
        <v>308.54831799999999</v>
      </c>
      <c r="R140">
        <f>Tabla2[[#This Row],[queso_kg]]*Tabla2[[#This Row],[queso_mg_pct]]/100</f>
        <v>152.341644</v>
      </c>
      <c r="S140">
        <f>_xlfn.ISOWEEKNUM(Tabla2[[#This Row],[fecha]])</f>
        <v>20</v>
      </c>
      <c r="T140">
        <v>20</v>
      </c>
    </row>
    <row r="141" spans="1:20" x14ac:dyDescent="0.25">
      <c r="A141" s="1">
        <v>45430</v>
      </c>
      <c r="M141">
        <f>Tabla2[[#This Row],[entrada_litros]]*Tabla2[[#This Row],[entrada_grasa_g_l]]/1000</f>
        <v>0</v>
      </c>
      <c r="N141">
        <f>Tabla2[[#This Row],[entrada_litros]]*Tabla2[[#This Row],[entrada_prot_g_l]]/1000</f>
        <v>0</v>
      </c>
      <c r="O141">
        <f>Tabla2[[#This Row],[cuba_fab_litros]]*Tabla2[[#This Row],[cuba_fab_grasa_g_l]]/1000</f>
        <v>0</v>
      </c>
      <c r="P141">
        <f>Tabla2[[#This Row],[cuba_fab_litros]]*Tabla2[[#This Row],[cuba_fab_prot_g_l]]/1000</f>
        <v>0</v>
      </c>
      <c r="Q141">
        <f>Tabla2[[#This Row],[queso_kg]]*Tabla2[[#This Row],[queso_est_pct]]/100</f>
        <v>0</v>
      </c>
      <c r="R141">
        <f>Tabla2[[#This Row],[queso_kg]]*Tabla2[[#This Row],[queso_mg_pct]]/100</f>
        <v>0</v>
      </c>
      <c r="S141">
        <f>_xlfn.ISOWEEKNUM(Tabla2[[#This Row],[fecha]])</f>
        <v>20</v>
      </c>
      <c r="T141">
        <v>20</v>
      </c>
    </row>
    <row r="142" spans="1:20" x14ac:dyDescent="0.25">
      <c r="A142" s="1">
        <v>45431</v>
      </c>
      <c r="B142">
        <v>5527</v>
      </c>
      <c r="C142">
        <v>5366</v>
      </c>
      <c r="D142">
        <v>40.840000000000003</v>
      </c>
      <c r="E142">
        <v>35.83</v>
      </c>
      <c r="I142">
        <v>5366</v>
      </c>
      <c r="M142">
        <f>Tabla2[[#This Row],[entrada_litros]]*Tabla2[[#This Row],[entrada_grasa_g_l]]/1000</f>
        <v>219.14744000000002</v>
      </c>
      <c r="N142">
        <f>Tabla2[[#This Row],[entrada_litros]]*Tabla2[[#This Row],[entrada_prot_g_l]]/1000</f>
        <v>192.26378</v>
      </c>
      <c r="O142">
        <f>Tabla2[[#This Row],[cuba_fab_litros]]*Tabla2[[#This Row],[cuba_fab_grasa_g_l]]/1000</f>
        <v>0</v>
      </c>
      <c r="P142">
        <f>Tabla2[[#This Row],[cuba_fab_litros]]*Tabla2[[#This Row],[cuba_fab_prot_g_l]]/1000</f>
        <v>0</v>
      </c>
      <c r="Q142">
        <f>Tabla2[[#This Row],[queso_kg]]*Tabla2[[#This Row],[queso_est_pct]]/100</f>
        <v>0</v>
      </c>
      <c r="R142">
        <f>Tabla2[[#This Row],[queso_kg]]*Tabla2[[#This Row],[queso_mg_pct]]/100</f>
        <v>0</v>
      </c>
      <c r="S142">
        <f>_xlfn.ISOWEEKNUM(Tabla2[[#This Row],[fecha]])</f>
        <v>20</v>
      </c>
      <c r="T142">
        <v>21</v>
      </c>
    </row>
    <row r="143" spans="1:20" x14ac:dyDescent="0.25">
      <c r="A143" s="1">
        <v>45432</v>
      </c>
      <c r="B143">
        <v>4930</v>
      </c>
      <c r="C143">
        <v>4786</v>
      </c>
      <c r="D143">
        <v>42.04</v>
      </c>
      <c r="E143">
        <v>34.71</v>
      </c>
      <c r="F143">
        <v>5026</v>
      </c>
      <c r="G143">
        <v>39.68</v>
      </c>
      <c r="H143">
        <v>33.79</v>
      </c>
      <c r="I143">
        <v>5152</v>
      </c>
      <c r="J143">
        <v>581.75</v>
      </c>
      <c r="K143">
        <v>52.7</v>
      </c>
      <c r="L143">
        <v>27.89</v>
      </c>
      <c r="M143">
        <f>Tabla2[[#This Row],[entrada_litros]]*Tabla2[[#This Row],[entrada_grasa_g_l]]/1000</f>
        <v>201.20344</v>
      </c>
      <c r="N143">
        <f>Tabla2[[#This Row],[entrada_litros]]*Tabla2[[#This Row],[entrada_prot_g_l]]/1000</f>
        <v>166.12206</v>
      </c>
      <c r="O143">
        <f>Tabla2[[#This Row],[cuba_fab_litros]]*Tabla2[[#This Row],[cuba_fab_grasa_g_l]]/1000</f>
        <v>199.43168</v>
      </c>
      <c r="P143">
        <f>Tabla2[[#This Row],[cuba_fab_litros]]*Tabla2[[#This Row],[cuba_fab_prot_g_l]]/1000</f>
        <v>169.82854</v>
      </c>
      <c r="Q143">
        <f>Tabla2[[#This Row],[queso_kg]]*Tabla2[[#This Row],[queso_est_pct]]/100</f>
        <v>306.58225000000004</v>
      </c>
      <c r="R143">
        <f>Tabla2[[#This Row],[queso_kg]]*Tabla2[[#This Row],[queso_mg_pct]]/100</f>
        <v>162.25007500000001</v>
      </c>
      <c r="S143">
        <f>_xlfn.ISOWEEKNUM(Tabla2[[#This Row],[fecha]])</f>
        <v>21</v>
      </c>
      <c r="T143">
        <v>21</v>
      </c>
    </row>
    <row r="144" spans="1:20" x14ac:dyDescent="0.25">
      <c r="A144" s="1">
        <v>45433</v>
      </c>
      <c r="B144">
        <v>4466</v>
      </c>
      <c r="C144">
        <v>4336</v>
      </c>
      <c r="D144">
        <v>40.840000000000003</v>
      </c>
      <c r="E144">
        <v>35.92</v>
      </c>
      <c r="F144">
        <v>5017</v>
      </c>
      <c r="G144">
        <v>39.11</v>
      </c>
      <c r="H144">
        <v>34.07</v>
      </c>
      <c r="I144">
        <v>4488</v>
      </c>
      <c r="J144">
        <v>603.97</v>
      </c>
      <c r="K144">
        <v>51.71</v>
      </c>
      <c r="L144">
        <v>25.61</v>
      </c>
      <c r="M144">
        <f>Tabla2[[#This Row],[entrada_litros]]*Tabla2[[#This Row],[entrada_grasa_g_l]]/1000</f>
        <v>177.08224000000001</v>
      </c>
      <c r="N144">
        <f>Tabla2[[#This Row],[entrada_litros]]*Tabla2[[#This Row],[entrada_prot_g_l]]/1000</f>
        <v>155.74912</v>
      </c>
      <c r="O144">
        <f>Tabla2[[#This Row],[cuba_fab_litros]]*Tabla2[[#This Row],[cuba_fab_grasa_g_l]]/1000</f>
        <v>196.21486999999999</v>
      </c>
      <c r="P144">
        <f>Tabla2[[#This Row],[cuba_fab_litros]]*Tabla2[[#This Row],[cuba_fab_prot_g_l]]/1000</f>
        <v>170.92919000000001</v>
      </c>
      <c r="Q144">
        <f>Tabla2[[#This Row],[queso_kg]]*Tabla2[[#This Row],[queso_est_pct]]/100</f>
        <v>312.31288699999999</v>
      </c>
      <c r="R144">
        <f>Tabla2[[#This Row],[queso_kg]]*Tabla2[[#This Row],[queso_mg_pct]]/100</f>
        <v>154.676717</v>
      </c>
      <c r="S144">
        <f>_xlfn.ISOWEEKNUM(Tabla2[[#This Row],[fecha]])</f>
        <v>21</v>
      </c>
      <c r="T144">
        <v>21</v>
      </c>
    </row>
    <row r="145" spans="1:20" x14ac:dyDescent="0.25">
      <c r="A145" s="1">
        <v>45434</v>
      </c>
      <c r="B145">
        <v>5341</v>
      </c>
      <c r="C145">
        <v>5185</v>
      </c>
      <c r="D145">
        <v>41.51</v>
      </c>
      <c r="E145">
        <v>35.9</v>
      </c>
      <c r="F145">
        <v>5028</v>
      </c>
      <c r="G145">
        <v>39.270000000000003</v>
      </c>
      <c r="H145">
        <v>34.130000000000003</v>
      </c>
      <c r="I145">
        <v>4673</v>
      </c>
      <c r="J145">
        <v>618.46</v>
      </c>
      <c r="K145">
        <v>50.35</v>
      </c>
      <c r="L145">
        <v>27.38</v>
      </c>
      <c r="M145">
        <f>Tabla2[[#This Row],[entrada_litros]]*Tabla2[[#This Row],[entrada_grasa_g_l]]/1000</f>
        <v>215.22934999999998</v>
      </c>
      <c r="N145">
        <f>Tabla2[[#This Row],[entrada_litros]]*Tabla2[[#This Row],[entrada_prot_g_l]]/1000</f>
        <v>186.14150000000001</v>
      </c>
      <c r="O145">
        <f>Tabla2[[#This Row],[cuba_fab_litros]]*Tabla2[[#This Row],[cuba_fab_grasa_g_l]]/1000</f>
        <v>197.44956000000002</v>
      </c>
      <c r="P145">
        <f>Tabla2[[#This Row],[cuba_fab_litros]]*Tabla2[[#This Row],[cuba_fab_prot_g_l]]/1000</f>
        <v>171.60564000000002</v>
      </c>
      <c r="Q145">
        <f>Tabla2[[#This Row],[queso_kg]]*Tabla2[[#This Row],[queso_est_pct]]/100</f>
        <v>311.39461000000006</v>
      </c>
      <c r="R145">
        <f>Tabla2[[#This Row],[queso_kg]]*Tabla2[[#This Row],[queso_mg_pct]]/100</f>
        <v>169.33434799999998</v>
      </c>
      <c r="S145">
        <f>_xlfn.ISOWEEKNUM(Tabla2[[#This Row],[fecha]])</f>
        <v>21</v>
      </c>
      <c r="T145">
        <v>21</v>
      </c>
    </row>
    <row r="146" spans="1:20" x14ac:dyDescent="0.25">
      <c r="A146" s="1">
        <v>45435</v>
      </c>
      <c r="B146">
        <v>4859</v>
      </c>
      <c r="C146">
        <v>4717</v>
      </c>
      <c r="D146">
        <v>42.14</v>
      </c>
      <c r="E146">
        <v>34.64</v>
      </c>
      <c r="F146">
        <v>5026</v>
      </c>
      <c r="G146">
        <v>40.11</v>
      </c>
      <c r="H146">
        <v>33.409999999999997</v>
      </c>
      <c r="I146">
        <v>4390</v>
      </c>
      <c r="J146">
        <v>602.45000000000005</v>
      </c>
      <c r="K146">
        <v>52.14</v>
      </c>
      <c r="L146">
        <v>28.09</v>
      </c>
      <c r="M146">
        <f>Tabla2[[#This Row],[entrada_litros]]*Tabla2[[#This Row],[entrada_grasa_g_l]]/1000</f>
        <v>198.77438000000001</v>
      </c>
      <c r="N146">
        <f>Tabla2[[#This Row],[entrada_litros]]*Tabla2[[#This Row],[entrada_prot_g_l]]/1000</f>
        <v>163.39688000000001</v>
      </c>
      <c r="O146">
        <f>Tabla2[[#This Row],[cuba_fab_litros]]*Tabla2[[#This Row],[cuba_fab_grasa_g_l]]/1000</f>
        <v>201.59285999999997</v>
      </c>
      <c r="P146">
        <f>Tabla2[[#This Row],[cuba_fab_litros]]*Tabla2[[#This Row],[cuba_fab_prot_g_l]]/1000</f>
        <v>167.91865999999999</v>
      </c>
      <c r="Q146">
        <f>Tabla2[[#This Row],[queso_kg]]*Tabla2[[#This Row],[queso_est_pct]]/100</f>
        <v>314.11743000000001</v>
      </c>
      <c r="R146">
        <f>Tabla2[[#This Row],[queso_kg]]*Tabla2[[#This Row],[queso_mg_pct]]/100</f>
        <v>169.228205</v>
      </c>
      <c r="S146">
        <f>_xlfn.ISOWEEKNUM(Tabla2[[#This Row],[fecha]])</f>
        <v>21</v>
      </c>
      <c r="T146">
        <v>21</v>
      </c>
    </row>
    <row r="147" spans="1:20" x14ac:dyDescent="0.25">
      <c r="A147" s="1">
        <v>45436</v>
      </c>
      <c r="F147">
        <v>4416</v>
      </c>
      <c r="G147">
        <v>39.94</v>
      </c>
      <c r="H147">
        <v>33.68</v>
      </c>
      <c r="J147">
        <v>519.42999999999995</v>
      </c>
      <c r="K147">
        <v>52.62</v>
      </c>
      <c r="L147">
        <v>27.23</v>
      </c>
      <c r="M147">
        <f>Tabla2[[#This Row],[entrada_litros]]*Tabla2[[#This Row],[entrada_grasa_g_l]]/1000</f>
        <v>0</v>
      </c>
      <c r="N147">
        <f>Tabla2[[#This Row],[entrada_litros]]*Tabla2[[#This Row],[entrada_prot_g_l]]/1000</f>
        <v>0</v>
      </c>
      <c r="O147">
        <f>Tabla2[[#This Row],[cuba_fab_litros]]*Tabla2[[#This Row],[cuba_fab_grasa_g_l]]/1000</f>
        <v>176.37503999999998</v>
      </c>
      <c r="P147">
        <f>Tabla2[[#This Row],[cuba_fab_litros]]*Tabla2[[#This Row],[cuba_fab_prot_g_l]]/1000</f>
        <v>148.73088000000001</v>
      </c>
      <c r="Q147">
        <f>Tabla2[[#This Row],[queso_kg]]*Tabla2[[#This Row],[queso_est_pct]]/100</f>
        <v>273.32406599999996</v>
      </c>
      <c r="R147">
        <f>Tabla2[[#This Row],[queso_kg]]*Tabla2[[#This Row],[queso_mg_pct]]/100</f>
        <v>141.440789</v>
      </c>
      <c r="S147">
        <f>_xlfn.ISOWEEKNUM(Tabla2[[#This Row],[fecha]])</f>
        <v>21</v>
      </c>
      <c r="T147">
        <v>21</v>
      </c>
    </row>
    <row r="148" spans="1:20" x14ac:dyDescent="0.25">
      <c r="A148" s="1">
        <v>45437</v>
      </c>
      <c r="M148">
        <f>Tabla2[[#This Row],[entrada_litros]]*Tabla2[[#This Row],[entrada_grasa_g_l]]/1000</f>
        <v>0</v>
      </c>
      <c r="N148">
        <f>Tabla2[[#This Row],[entrada_litros]]*Tabla2[[#This Row],[entrada_prot_g_l]]/1000</f>
        <v>0</v>
      </c>
      <c r="O148">
        <f>Tabla2[[#This Row],[cuba_fab_litros]]*Tabla2[[#This Row],[cuba_fab_grasa_g_l]]/1000</f>
        <v>0</v>
      </c>
      <c r="P148">
        <f>Tabla2[[#This Row],[cuba_fab_litros]]*Tabla2[[#This Row],[cuba_fab_prot_g_l]]/1000</f>
        <v>0</v>
      </c>
      <c r="Q148">
        <f>Tabla2[[#This Row],[queso_kg]]*Tabla2[[#This Row],[queso_est_pct]]/100</f>
        <v>0</v>
      </c>
      <c r="R148">
        <f>Tabla2[[#This Row],[queso_kg]]*Tabla2[[#This Row],[queso_mg_pct]]/100</f>
        <v>0</v>
      </c>
      <c r="S148">
        <f>_xlfn.ISOWEEKNUM(Tabla2[[#This Row],[fecha]])</f>
        <v>21</v>
      </c>
      <c r="T148">
        <v>21</v>
      </c>
    </row>
    <row r="149" spans="1:20" x14ac:dyDescent="0.25">
      <c r="A149" s="1">
        <v>45438</v>
      </c>
      <c r="B149">
        <v>4817</v>
      </c>
      <c r="C149">
        <v>4677</v>
      </c>
      <c r="D149">
        <v>46.09</v>
      </c>
      <c r="E149">
        <v>35.1</v>
      </c>
      <c r="I149">
        <v>4677</v>
      </c>
      <c r="M149">
        <f>Tabla2[[#This Row],[entrada_litros]]*Tabla2[[#This Row],[entrada_grasa_g_l]]/1000</f>
        <v>215.56293000000002</v>
      </c>
      <c r="N149">
        <f>Tabla2[[#This Row],[entrada_litros]]*Tabla2[[#This Row],[entrada_prot_g_l]]/1000</f>
        <v>164.1627</v>
      </c>
      <c r="O149">
        <f>Tabla2[[#This Row],[cuba_fab_litros]]*Tabla2[[#This Row],[cuba_fab_grasa_g_l]]/1000</f>
        <v>0</v>
      </c>
      <c r="P149">
        <f>Tabla2[[#This Row],[cuba_fab_litros]]*Tabla2[[#This Row],[cuba_fab_prot_g_l]]/1000</f>
        <v>0</v>
      </c>
      <c r="Q149">
        <f>Tabla2[[#This Row],[queso_kg]]*Tabla2[[#This Row],[queso_est_pct]]/100</f>
        <v>0</v>
      </c>
      <c r="R149">
        <f>Tabla2[[#This Row],[queso_kg]]*Tabla2[[#This Row],[queso_mg_pct]]/100</f>
        <v>0</v>
      </c>
      <c r="S149">
        <f>_xlfn.ISOWEEKNUM(Tabla2[[#This Row],[fecha]])</f>
        <v>21</v>
      </c>
      <c r="T149">
        <v>22</v>
      </c>
    </row>
    <row r="150" spans="1:20" x14ac:dyDescent="0.25">
      <c r="A150" s="1">
        <v>45439</v>
      </c>
      <c r="B150">
        <v>4942</v>
      </c>
      <c r="C150">
        <v>4798</v>
      </c>
      <c r="D150">
        <v>43.22</v>
      </c>
      <c r="E150">
        <v>34.9</v>
      </c>
      <c r="F150">
        <v>5021</v>
      </c>
      <c r="G150">
        <v>42.91</v>
      </c>
      <c r="H150">
        <v>33.659999999999997</v>
      </c>
      <c r="I150">
        <v>4475</v>
      </c>
      <c r="J150">
        <v>628.9</v>
      </c>
      <c r="K150">
        <v>53.73</v>
      </c>
      <c r="L150">
        <v>25.74</v>
      </c>
      <c r="M150">
        <f>Tabla2[[#This Row],[entrada_litros]]*Tabla2[[#This Row],[entrada_grasa_g_l]]/1000</f>
        <v>207.36956000000001</v>
      </c>
      <c r="N150">
        <f>Tabla2[[#This Row],[entrada_litros]]*Tabla2[[#This Row],[entrada_prot_g_l]]/1000</f>
        <v>167.4502</v>
      </c>
      <c r="O150">
        <f>Tabla2[[#This Row],[cuba_fab_litros]]*Tabla2[[#This Row],[cuba_fab_grasa_g_l]]/1000</f>
        <v>215.45111</v>
      </c>
      <c r="P150">
        <f>Tabla2[[#This Row],[cuba_fab_litros]]*Tabla2[[#This Row],[cuba_fab_prot_g_l]]/1000</f>
        <v>169.00685999999999</v>
      </c>
      <c r="Q150">
        <f>Tabla2[[#This Row],[queso_kg]]*Tabla2[[#This Row],[queso_est_pct]]/100</f>
        <v>337.90796999999998</v>
      </c>
      <c r="R150">
        <f>Tabla2[[#This Row],[queso_kg]]*Tabla2[[#This Row],[queso_mg_pct]]/100</f>
        <v>161.87885999999997</v>
      </c>
      <c r="S150">
        <f>_xlfn.ISOWEEKNUM(Tabla2[[#This Row],[fecha]])</f>
        <v>22</v>
      </c>
      <c r="T150">
        <v>22</v>
      </c>
    </row>
    <row r="151" spans="1:20" x14ac:dyDescent="0.25">
      <c r="A151" s="1">
        <v>45440</v>
      </c>
      <c r="B151">
        <v>5144</v>
      </c>
      <c r="C151">
        <v>4994</v>
      </c>
      <c r="D151">
        <v>39.68</v>
      </c>
      <c r="E151">
        <v>34.92</v>
      </c>
      <c r="F151">
        <v>5028</v>
      </c>
      <c r="G151">
        <v>39.979999999999997</v>
      </c>
      <c r="H151">
        <v>33.65</v>
      </c>
      <c r="I151">
        <v>4469</v>
      </c>
      <c r="J151">
        <v>598.9</v>
      </c>
      <c r="K151">
        <v>53.85</v>
      </c>
      <c r="L151">
        <v>27.34</v>
      </c>
      <c r="M151">
        <f>Tabla2[[#This Row],[entrada_litros]]*Tabla2[[#This Row],[entrada_grasa_g_l]]/1000</f>
        <v>198.16192000000001</v>
      </c>
      <c r="N151">
        <f>Tabla2[[#This Row],[entrada_litros]]*Tabla2[[#This Row],[entrada_prot_g_l]]/1000</f>
        <v>174.39048</v>
      </c>
      <c r="O151">
        <f>Tabla2[[#This Row],[cuba_fab_litros]]*Tabla2[[#This Row],[cuba_fab_grasa_g_l]]/1000</f>
        <v>201.01943999999997</v>
      </c>
      <c r="P151">
        <f>Tabla2[[#This Row],[cuba_fab_litros]]*Tabla2[[#This Row],[cuba_fab_prot_g_l]]/1000</f>
        <v>169.19219999999999</v>
      </c>
      <c r="Q151">
        <f>Tabla2[[#This Row],[queso_kg]]*Tabla2[[#This Row],[queso_est_pct]]/100</f>
        <v>322.50765000000001</v>
      </c>
      <c r="R151">
        <f>Tabla2[[#This Row],[queso_kg]]*Tabla2[[#This Row],[queso_mg_pct]]/100</f>
        <v>163.73926</v>
      </c>
      <c r="S151">
        <f>_xlfn.ISOWEEKNUM(Tabla2[[#This Row],[fecha]])</f>
        <v>22</v>
      </c>
      <c r="T151">
        <v>22</v>
      </c>
    </row>
    <row r="152" spans="1:20" x14ac:dyDescent="0.25">
      <c r="A152" s="1">
        <v>45441</v>
      </c>
      <c r="B152">
        <v>5434</v>
      </c>
      <c r="C152">
        <v>5276</v>
      </c>
      <c r="D152">
        <v>41.58</v>
      </c>
      <c r="E152">
        <v>35.770000000000003</v>
      </c>
      <c r="F152">
        <v>5025</v>
      </c>
      <c r="G152">
        <v>40.39</v>
      </c>
      <c r="H152">
        <v>33.96</v>
      </c>
      <c r="I152">
        <v>4745</v>
      </c>
      <c r="J152">
        <v>608.14</v>
      </c>
      <c r="K152">
        <v>52.59</v>
      </c>
      <c r="L152">
        <v>25.89</v>
      </c>
      <c r="M152">
        <f>Tabla2[[#This Row],[entrada_litros]]*Tabla2[[#This Row],[entrada_grasa_g_l]]/1000</f>
        <v>219.37607999999997</v>
      </c>
      <c r="N152">
        <f>Tabla2[[#This Row],[entrada_litros]]*Tabla2[[#This Row],[entrada_prot_g_l]]/1000</f>
        <v>188.72252000000003</v>
      </c>
      <c r="O152">
        <f>Tabla2[[#This Row],[cuba_fab_litros]]*Tabla2[[#This Row],[cuba_fab_grasa_g_l]]/1000</f>
        <v>202.95975000000001</v>
      </c>
      <c r="P152">
        <f>Tabla2[[#This Row],[cuba_fab_litros]]*Tabla2[[#This Row],[cuba_fab_prot_g_l]]/1000</f>
        <v>170.649</v>
      </c>
      <c r="Q152">
        <f>Tabla2[[#This Row],[queso_kg]]*Tabla2[[#This Row],[queso_est_pct]]/100</f>
        <v>319.82082600000001</v>
      </c>
      <c r="R152">
        <f>Tabla2[[#This Row],[queso_kg]]*Tabla2[[#This Row],[queso_mg_pct]]/100</f>
        <v>157.44744600000001</v>
      </c>
      <c r="S152">
        <f>_xlfn.ISOWEEKNUM(Tabla2[[#This Row],[fecha]])</f>
        <v>22</v>
      </c>
      <c r="T152">
        <v>22</v>
      </c>
    </row>
    <row r="153" spans="1:20" x14ac:dyDescent="0.25">
      <c r="A153" s="1">
        <v>45442</v>
      </c>
      <c r="B153">
        <v>4990</v>
      </c>
      <c r="C153">
        <v>4845</v>
      </c>
      <c r="D153">
        <v>42.32</v>
      </c>
      <c r="E153">
        <v>35.659999999999997</v>
      </c>
      <c r="F153">
        <v>5025</v>
      </c>
      <c r="G153">
        <v>40.25</v>
      </c>
      <c r="H153">
        <v>33.76</v>
      </c>
      <c r="I153">
        <v>4590</v>
      </c>
      <c r="J153">
        <v>609.29999999999995</v>
      </c>
      <c r="K153">
        <v>52.77</v>
      </c>
      <c r="L153">
        <v>27.21</v>
      </c>
      <c r="M153">
        <f>Tabla2[[#This Row],[entrada_litros]]*Tabla2[[#This Row],[entrada_grasa_g_l]]/1000</f>
        <v>205.04040000000001</v>
      </c>
      <c r="N153">
        <f>Tabla2[[#This Row],[entrada_litros]]*Tabla2[[#This Row],[entrada_prot_g_l]]/1000</f>
        <v>172.77269999999999</v>
      </c>
      <c r="O153">
        <f>Tabla2[[#This Row],[cuba_fab_litros]]*Tabla2[[#This Row],[cuba_fab_grasa_g_l]]/1000</f>
        <v>202.25624999999999</v>
      </c>
      <c r="P153">
        <f>Tabla2[[#This Row],[cuba_fab_litros]]*Tabla2[[#This Row],[cuba_fab_prot_g_l]]/1000</f>
        <v>169.64400000000001</v>
      </c>
      <c r="Q153">
        <f>Tabla2[[#This Row],[queso_kg]]*Tabla2[[#This Row],[queso_est_pct]]/100</f>
        <v>321.52760999999998</v>
      </c>
      <c r="R153">
        <f>Tabla2[[#This Row],[queso_kg]]*Tabla2[[#This Row],[queso_mg_pct]]/100</f>
        <v>165.79052999999999</v>
      </c>
      <c r="S153">
        <f>_xlfn.ISOWEEKNUM(Tabla2[[#This Row],[fecha]])</f>
        <v>22</v>
      </c>
      <c r="T153">
        <v>22</v>
      </c>
    </row>
    <row r="154" spans="1:20" x14ac:dyDescent="0.25">
      <c r="A154" s="1">
        <v>45443</v>
      </c>
      <c r="F154">
        <v>4610</v>
      </c>
      <c r="G154">
        <v>40.119999999999997</v>
      </c>
      <c r="H154">
        <v>33.950000000000003</v>
      </c>
      <c r="J154">
        <v>541.29</v>
      </c>
      <c r="K154">
        <v>52.66</v>
      </c>
      <c r="L154">
        <v>28.88</v>
      </c>
      <c r="M154">
        <f>Tabla2[[#This Row],[entrada_litros]]*Tabla2[[#This Row],[entrada_grasa_g_l]]/1000</f>
        <v>0</v>
      </c>
      <c r="N154">
        <f>Tabla2[[#This Row],[entrada_litros]]*Tabla2[[#This Row],[entrada_prot_g_l]]/1000</f>
        <v>0</v>
      </c>
      <c r="O154">
        <f>Tabla2[[#This Row],[cuba_fab_litros]]*Tabla2[[#This Row],[cuba_fab_grasa_g_l]]/1000</f>
        <v>184.95319999999998</v>
      </c>
      <c r="P154">
        <f>Tabla2[[#This Row],[cuba_fab_litros]]*Tabla2[[#This Row],[cuba_fab_prot_g_l]]/1000</f>
        <v>156.5095</v>
      </c>
      <c r="Q154">
        <f>Tabla2[[#This Row],[queso_kg]]*Tabla2[[#This Row],[queso_est_pct]]/100</f>
        <v>285.04331399999995</v>
      </c>
      <c r="R154">
        <f>Tabla2[[#This Row],[queso_kg]]*Tabla2[[#This Row],[queso_mg_pct]]/100</f>
        <v>156.32455199999998</v>
      </c>
      <c r="S154">
        <f>_xlfn.ISOWEEKNUM(Tabla2[[#This Row],[fecha]])</f>
        <v>22</v>
      </c>
      <c r="T154">
        <v>22</v>
      </c>
    </row>
    <row r="155" spans="1:20" x14ac:dyDescent="0.25">
      <c r="A155" s="1">
        <v>45444</v>
      </c>
      <c r="M155">
        <f>Tabla2[[#This Row],[entrada_litros]]*Tabla2[[#This Row],[entrada_grasa_g_l]]/1000</f>
        <v>0</v>
      </c>
      <c r="N155">
        <f>Tabla2[[#This Row],[entrada_litros]]*Tabla2[[#This Row],[entrada_prot_g_l]]/1000</f>
        <v>0</v>
      </c>
      <c r="O155">
        <f>Tabla2[[#This Row],[cuba_fab_litros]]*Tabla2[[#This Row],[cuba_fab_grasa_g_l]]/1000</f>
        <v>0</v>
      </c>
      <c r="P155">
        <f>Tabla2[[#This Row],[cuba_fab_litros]]*Tabla2[[#This Row],[cuba_fab_prot_g_l]]/1000</f>
        <v>0</v>
      </c>
      <c r="Q155">
        <f>Tabla2[[#This Row],[queso_kg]]*Tabla2[[#This Row],[queso_est_pct]]/100</f>
        <v>0</v>
      </c>
      <c r="R155">
        <f>Tabla2[[#This Row],[queso_kg]]*Tabla2[[#This Row],[queso_mg_pct]]/100</f>
        <v>0</v>
      </c>
      <c r="S155">
        <f>_xlfn.ISOWEEKNUM(Tabla2[[#This Row],[fecha]])</f>
        <v>22</v>
      </c>
      <c r="T155">
        <v>22</v>
      </c>
    </row>
    <row r="156" spans="1:20" x14ac:dyDescent="0.25">
      <c r="A156" s="1">
        <v>45445</v>
      </c>
      <c r="B156">
        <v>4970</v>
      </c>
      <c r="C156">
        <v>4825</v>
      </c>
      <c r="D156">
        <v>43</v>
      </c>
      <c r="E156">
        <v>35.89</v>
      </c>
      <c r="I156">
        <v>4825</v>
      </c>
      <c r="M156">
        <f>Tabla2[[#This Row],[entrada_litros]]*Tabla2[[#This Row],[entrada_grasa_g_l]]/1000</f>
        <v>207.47499999999999</v>
      </c>
      <c r="N156">
        <f>Tabla2[[#This Row],[entrada_litros]]*Tabla2[[#This Row],[entrada_prot_g_l]]/1000</f>
        <v>173.16925000000001</v>
      </c>
      <c r="O156">
        <f>Tabla2[[#This Row],[cuba_fab_litros]]*Tabla2[[#This Row],[cuba_fab_grasa_g_l]]/1000</f>
        <v>0</v>
      </c>
      <c r="P156">
        <f>Tabla2[[#This Row],[cuba_fab_litros]]*Tabla2[[#This Row],[cuba_fab_prot_g_l]]/1000</f>
        <v>0</v>
      </c>
      <c r="Q156">
        <f>Tabla2[[#This Row],[queso_kg]]*Tabla2[[#This Row],[queso_est_pct]]/100</f>
        <v>0</v>
      </c>
      <c r="R156">
        <f>Tabla2[[#This Row],[queso_kg]]*Tabla2[[#This Row],[queso_mg_pct]]/100</f>
        <v>0</v>
      </c>
      <c r="S156">
        <f>_xlfn.ISOWEEKNUM(Tabla2[[#This Row],[fecha]])</f>
        <v>22</v>
      </c>
      <c r="T156">
        <v>23</v>
      </c>
    </row>
    <row r="157" spans="1:20" x14ac:dyDescent="0.25">
      <c r="A157" s="1">
        <v>45446</v>
      </c>
      <c r="B157">
        <v>4926</v>
      </c>
      <c r="C157">
        <v>4783</v>
      </c>
      <c r="D157">
        <v>42.44</v>
      </c>
      <c r="E157">
        <v>35.42</v>
      </c>
      <c r="F157">
        <v>5018</v>
      </c>
      <c r="G157">
        <v>40.89</v>
      </c>
      <c r="H157">
        <v>34.11</v>
      </c>
      <c r="I157">
        <v>4608</v>
      </c>
      <c r="J157">
        <v>580.99</v>
      </c>
      <c r="K157">
        <v>51.39</v>
      </c>
      <c r="L157">
        <v>27.2</v>
      </c>
      <c r="M157">
        <f>Tabla2[[#This Row],[entrada_litros]]*Tabla2[[#This Row],[entrada_grasa_g_l]]/1000</f>
        <v>202.99052</v>
      </c>
      <c r="N157">
        <f>Tabla2[[#This Row],[entrada_litros]]*Tabla2[[#This Row],[entrada_prot_g_l]]/1000</f>
        <v>169.41386000000003</v>
      </c>
      <c r="O157">
        <f>Tabla2[[#This Row],[cuba_fab_litros]]*Tabla2[[#This Row],[cuba_fab_grasa_g_l]]/1000</f>
        <v>205.18601999999998</v>
      </c>
      <c r="P157">
        <f>Tabla2[[#This Row],[cuba_fab_litros]]*Tabla2[[#This Row],[cuba_fab_prot_g_l]]/1000</f>
        <v>171.16398000000001</v>
      </c>
      <c r="Q157">
        <f>Tabla2[[#This Row],[queso_kg]]*Tabla2[[#This Row],[queso_est_pct]]/100</f>
        <v>298.570761</v>
      </c>
      <c r="R157">
        <f>Tabla2[[#This Row],[queso_kg]]*Tabla2[[#This Row],[queso_mg_pct]]/100</f>
        <v>158.02928</v>
      </c>
      <c r="S157">
        <f>_xlfn.ISOWEEKNUM(Tabla2[[#This Row],[fecha]])</f>
        <v>23</v>
      </c>
      <c r="T157">
        <v>23</v>
      </c>
    </row>
    <row r="158" spans="1:20" x14ac:dyDescent="0.25">
      <c r="A158" s="1">
        <v>45447</v>
      </c>
      <c r="B158">
        <v>4909</v>
      </c>
      <c r="C158">
        <v>4766</v>
      </c>
      <c r="D158">
        <v>41.11</v>
      </c>
      <c r="E158">
        <v>35.979999999999997</v>
      </c>
      <c r="F158">
        <v>5026</v>
      </c>
      <c r="G158">
        <v>39.99</v>
      </c>
      <c r="H158">
        <v>34.33</v>
      </c>
      <c r="I158">
        <v>4374</v>
      </c>
      <c r="J158">
        <v>606.69000000000005</v>
      </c>
      <c r="K158">
        <v>52.51</v>
      </c>
      <c r="L158">
        <v>27.26</v>
      </c>
      <c r="M158">
        <f>Tabla2[[#This Row],[entrada_litros]]*Tabla2[[#This Row],[entrada_grasa_g_l]]/1000</f>
        <v>195.93026</v>
      </c>
      <c r="N158">
        <f>Tabla2[[#This Row],[entrada_litros]]*Tabla2[[#This Row],[entrada_prot_g_l]]/1000</f>
        <v>171.48068000000001</v>
      </c>
      <c r="O158">
        <f>Tabla2[[#This Row],[cuba_fab_litros]]*Tabla2[[#This Row],[cuba_fab_grasa_g_l]]/1000</f>
        <v>200.98974000000001</v>
      </c>
      <c r="P158">
        <f>Tabla2[[#This Row],[cuba_fab_litros]]*Tabla2[[#This Row],[cuba_fab_prot_g_l]]/1000</f>
        <v>172.54257999999999</v>
      </c>
      <c r="Q158">
        <f>Tabla2[[#This Row],[queso_kg]]*Tabla2[[#This Row],[queso_est_pct]]/100</f>
        <v>318.57291900000001</v>
      </c>
      <c r="R158">
        <f>Tabla2[[#This Row],[queso_kg]]*Tabla2[[#This Row],[queso_mg_pct]]/100</f>
        <v>165.38369400000002</v>
      </c>
      <c r="S158">
        <f>_xlfn.ISOWEEKNUM(Tabla2[[#This Row],[fecha]])</f>
        <v>23</v>
      </c>
      <c r="T158">
        <v>23</v>
      </c>
    </row>
    <row r="159" spans="1:20" x14ac:dyDescent="0.25">
      <c r="A159" s="1">
        <v>45448</v>
      </c>
      <c r="B159">
        <v>5279</v>
      </c>
      <c r="C159">
        <v>5125</v>
      </c>
      <c r="D159">
        <v>44.54</v>
      </c>
      <c r="E159">
        <v>35.47</v>
      </c>
      <c r="F159">
        <v>5023</v>
      </c>
      <c r="G159">
        <v>41.6</v>
      </c>
      <c r="H159">
        <v>33.94</v>
      </c>
      <c r="I159">
        <v>4499</v>
      </c>
      <c r="J159">
        <v>619.67999999999995</v>
      </c>
      <c r="K159">
        <v>51.22</v>
      </c>
      <c r="L159">
        <v>26.45</v>
      </c>
      <c r="M159">
        <f>Tabla2[[#This Row],[entrada_litros]]*Tabla2[[#This Row],[entrada_grasa_g_l]]/1000</f>
        <v>228.26750000000001</v>
      </c>
      <c r="N159">
        <f>Tabla2[[#This Row],[entrada_litros]]*Tabla2[[#This Row],[entrada_prot_g_l]]/1000</f>
        <v>181.78375</v>
      </c>
      <c r="O159">
        <f>Tabla2[[#This Row],[cuba_fab_litros]]*Tabla2[[#This Row],[cuba_fab_grasa_g_l]]/1000</f>
        <v>208.95680000000002</v>
      </c>
      <c r="P159">
        <f>Tabla2[[#This Row],[cuba_fab_litros]]*Tabla2[[#This Row],[cuba_fab_prot_g_l]]/1000</f>
        <v>170.48061999999999</v>
      </c>
      <c r="Q159">
        <f>Tabla2[[#This Row],[queso_kg]]*Tabla2[[#This Row],[queso_est_pct]]/100</f>
        <v>317.40009599999996</v>
      </c>
      <c r="R159">
        <f>Tabla2[[#This Row],[queso_kg]]*Tabla2[[#This Row],[queso_mg_pct]]/100</f>
        <v>163.90535999999997</v>
      </c>
      <c r="S159">
        <f>_xlfn.ISOWEEKNUM(Tabla2[[#This Row],[fecha]])</f>
        <v>23</v>
      </c>
      <c r="T159">
        <v>23</v>
      </c>
    </row>
    <row r="160" spans="1:20" x14ac:dyDescent="0.25">
      <c r="A160" s="1">
        <v>45449</v>
      </c>
      <c r="B160">
        <v>4999</v>
      </c>
      <c r="C160">
        <v>4853</v>
      </c>
      <c r="D160">
        <v>43.18</v>
      </c>
      <c r="E160">
        <v>37.85</v>
      </c>
      <c r="F160">
        <v>5025</v>
      </c>
      <c r="G160">
        <v>41.45</v>
      </c>
      <c r="H160">
        <v>34.92</v>
      </c>
      <c r="I160">
        <v>4352</v>
      </c>
      <c r="J160">
        <v>605.67999999999995</v>
      </c>
      <c r="K160">
        <v>51.8</v>
      </c>
      <c r="L160">
        <v>25.58</v>
      </c>
      <c r="M160">
        <f>Tabla2[[#This Row],[entrada_litros]]*Tabla2[[#This Row],[entrada_grasa_g_l]]/1000</f>
        <v>209.55254000000002</v>
      </c>
      <c r="N160">
        <f>Tabla2[[#This Row],[entrada_litros]]*Tabla2[[#This Row],[entrada_prot_g_l]]/1000</f>
        <v>183.68605000000002</v>
      </c>
      <c r="O160">
        <f>Tabla2[[#This Row],[cuba_fab_litros]]*Tabla2[[#This Row],[cuba_fab_grasa_g_l]]/1000</f>
        <v>208.28625</v>
      </c>
      <c r="P160">
        <f>Tabla2[[#This Row],[cuba_fab_litros]]*Tabla2[[#This Row],[cuba_fab_prot_g_l]]/1000</f>
        <v>175.47300000000001</v>
      </c>
      <c r="Q160">
        <f>Tabla2[[#This Row],[queso_kg]]*Tabla2[[#This Row],[queso_est_pct]]/100</f>
        <v>313.74223999999992</v>
      </c>
      <c r="R160">
        <f>Tabla2[[#This Row],[queso_kg]]*Tabla2[[#This Row],[queso_mg_pct]]/100</f>
        <v>154.93294399999996</v>
      </c>
      <c r="S160">
        <f>_xlfn.ISOWEEKNUM(Tabla2[[#This Row],[fecha]])</f>
        <v>23</v>
      </c>
      <c r="T160">
        <v>23</v>
      </c>
    </row>
    <row r="161" spans="1:20" x14ac:dyDescent="0.25">
      <c r="A161" s="1">
        <v>45450</v>
      </c>
      <c r="F161">
        <v>4371</v>
      </c>
      <c r="G161">
        <v>41.22</v>
      </c>
      <c r="H161">
        <v>35.4</v>
      </c>
      <c r="J161">
        <v>495.2</v>
      </c>
      <c r="K161">
        <v>53.73</v>
      </c>
      <c r="L161">
        <v>27.92</v>
      </c>
      <c r="M161">
        <f>Tabla2[[#This Row],[entrada_litros]]*Tabla2[[#This Row],[entrada_grasa_g_l]]/1000</f>
        <v>0</v>
      </c>
      <c r="N161">
        <f>Tabla2[[#This Row],[entrada_litros]]*Tabla2[[#This Row],[entrada_prot_g_l]]/1000</f>
        <v>0</v>
      </c>
      <c r="O161">
        <f>Tabla2[[#This Row],[cuba_fab_litros]]*Tabla2[[#This Row],[cuba_fab_grasa_g_l]]/1000</f>
        <v>180.17261999999999</v>
      </c>
      <c r="P161">
        <f>Tabla2[[#This Row],[cuba_fab_litros]]*Tabla2[[#This Row],[cuba_fab_prot_g_l]]/1000</f>
        <v>154.73339999999999</v>
      </c>
      <c r="Q161">
        <f>Tabla2[[#This Row],[queso_kg]]*Tabla2[[#This Row],[queso_est_pct]]/100</f>
        <v>266.07095999999996</v>
      </c>
      <c r="R161">
        <f>Tabla2[[#This Row],[queso_kg]]*Tabla2[[#This Row],[queso_mg_pct]]/100</f>
        <v>138.25984</v>
      </c>
      <c r="S161">
        <f>_xlfn.ISOWEEKNUM(Tabla2[[#This Row],[fecha]])</f>
        <v>23</v>
      </c>
      <c r="T161">
        <v>23</v>
      </c>
    </row>
    <row r="162" spans="1:20" x14ac:dyDescent="0.25">
      <c r="A162" s="1">
        <v>45451</v>
      </c>
      <c r="M162">
        <f>Tabla2[[#This Row],[entrada_litros]]*Tabla2[[#This Row],[entrada_grasa_g_l]]/1000</f>
        <v>0</v>
      </c>
      <c r="N162">
        <f>Tabla2[[#This Row],[entrada_litros]]*Tabla2[[#This Row],[entrada_prot_g_l]]/1000</f>
        <v>0</v>
      </c>
      <c r="O162">
        <f>Tabla2[[#This Row],[cuba_fab_litros]]*Tabla2[[#This Row],[cuba_fab_grasa_g_l]]/1000</f>
        <v>0</v>
      </c>
      <c r="P162">
        <f>Tabla2[[#This Row],[cuba_fab_litros]]*Tabla2[[#This Row],[cuba_fab_prot_g_l]]/1000</f>
        <v>0</v>
      </c>
      <c r="Q162">
        <f>Tabla2[[#This Row],[queso_kg]]*Tabla2[[#This Row],[queso_est_pct]]/100</f>
        <v>0</v>
      </c>
      <c r="R162">
        <f>Tabla2[[#This Row],[queso_kg]]*Tabla2[[#This Row],[queso_mg_pct]]/100</f>
        <v>0</v>
      </c>
      <c r="S162">
        <f>_xlfn.ISOWEEKNUM(Tabla2[[#This Row],[fecha]])</f>
        <v>23</v>
      </c>
      <c r="T162">
        <v>23</v>
      </c>
    </row>
    <row r="163" spans="1:20" x14ac:dyDescent="0.25">
      <c r="A163" s="1">
        <v>45452</v>
      </c>
      <c r="B163">
        <v>5561</v>
      </c>
      <c r="C163">
        <v>5399</v>
      </c>
      <c r="D163">
        <v>41.57</v>
      </c>
      <c r="E163">
        <v>36.24</v>
      </c>
      <c r="I163">
        <v>5399</v>
      </c>
      <c r="M163">
        <f>Tabla2[[#This Row],[entrada_litros]]*Tabla2[[#This Row],[entrada_grasa_g_l]]/1000</f>
        <v>224.43643</v>
      </c>
      <c r="N163">
        <f>Tabla2[[#This Row],[entrada_litros]]*Tabla2[[#This Row],[entrada_prot_g_l]]/1000</f>
        <v>195.65976000000001</v>
      </c>
      <c r="O163">
        <f>Tabla2[[#This Row],[cuba_fab_litros]]*Tabla2[[#This Row],[cuba_fab_grasa_g_l]]/1000</f>
        <v>0</v>
      </c>
      <c r="P163">
        <f>Tabla2[[#This Row],[cuba_fab_litros]]*Tabla2[[#This Row],[cuba_fab_prot_g_l]]/1000</f>
        <v>0</v>
      </c>
      <c r="Q163">
        <f>Tabla2[[#This Row],[queso_kg]]*Tabla2[[#This Row],[queso_est_pct]]/100</f>
        <v>0</v>
      </c>
      <c r="R163">
        <f>Tabla2[[#This Row],[queso_kg]]*Tabla2[[#This Row],[queso_mg_pct]]/100</f>
        <v>0</v>
      </c>
      <c r="S163">
        <f>_xlfn.ISOWEEKNUM(Tabla2[[#This Row],[fecha]])</f>
        <v>23</v>
      </c>
      <c r="T163">
        <v>24</v>
      </c>
    </row>
    <row r="164" spans="1:20" x14ac:dyDescent="0.25">
      <c r="A164" s="1">
        <v>45453</v>
      </c>
      <c r="B164">
        <v>5337</v>
      </c>
      <c r="C164">
        <v>5182</v>
      </c>
      <c r="D164">
        <v>43.99</v>
      </c>
      <c r="E164">
        <v>36.57</v>
      </c>
      <c r="F164">
        <v>5026</v>
      </c>
      <c r="G164">
        <v>40.840000000000003</v>
      </c>
      <c r="H164">
        <v>34.89</v>
      </c>
      <c r="I164">
        <v>5581</v>
      </c>
      <c r="J164">
        <v>578.75</v>
      </c>
      <c r="K164">
        <v>53.21</v>
      </c>
      <c r="L164">
        <v>26.82</v>
      </c>
      <c r="M164">
        <f>Tabla2[[#This Row],[entrada_litros]]*Tabla2[[#This Row],[entrada_grasa_g_l]]/1000</f>
        <v>227.95618000000002</v>
      </c>
      <c r="N164">
        <f>Tabla2[[#This Row],[entrada_litros]]*Tabla2[[#This Row],[entrada_prot_g_l]]/1000</f>
        <v>189.50574</v>
      </c>
      <c r="O164">
        <f>Tabla2[[#This Row],[cuba_fab_litros]]*Tabla2[[#This Row],[cuba_fab_grasa_g_l]]/1000</f>
        <v>205.26184000000003</v>
      </c>
      <c r="P164">
        <f>Tabla2[[#This Row],[cuba_fab_litros]]*Tabla2[[#This Row],[cuba_fab_prot_g_l]]/1000</f>
        <v>175.35714000000002</v>
      </c>
      <c r="Q164">
        <f>Tabla2[[#This Row],[queso_kg]]*Tabla2[[#This Row],[queso_est_pct]]/100</f>
        <v>307.95287500000001</v>
      </c>
      <c r="R164">
        <f>Tabla2[[#This Row],[queso_kg]]*Tabla2[[#This Row],[queso_mg_pct]]/100</f>
        <v>155.22075000000001</v>
      </c>
      <c r="S164">
        <f>_xlfn.ISOWEEKNUM(Tabla2[[#This Row],[fecha]])</f>
        <v>24</v>
      </c>
      <c r="T164">
        <v>24</v>
      </c>
    </row>
    <row r="165" spans="1:20" x14ac:dyDescent="0.25">
      <c r="A165" s="1">
        <v>45454</v>
      </c>
      <c r="B165">
        <v>5108</v>
      </c>
      <c r="C165">
        <v>4959</v>
      </c>
      <c r="D165">
        <v>42.16</v>
      </c>
      <c r="E165">
        <v>34.18</v>
      </c>
      <c r="F165">
        <v>5030</v>
      </c>
      <c r="G165">
        <v>40.54</v>
      </c>
      <c r="H165">
        <v>33.630000000000003</v>
      </c>
      <c r="I165">
        <v>5540</v>
      </c>
      <c r="J165">
        <v>605.02</v>
      </c>
      <c r="K165">
        <v>53.13</v>
      </c>
      <c r="L165">
        <v>26.97</v>
      </c>
      <c r="M165">
        <f>Tabla2[[#This Row],[entrada_litros]]*Tabla2[[#This Row],[entrada_grasa_g_l]]/1000</f>
        <v>209.07143999999997</v>
      </c>
      <c r="N165">
        <f>Tabla2[[#This Row],[entrada_litros]]*Tabla2[[#This Row],[entrada_prot_g_l]]/1000</f>
        <v>169.49861999999999</v>
      </c>
      <c r="O165">
        <f>Tabla2[[#This Row],[cuba_fab_litros]]*Tabla2[[#This Row],[cuba_fab_grasa_g_l]]/1000</f>
        <v>203.91619999999998</v>
      </c>
      <c r="P165">
        <f>Tabla2[[#This Row],[cuba_fab_litros]]*Tabla2[[#This Row],[cuba_fab_prot_g_l]]/1000</f>
        <v>169.15890000000002</v>
      </c>
      <c r="Q165">
        <f>Tabla2[[#This Row],[queso_kg]]*Tabla2[[#This Row],[queso_est_pct]]/100</f>
        <v>321.44712599999997</v>
      </c>
      <c r="R165">
        <f>Tabla2[[#This Row],[queso_kg]]*Tabla2[[#This Row],[queso_mg_pct]]/100</f>
        <v>163.17389399999999</v>
      </c>
      <c r="S165">
        <f>_xlfn.ISOWEEKNUM(Tabla2[[#This Row],[fecha]])</f>
        <v>24</v>
      </c>
      <c r="T165">
        <v>24</v>
      </c>
    </row>
    <row r="166" spans="1:20" x14ac:dyDescent="0.25">
      <c r="A166" s="1">
        <v>45455</v>
      </c>
      <c r="B166">
        <v>5488</v>
      </c>
      <c r="C166">
        <v>5328</v>
      </c>
      <c r="D166">
        <v>42.97</v>
      </c>
      <c r="E166">
        <v>33.96</v>
      </c>
      <c r="F166">
        <v>5027</v>
      </c>
      <c r="G166">
        <v>40.81</v>
      </c>
      <c r="H166">
        <v>32.76</v>
      </c>
      <c r="I166">
        <v>5868</v>
      </c>
      <c r="J166">
        <v>584.17999999999995</v>
      </c>
      <c r="K166">
        <v>52.87</v>
      </c>
      <c r="L166">
        <v>27.28</v>
      </c>
      <c r="M166">
        <f>Tabla2[[#This Row],[entrada_litros]]*Tabla2[[#This Row],[entrada_grasa_g_l]]/1000</f>
        <v>228.94416000000001</v>
      </c>
      <c r="N166">
        <f>Tabla2[[#This Row],[entrada_litros]]*Tabla2[[#This Row],[entrada_prot_g_l]]/1000</f>
        <v>180.93888000000001</v>
      </c>
      <c r="O166">
        <f>Tabla2[[#This Row],[cuba_fab_litros]]*Tabla2[[#This Row],[cuba_fab_grasa_g_l]]/1000</f>
        <v>205.15187000000003</v>
      </c>
      <c r="P166">
        <f>Tabla2[[#This Row],[cuba_fab_litros]]*Tabla2[[#This Row],[cuba_fab_prot_g_l]]/1000</f>
        <v>164.68451999999999</v>
      </c>
      <c r="Q166">
        <f>Tabla2[[#This Row],[queso_kg]]*Tabla2[[#This Row],[queso_est_pct]]/100</f>
        <v>308.85596599999997</v>
      </c>
      <c r="R166">
        <f>Tabla2[[#This Row],[queso_kg]]*Tabla2[[#This Row],[queso_mg_pct]]/100</f>
        <v>159.364304</v>
      </c>
      <c r="S166">
        <f>_xlfn.ISOWEEKNUM(Tabla2[[#This Row],[fecha]])</f>
        <v>24</v>
      </c>
      <c r="T166">
        <v>24</v>
      </c>
    </row>
    <row r="167" spans="1:20" x14ac:dyDescent="0.25">
      <c r="A167" s="1">
        <v>45456</v>
      </c>
      <c r="B167">
        <v>5013</v>
      </c>
      <c r="C167">
        <v>4867</v>
      </c>
      <c r="D167">
        <v>41.94</v>
      </c>
      <c r="E167">
        <v>34.36</v>
      </c>
      <c r="F167">
        <v>5021</v>
      </c>
      <c r="G167">
        <v>40.32</v>
      </c>
      <c r="H167">
        <v>33.020000000000003</v>
      </c>
      <c r="I167">
        <v>5735</v>
      </c>
      <c r="J167">
        <v>614.59</v>
      </c>
      <c r="K167">
        <v>55.15</v>
      </c>
      <c r="L167">
        <v>27.61</v>
      </c>
      <c r="M167">
        <f>Tabla2[[#This Row],[entrada_litros]]*Tabla2[[#This Row],[entrada_grasa_g_l]]/1000</f>
        <v>204.12197999999998</v>
      </c>
      <c r="N167">
        <f>Tabla2[[#This Row],[entrada_litros]]*Tabla2[[#This Row],[entrada_prot_g_l]]/1000</f>
        <v>167.23012</v>
      </c>
      <c r="O167">
        <f>Tabla2[[#This Row],[cuba_fab_litros]]*Tabla2[[#This Row],[cuba_fab_grasa_g_l]]/1000</f>
        <v>202.44672</v>
      </c>
      <c r="P167">
        <f>Tabla2[[#This Row],[cuba_fab_litros]]*Tabla2[[#This Row],[cuba_fab_prot_g_l]]/1000</f>
        <v>165.79342000000003</v>
      </c>
      <c r="Q167">
        <f>Tabla2[[#This Row],[queso_kg]]*Tabla2[[#This Row],[queso_est_pct]]/100</f>
        <v>338.94638500000002</v>
      </c>
      <c r="R167">
        <f>Tabla2[[#This Row],[queso_kg]]*Tabla2[[#This Row],[queso_mg_pct]]/100</f>
        <v>169.688299</v>
      </c>
      <c r="S167">
        <f>_xlfn.ISOWEEKNUM(Tabla2[[#This Row],[fecha]])</f>
        <v>24</v>
      </c>
      <c r="T167">
        <v>24</v>
      </c>
    </row>
    <row r="168" spans="1:20" x14ac:dyDescent="0.25">
      <c r="A168" s="1">
        <v>45457</v>
      </c>
      <c r="F168">
        <v>5761</v>
      </c>
      <c r="G168">
        <v>39.82</v>
      </c>
      <c r="H168">
        <v>33.07</v>
      </c>
      <c r="J168">
        <v>671.47</v>
      </c>
      <c r="K168">
        <v>51.93</v>
      </c>
      <c r="L168">
        <v>27.03</v>
      </c>
      <c r="M168">
        <f>Tabla2[[#This Row],[entrada_litros]]*Tabla2[[#This Row],[entrada_grasa_g_l]]/1000</f>
        <v>0</v>
      </c>
      <c r="N168">
        <f>Tabla2[[#This Row],[entrada_litros]]*Tabla2[[#This Row],[entrada_prot_g_l]]/1000</f>
        <v>0</v>
      </c>
      <c r="O168">
        <f>Tabla2[[#This Row],[cuba_fab_litros]]*Tabla2[[#This Row],[cuba_fab_grasa_g_l]]/1000</f>
        <v>229.40302</v>
      </c>
      <c r="P168">
        <f>Tabla2[[#This Row],[cuba_fab_litros]]*Tabla2[[#This Row],[cuba_fab_prot_g_l]]/1000</f>
        <v>190.51626999999999</v>
      </c>
      <c r="Q168">
        <f>Tabla2[[#This Row],[queso_kg]]*Tabla2[[#This Row],[queso_est_pct]]/100</f>
        <v>348.69437100000005</v>
      </c>
      <c r="R168">
        <f>Tabla2[[#This Row],[queso_kg]]*Tabla2[[#This Row],[queso_mg_pct]]/100</f>
        <v>181.49834100000001</v>
      </c>
      <c r="S168">
        <f>_xlfn.ISOWEEKNUM(Tabla2[[#This Row],[fecha]])</f>
        <v>24</v>
      </c>
      <c r="T168">
        <v>24</v>
      </c>
    </row>
    <row r="169" spans="1:20" x14ac:dyDescent="0.25">
      <c r="A169" s="1">
        <v>45458</v>
      </c>
      <c r="M169">
        <f>Tabla2[[#This Row],[entrada_litros]]*Tabla2[[#This Row],[entrada_grasa_g_l]]/1000</f>
        <v>0</v>
      </c>
      <c r="N169">
        <f>Tabla2[[#This Row],[entrada_litros]]*Tabla2[[#This Row],[entrada_prot_g_l]]/1000</f>
        <v>0</v>
      </c>
      <c r="O169">
        <f>Tabla2[[#This Row],[cuba_fab_litros]]*Tabla2[[#This Row],[cuba_fab_grasa_g_l]]/1000</f>
        <v>0</v>
      </c>
      <c r="P169">
        <f>Tabla2[[#This Row],[cuba_fab_litros]]*Tabla2[[#This Row],[cuba_fab_prot_g_l]]/1000</f>
        <v>0</v>
      </c>
      <c r="Q169">
        <f>Tabla2[[#This Row],[queso_kg]]*Tabla2[[#This Row],[queso_est_pct]]/100</f>
        <v>0</v>
      </c>
      <c r="R169">
        <f>Tabla2[[#This Row],[queso_kg]]*Tabla2[[#This Row],[queso_mg_pct]]/100</f>
        <v>0</v>
      </c>
      <c r="S169">
        <f>_xlfn.ISOWEEKNUM(Tabla2[[#This Row],[fecha]])</f>
        <v>24</v>
      </c>
      <c r="T169">
        <v>24</v>
      </c>
    </row>
    <row r="170" spans="1:20" x14ac:dyDescent="0.25">
      <c r="A170" s="1">
        <v>45459</v>
      </c>
      <c r="B170">
        <v>5224</v>
      </c>
      <c r="C170">
        <v>5072</v>
      </c>
      <c r="D170">
        <v>42.4</v>
      </c>
      <c r="E170">
        <v>35.869999999999997</v>
      </c>
      <c r="I170">
        <v>5072</v>
      </c>
      <c r="M170">
        <f>Tabla2[[#This Row],[entrada_litros]]*Tabla2[[#This Row],[entrada_grasa_g_l]]/1000</f>
        <v>215.05279999999999</v>
      </c>
      <c r="N170">
        <f>Tabla2[[#This Row],[entrada_litros]]*Tabla2[[#This Row],[entrada_prot_g_l]]/1000</f>
        <v>181.93263999999999</v>
      </c>
      <c r="O170">
        <f>Tabla2[[#This Row],[cuba_fab_litros]]*Tabla2[[#This Row],[cuba_fab_grasa_g_l]]/1000</f>
        <v>0</v>
      </c>
      <c r="P170">
        <f>Tabla2[[#This Row],[cuba_fab_litros]]*Tabla2[[#This Row],[cuba_fab_prot_g_l]]/1000</f>
        <v>0</v>
      </c>
      <c r="Q170">
        <f>Tabla2[[#This Row],[queso_kg]]*Tabla2[[#This Row],[queso_est_pct]]/100</f>
        <v>0</v>
      </c>
      <c r="R170">
        <f>Tabla2[[#This Row],[queso_kg]]*Tabla2[[#This Row],[queso_mg_pct]]/100</f>
        <v>0</v>
      </c>
      <c r="S170">
        <f>_xlfn.ISOWEEKNUM(Tabla2[[#This Row],[fecha]])</f>
        <v>24</v>
      </c>
      <c r="T170">
        <v>25</v>
      </c>
    </row>
    <row r="171" spans="1:20" x14ac:dyDescent="0.25">
      <c r="A171" s="1">
        <v>45460</v>
      </c>
      <c r="B171">
        <v>5260</v>
      </c>
      <c r="C171">
        <v>5107</v>
      </c>
      <c r="D171">
        <v>44.01</v>
      </c>
      <c r="E171">
        <v>35.659999999999997</v>
      </c>
      <c r="F171">
        <v>5037</v>
      </c>
      <c r="G171">
        <v>41.02</v>
      </c>
      <c r="H171">
        <v>33.89</v>
      </c>
      <c r="I171">
        <v>5179</v>
      </c>
      <c r="J171">
        <v>615.78</v>
      </c>
      <c r="K171">
        <v>53.18</v>
      </c>
      <c r="L171">
        <v>27.25</v>
      </c>
      <c r="M171">
        <f>Tabla2[[#This Row],[entrada_litros]]*Tabla2[[#This Row],[entrada_grasa_g_l]]/1000</f>
        <v>224.75906999999998</v>
      </c>
      <c r="N171">
        <f>Tabla2[[#This Row],[entrada_litros]]*Tabla2[[#This Row],[entrada_prot_g_l]]/1000</f>
        <v>182.11562000000001</v>
      </c>
      <c r="O171">
        <f>Tabla2[[#This Row],[cuba_fab_litros]]*Tabla2[[#This Row],[cuba_fab_grasa_g_l]]/1000</f>
        <v>206.61774000000003</v>
      </c>
      <c r="P171">
        <f>Tabla2[[#This Row],[cuba_fab_litros]]*Tabla2[[#This Row],[cuba_fab_prot_g_l]]/1000</f>
        <v>170.70392999999999</v>
      </c>
      <c r="Q171">
        <f>Tabla2[[#This Row],[queso_kg]]*Tabla2[[#This Row],[queso_est_pct]]/100</f>
        <v>327.47180399999996</v>
      </c>
      <c r="R171">
        <f>Tabla2[[#This Row],[queso_kg]]*Tabla2[[#This Row],[queso_mg_pct]]/100</f>
        <v>167.80005</v>
      </c>
      <c r="S171">
        <f>_xlfn.ISOWEEKNUM(Tabla2[[#This Row],[fecha]])</f>
        <v>25</v>
      </c>
      <c r="T171">
        <v>25</v>
      </c>
    </row>
    <row r="172" spans="1:20" x14ac:dyDescent="0.25">
      <c r="A172" s="1">
        <v>45461</v>
      </c>
      <c r="B172">
        <v>5091</v>
      </c>
      <c r="C172">
        <v>4943</v>
      </c>
      <c r="D172">
        <v>41.48</v>
      </c>
      <c r="E172">
        <v>38.159999999999997</v>
      </c>
      <c r="F172">
        <v>5022</v>
      </c>
      <c r="G172">
        <v>40.43</v>
      </c>
      <c r="H172">
        <v>35.06</v>
      </c>
      <c r="I172">
        <v>5122</v>
      </c>
      <c r="J172">
        <v>594.26</v>
      </c>
      <c r="K172">
        <v>52.53</v>
      </c>
      <c r="L172">
        <v>26.67</v>
      </c>
      <c r="M172">
        <f>Tabla2[[#This Row],[entrada_litros]]*Tabla2[[#This Row],[entrada_grasa_g_l]]/1000</f>
        <v>205.03563999999997</v>
      </c>
      <c r="N172">
        <f>Tabla2[[#This Row],[entrada_litros]]*Tabla2[[#This Row],[entrada_prot_g_l]]/1000</f>
        <v>188.62487999999996</v>
      </c>
      <c r="O172">
        <f>Tabla2[[#This Row],[cuba_fab_litros]]*Tabla2[[#This Row],[cuba_fab_grasa_g_l]]/1000</f>
        <v>203.03945999999999</v>
      </c>
      <c r="P172">
        <f>Tabla2[[#This Row],[cuba_fab_litros]]*Tabla2[[#This Row],[cuba_fab_prot_g_l]]/1000</f>
        <v>176.07132000000001</v>
      </c>
      <c r="Q172">
        <f>Tabla2[[#This Row],[queso_kg]]*Tabla2[[#This Row],[queso_est_pct]]/100</f>
        <v>312.16477800000001</v>
      </c>
      <c r="R172">
        <f>Tabla2[[#This Row],[queso_kg]]*Tabla2[[#This Row],[queso_mg_pct]]/100</f>
        <v>158.48914200000002</v>
      </c>
      <c r="S172">
        <f>_xlfn.ISOWEEKNUM(Tabla2[[#This Row],[fecha]])</f>
        <v>25</v>
      </c>
      <c r="T172">
        <v>25</v>
      </c>
    </row>
    <row r="173" spans="1:20" x14ac:dyDescent="0.25">
      <c r="A173" s="1">
        <v>45462</v>
      </c>
      <c r="B173">
        <v>5508</v>
      </c>
      <c r="C173">
        <v>5348</v>
      </c>
      <c r="D173">
        <v>42.74</v>
      </c>
      <c r="E173">
        <v>37.78</v>
      </c>
      <c r="F173">
        <v>5016</v>
      </c>
      <c r="G173">
        <v>40.47</v>
      </c>
      <c r="H173">
        <v>35.729999999999997</v>
      </c>
      <c r="I173">
        <v>5470</v>
      </c>
      <c r="J173">
        <v>603.92999999999995</v>
      </c>
      <c r="K173">
        <v>51.91</v>
      </c>
      <c r="L173">
        <v>27.07</v>
      </c>
      <c r="M173">
        <f>Tabla2[[#This Row],[entrada_litros]]*Tabla2[[#This Row],[entrada_grasa_g_l]]/1000</f>
        <v>228.57352000000003</v>
      </c>
      <c r="N173">
        <f>Tabla2[[#This Row],[entrada_litros]]*Tabla2[[#This Row],[entrada_prot_g_l]]/1000</f>
        <v>202.04743999999999</v>
      </c>
      <c r="O173">
        <f>Tabla2[[#This Row],[cuba_fab_litros]]*Tabla2[[#This Row],[cuba_fab_grasa_g_l]]/1000</f>
        <v>202.99751999999998</v>
      </c>
      <c r="P173">
        <f>Tabla2[[#This Row],[cuba_fab_litros]]*Tabla2[[#This Row],[cuba_fab_prot_g_l]]/1000</f>
        <v>179.22167999999999</v>
      </c>
      <c r="Q173">
        <f>Tabla2[[#This Row],[queso_kg]]*Tabla2[[#This Row],[queso_est_pct]]/100</f>
        <v>313.50006299999995</v>
      </c>
      <c r="R173">
        <f>Tabla2[[#This Row],[queso_kg]]*Tabla2[[#This Row],[queso_mg_pct]]/100</f>
        <v>163.48385099999999</v>
      </c>
      <c r="S173">
        <f>_xlfn.ISOWEEKNUM(Tabla2[[#This Row],[fecha]])</f>
        <v>25</v>
      </c>
      <c r="T173">
        <v>25</v>
      </c>
    </row>
    <row r="174" spans="1:20" x14ac:dyDescent="0.25">
      <c r="A174" s="1">
        <v>45463</v>
      </c>
      <c r="B174">
        <v>5296</v>
      </c>
      <c r="C174">
        <v>5142</v>
      </c>
      <c r="D174">
        <v>40.729999999999997</v>
      </c>
      <c r="E174">
        <v>35.93</v>
      </c>
      <c r="F174">
        <v>5035</v>
      </c>
      <c r="G174">
        <v>39.85</v>
      </c>
      <c r="H174">
        <v>34.71</v>
      </c>
      <c r="I174">
        <v>5612</v>
      </c>
      <c r="J174">
        <v>589.08000000000004</v>
      </c>
      <c r="K174">
        <v>53.88</v>
      </c>
      <c r="L174">
        <v>27.4</v>
      </c>
      <c r="M174">
        <f>Tabla2[[#This Row],[entrada_litros]]*Tabla2[[#This Row],[entrada_grasa_g_l]]/1000</f>
        <v>209.43365999999997</v>
      </c>
      <c r="N174">
        <f>Tabla2[[#This Row],[entrada_litros]]*Tabla2[[#This Row],[entrada_prot_g_l]]/1000</f>
        <v>184.75206</v>
      </c>
      <c r="O174">
        <f>Tabla2[[#This Row],[cuba_fab_litros]]*Tabla2[[#This Row],[cuba_fab_grasa_g_l]]/1000</f>
        <v>200.64474999999999</v>
      </c>
      <c r="P174">
        <f>Tabla2[[#This Row],[cuba_fab_litros]]*Tabla2[[#This Row],[cuba_fab_prot_g_l]]/1000</f>
        <v>174.76485</v>
      </c>
      <c r="Q174">
        <f>Tabla2[[#This Row],[queso_kg]]*Tabla2[[#This Row],[queso_est_pct]]/100</f>
        <v>317.39630400000004</v>
      </c>
      <c r="R174">
        <f>Tabla2[[#This Row],[queso_kg]]*Tabla2[[#This Row],[queso_mg_pct]]/100</f>
        <v>161.40791999999999</v>
      </c>
      <c r="S174">
        <f>_xlfn.ISOWEEKNUM(Tabla2[[#This Row],[fecha]])</f>
        <v>25</v>
      </c>
      <c r="T174">
        <v>25</v>
      </c>
    </row>
    <row r="175" spans="1:20" x14ac:dyDescent="0.25">
      <c r="A175" s="1">
        <v>45464</v>
      </c>
      <c r="F175">
        <v>5644</v>
      </c>
      <c r="G175">
        <v>40.11</v>
      </c>
      <c r="H175">
        <v>34.869999999999997</v>
      </c>
      <c r="J175">
        <v>662.91</v>
      </c>
      <c r="K175">
        <v>51.82</v>
      </c>
      <c r="L175">
        <v>27.08</v>
      </c>
      <c r="M175">
        <f>Tabla2[[#This Row],[entrada_litros]]*Tabla2[[#This Row],[entrada_grasa_g_l]]/1000</f>
        <v>0</v>
      </c>
      <c r="N175">
        <f>Tabla2[[#This Row],[entrada_litros]]*Tabla2[[#This Row],[entrada_prot_g_l]]/1000</f>
        <v>0</v>
      </c>
      <c r="O175">
        <f>Tabla2[[#This Row],[cuba_fab_litros]]*Tabla2[[#This Row],[cuba_fab_grasa_g_l]]/1000</f>
        <v>226.38084000000001</v>
      </c>
      <c r="P175">
        <f>Tabla2[[#This Row],[cuba_fab_litros]]*Tabla2[[#This Row],[cuba_fab_prot_g_l]]/1000</f>
        <v>196.80627999999999</v>
      </c>
      <c r="Q175">
        <f>Tabla2[[#This Row],[queso_kg]]*Tabla2[[#This Row],[queso_est_pct]]/100</f>
        <v>343.51996200000002</v>
      </c>
      <c r="R175">
        <f>Tabla2[[#This Row],[queso_kg]]*Tabla2[[#This Row],[queso_mg_pct]]/100</f>
        <v>179.51602799999998</v>
      </c>
      <c r="S175">
        <f>_xlfn.ISOWEEKNUM(Tabla2[[#This Row],[fecha]])</f>
        <v>25</v>
      </c>
      <c r="T175">
        <v>25</v>
      </c>
    </row>
    <row r="176" spans="1:20" x14ac:dyDescent="0.25">
      <c r="A176" s="1">
        <v>45465</v>
      </c>
      <c r="M176">
        <f>Tabla2[[#This Row],[entrada_litros]]*Tabla2[[#This Row],[entrada_grasa_g_l]]/1000</f>
        <v>0</v>
      </c>
      <c r="N176">
        <f>Tabla2[[#This Row],[entrada_litros]]*Tabla2[[#This Row],[entrada_prot_g_l]]/1000</f>
        <v>0</v>
      </c>
      <c r="O176">
        <f>Tabla2[[#This Row],[cuba_fab_litros]]*Tabla2[[#This Row],[cuba_fab_grasa_g_l]]/1000</f>
        <v>0</v>
      </c>
      <c r="P176">
        <f>Tabla2[[#This Row],[cuba_fab_litros]]*Tabla2[[#This Row],[cuba_fab_prot_g_l]]/1000</f>
        <v>0</v>
      </c>
      <c r="Q176">
        <f>Tabla2[[#This Row],[queso_kg]]*Tabla2[[#This Row],[queso_est_pct]]/100</f>
        <v>0</v>
      </c>
      <c r="R176">
        <f>Tabla2[[#This Row],[queso_kg]]*Tabla2[[#This Row],[queso_mg_pct]]/100</f>
        <v>0</v>
      </c>
      <c r="S176">
        <f>_xlfn.ISOWEEKNUM(Tabla2[[#This Row],[fecha]])</f>
        <v>25</v>
      </c>
      <c r="T176">
        <v>25</v>
      </c>
    </row>
    <row r="177" spans="1:20" x14ac:dyDescent="0.25">
      <c r="A177" s="1">
        <v>45466</v>
      </c>
      <c r="B177">
        <v>4940</v>
      </c>
      <c r="C177">
        <v>4796</v>
      </c>
      <c r="D177">
        <v>43.41</v>
      </c>
      <c r="E177">
        <v>35.979999999999997</v>
      </c>
      <c r="I177">
        <v>4796</v>
      </c>
      <c r="M177">
        <f>Tabla2[[#This Row],[entrada_litros]]*Tabla2[[#This Row],[entrada_grasa_g_l]]/1000</f>
        <v>208.19435999999999</v>
      </c>
      <c r="N177">
        <f>Tabla2[[#This Row],[entrada_litros]]*Tabla2[[#This Row],[entrada_prot_g_l]]/1000</f>
        <v>172.56008</v>
      </c>
      <c r="O177">
        <f>Tabla2[[#This Row],[cuba_fab_litros]]*Tabla2[[#This Row],[cuba_fab_grasa_g_l]]/1000</f>
        <v>0</v>
      </c>
      <c r="P177">
        <f>Tabla2[[#This Row],[cuba_fab_litros]]*Tabla2[[#This Row],[cuba_fab_prot_g_l]]/1000</f>
        <v>0</v>
      </c>
      <c r="Q177">
        <f>Tabla2[[#This Row],[queso_kg]]*Tabla2[[#This Row],[queso_est_pct]]/100</f>
        <v>0</v>
      </c>
      <c r="R177">
        <f>Tabla2[[#This Row],[queso_kg]]*Tabla2[[#This Row],[queso_mg_pct]]/100</f>
        <v>0</v>
      </c>
      <c r="S177">
        <f>_xlfn.ISOWEEKNUM(Tabla2[[#This Row],[fecha]])</f>
        <v>25</v>
      </c>
      <c r="T177">
        <v>26</v>
      </c>
    </row>
    <row r="178" spans="1:20" x14ac:dyDescent="0.25">
      <c r="A178" s="1">
        <v>45467</v>
      </c>
      <c r="B178">
        <v>5261</v>
      </c>
      <c r="C178">
        <v>5108</v>
      </c>
      <c r="D178">
        <v>44.36</v>
      </c>
      <c r="E178">
        <v>35.96</v>
      </c>
      <c r="F178">
        <v>5019</v>
      </c>
      <c r="G178">
        <v>41.8</v>
      </c>
      <c r="H178">
        <v>34.21</v>
      </c>
      <c r="I178">
        <v>4904</v>
      </c>
      <c r="J178">
        <v>590</v>
      </c>
      <c r="K178">
        <v>52.45</v>
      </c>
      <c r="L178">
        <v>27.03</v>
      </c>
      <c r="M178">
        <f>Tabla2[[#This Row],[entrada_litros]]*Tabla2[[#This Row],[entrada_grasa_g_l]]/1000</f>
        <v>226.59088</v>
      </c>
      <c r="N178">
        <f>Tabla2[[#This Row],[entrada_litros]]*Tabla2[[#This Row],[entrada_prot_g_l]]/1000</f>
        <v>183.68367999999998</v>
      </c>
      <c r="O178">
        <f>Tabla2[[#This Row],[cuba_fab_litros]]*Tabla2[[#This Row],[cuba_fab_grasa_g_l]]/1000</f>
        <v>209.79419999999999</v>
      </c>
      <c r="P178">
        <f>Tabla2[[#This Row],[cuba_fab_litros]]*Tabla2[[#This Row],[cuba_fab_prot_g_l]]/1000</f>
        <v>171.69998999999999</v>
      </c>
      <c r="Q178">
        <f>Tabla2[[#This Row],[queso_kg]]*Tabla2[[#This Row],[queso_est_pct]]/100</f>
        <v>309.45499999999998</v>
      </c>
      <c r="R178">
        <f>Tabla2[[#This Row],[queso_kg]]*Tabla2[[#This Row],[queso_mg_pct]]/100</f>
        <v>159.477</v>
      </c>
      <c r="S178">
        <f>_xlfn.ISOWEEKNUM(Tabla2[[#This Row],[fecha]])</f>
        <v>26</v>
      </c>
      <c r="T178">
        <v>26</v>
      </c>
    </row>
    <row r="179" spans="1:20" x14ac:dyDescent="0.25">
      <c r="A179" s="1">
        <v>45468</v>
      </c>
      <c r="B179">
        <v>4998</v>
      </c>
      <c r="C179">
        <v>4852</v>
      </c>
      <c r="D179">
        <v>42.41</v>
      </c>
      <c r="E179">
        <v>36.01</v>
      </c>
      <c r="F179">
        <v>5020</v>
      </c>
      <c r="G179">
        <v>41.33</v>
      </c>
      <c r="H179">
        <v>34.39</v>
      </c>
      <c r="I179">
        <v>4756</v>
      </c>
      <c r="J179">
        <v>581.79999999999995</v>
      </c>
      <c r="K179">
        <v>52.63</v>
      </c>
      <c r="L179">
        <v>25.23</v>
      </c>
      <c r="M179">
        <f>Tabla2[[#This Row],[entrada_litros]]*Tabla2[[#This Row],[entrada_grasa_g_l]]/1000</f>
        <v>205.77331999999998</v>
      </c>
      <c r="N179">
        <f>Tabla2[[#This Row],[entrada_litros]]*Tabla2[[#This Row],[entrada_prot_g_l]]/1000</f>
        <v>174.72051999999999</v>
      </c>
      <c r="O179">
        <f>Tabla2[[#This Row],[cuba_fab_litros]]*Tabla2[[#This Row],[cuba_fab_grasa_g_l]]/1000</f>
        <v>207.47660000000002</v>
      </c>
      <c r="P179">
        <f>Tabla2[[#This Row],[cuba_fab_litros]]*Tabla2[[#This Row],[cuba_fab_prot_g_l]]/1000</f>
        <v>172.6378</v>
      </c>
      <c r="Q179">
        <f>Tabla2[[#This Row],[queso_kg]]*Tabla2[[#This Row],[queso_est_pct]]/100</f>
        <v>306.20133999999996</v>
      </c>
      <c r="R179">
        <f>Tabla2[[#This Row],[queso_kg]]*Tabla2[[#This Row],[queso_mg_pct]]/100</f>
        <v>146.78814</v>
      </c>
      <c r="S179">
        <f>_xlfn.ISOWEEKNUM(Tabla2[[#This Row],[fecha]])</f>
        <v>26</v>
      </c>
      <c r="T179">
        <v>26</v>
      </c>
    </row>
    <row r="180" spans="1:20" x14ac:dyDescent="0.25">
      <c r="A180" s="1">
        <v>45469</v>
      </c>
      <c r="B180">
        <v>5449</v>
      </c>
      <c r="C180">
        <v>5290</v>
      </c>
      <c r="D180">
        <v>40.81</v>
      </c>
      <c r="E180">
        <v>35.020000000000003</v>
      </c>
      <c r="F180">
        <v>5029</v>
      </c>
      <c r="G180">
        <v>40.51</v>
      </c>
      <c r="H180">
        <v>33.75</v>
      </c>
      <c r="I180">
        <v>5046</v>
      </c>
      <c r="J180">
        <v>564.55999999999995</v>
      </c>
      <c r="K180">
        <v>51.7</v>
      </c>
      <c r="L180">
        <v>27.33</v>
      </c>
      <c r="M180">
        <f>Tabla2[[#This Row],[entrada_litros]]*Tabla2[[#This Row],[entrada_grasa_g_l]]/1000</f>
        <v>215.88490000000002</v>
      </c>
      <c r="N180">
        <f>Tabla2[[#This Row],[entrada_litros]]*Tabla2[[#This Row],[entrada_prot_g_l]]/1000</f>
        <v>185.25580000000002</v>
      </c>
      <c r="O180">
        <f>Tabla2[[#This Row],[cuba_fab_litros]]*Tabla2[[#This Row],[cuba_fab_grasa_g_l]]/1000</f>
        <v>203.72478999999998</v>
      </c>
      <c r="P180">
        <f>Tabla2[[#This Row],[cuba_fab_litros]]*Tabla2[[#This Row],[cuba_fab_prot_g_l]]/1000</f>
        <v>169.72874999999999</v>
      </c>
      <c r="Q180">
        <f>Tabla2[[#This Row],[queso_kg]]*Tabla2[[#This Row],[queso_est_pct]]/100</f>
        <v>291.87752</v>
      </c>
      <c r="R180">
        <f>Tabla2[[#This Row],[queso_kg]]*Tabla2[[#This Row],[queso_mg_pct]]/100</f>
        <v>154.29424799999998</v>
      </c>
      <c r="S180">
        <f>_xlfn.ISOWEEKNUM(Tabla2[[#This Row],[fecha]])</f>
        <v>26</v>
      </c>
      <c r="T180">
        <v>26</v>
      </c>
    </row>
    <row r="181" spans="1:20" x14ac:dyDescent="0.25">
      <c r="A181" s="1">
        <v>45470</v>
      </c>
      <c r="B181">
        <v>5064</v>
      </c>
      <c r="C181">
        <v>4917</v>
      </c>
      <c r="D181">
        <v>43.59</v>
      </c>
      <c r="E181">
        <v>35.68</v>
      </c>
      <c r="F181">
        <v>5035</v>
      </c>
      <c r="G181">
        <v>41.45</v>
      </c>
      <c r="H181">
        <v>33.6</v>
      </c>
      <c r="I181">
        <v>4963</v>
      </c>
      <c r="J181">
        <v>606.01</v>
      </c>
      <c r="K181">
        <v>52.27</v>
      </c>
      <c r="L181">
        <v>26.36</v>
      </c>
      <c r="M181">
        <f>Tabla2[[#This Row],[entrada_litros]]*Tabla2[[#This Row],[entrada_grasa_g_l]]/1000</f>
        <v>214.33203000000003</v>
      </c>
      <c r="N181">
        <f>Tabla2[[#This Row],[entrada_litros]]*Tabla2[[#This Row],[entrada_prot_g_l]]/1000</f>
        <v>175.43856</v>
      </c>
      <c r="O181">
        <f>Tabla2[[#This Row],[cuba_fab_litros]]*Tabla2[[#This Row],[cuba_fab_grasa_g_l]]/1000</f>
        <v>208.70075</v>
      </c>
      <c r="P181">
        <f>Tabla2[[#This Row],[cuba_fab_litros]]*Tabla2[[#This Row],[cuba_fab_prot_g_l]]/1000</f>
        <v>169.17599999999999</v>
      </c>
      <c r="Q181">
        <f>Tabla2[[#This Row],[queso_kg]]*Tabla2[[#This Row],[queso_est_pct]]/100</f>
        <v>316.76142700000003</v>
      </c>
      <c r="R181">
        <f>Tabla2[[#This Row],[queso_kg]]*Tabla2[[#This Row],[queso_mg_pct]]/100</f>
        <v>159.744236</v>
      </c>
      <c r="S181">
        <f>_xlfn.ISOWEEKNUM(Tabla2[[#This Row],[fecha]])</f>
        <v>26</v>
      </c>
      <c r="T181">
        <v>26</v>
      </c>
    </row>
    <row r="182" spans="1:20" x14ac:dyDescent="0.25">
      <c r="A182" s="1">
        <v>45471</v>
      </c>
      <c r="F182">
        <v>4987</v>
      </c>
      <c r="G182">
        <v>40.82</v>
      </c>
      <c r="H182">
        <v>33.9</v>
      </c>
      <c r="J182">
        <v>583.57000000000005</v>
      </c>
      <c r="K182">
        <v>53.35</v>
      </c>
      <c r="L182">
        <v>28.78</v>
      </c>
      <c r="M182">
        <f>Tabla2[[#This Row],[entrada_litros]]*Tabla2[[#This Row],[entrada_grasa_g_l]]/1000</f>
        <v>0</v>
      </c>
      <c r="N182">
        <f>Tabla2[[#This Row],[entrada_litros]]*Tabla2[[#This Row],[entrada_prot_g_l]]/1000</f>
        <v>0</v>
      </c>
      <c r="O182">
        <f>Tabla2[[#This Row],[cuba_fab_litros]]*Tabla2[[#This Row],[cuba_fab_grasa_g_l]]/1000</f>
        <v>203.56933999999998</v>
      </c>
      <c r="P182">
        <f>Tabla2[[#This Row],[cuba_fab_litros]]*Tabla2[[#This Row],[cuba_fab_prot_g_l]]/1000</f>
        <v>169.05929999999998</v>
      </c>
      <c r="Q182">
        <f>Tabla2[[#This Row],[queso_kg]]*Tabla2[[#This Row],[queso_est_pct]]/100</f>
        <v>311.33459500000004</v>
      </c>
      <c r="R182">
        <f>Tabla2[[#This Row],[queso_kg]]*Tabla2[[#This Row],[queso_mg_pct]]/100</f>
        <v>167.95144600000003</v>
      </c>
      <c r="S182">
        <f>_xlfn.ISOWEEKNUM(Tabla2[[#This Row],[fecha]])</f>
        <v>26</v>
      </c>
      <c r="T182">
        <v>26</v>
      </c>
    </row>
    <row r="183" spans="1:20" x14ac:dyDescent="0.25">
      <c r="A183" s="1">
        <v>45472</v>
      </c>
      <c r="M183">
        <f>Tabla2[[#This Row],[entrada_litros]]*Tabla2[[#This Row],[entrada_grasa_g_l]]/1000</f>
        <v>0</v>
      </c>
      <c r="N183">
        <f>Tabla2[[#This Row],[entrada_litros]]*Tabla2[[#This Row],[entrada_prot_g_l]]/1000</f>
        <v>0</v>
      </c>
      <c r="O183">
        <f>Tabla2[[#This Row],[cuba_fab_litros]]*Tabla2[[#This Row],[cuba_fab_grasa_g_l]]/1000</f>
        <v>0</v>
      </c>
      <c r="P183">
        <f>Tabla2[[#This Row],[cuba_fab_litros]]*Tabla2[[#This Row],[cuba_fab_prot_g_l]]/1000</f>
        <v>0</v>
      </c>
      <c r="Q183">
        <f>Tabla2[[#This Row],[queso_kg]]*Tabla2[[#This Row],[queso_est_pct]]/100</f>
        <v>0</v>
      </c>
      <c r="R183">
        <f>Tabla2[[#This Row],[queso_kg]]*Tabla2[[#This Row],[queso_mg_pct]]/100</f>
        <v>0</v>
      </c>
      <c r="S183">
        <f>_xlfn.ISOWEEKNUM(Tabla2[[#This Row],[fecha]])</f>
        <v>26</v>
      </c>
      <c r="T183">
        <v>26</v>
      </c>
    </row>
    <row r="184" spans="1:20" x14ac:dyDescent="0.25">
      <c r="A184" s="1">
        <v>45473</v>
      </c>
      <c r="B184">
        <v>5077</v>
      </c>
      <c r="C184">
        <v>4929</v>
      </c>
      <c r="D184">
        <v>41.62</v>
      </c>
      <c r="E184">
        <v>36.54</v>
      </c>
      <c r="I184">
        <v>4929</v>
      </c>
      <c r="M184">
        <f>Tabla2[[#This Row],[entrada_litros]]*Tabla2[[#This Row],[entrada_grasa_g_l]]/1000</f>
        <v>205.14497999999998</v>
      </c>
      <c r="N184">
        <f>Tabla2[[#This Row],[entrada_litros]]*Tabla2[[#This Row],[entrada_prot_g_l]]/1000</f>
        <v>180.10566</v>
      </c>
      <c r="O184">
        <f>Tabla2[[#This Row],[cuba_fab_litros]]*Tabla2[[#This Row],[cuba_fab_grasa_g_l]]/1000</f>
        <v>0</v>
      </c>
      <c r="P184">
        <f>Tabla2[[#This Row],[cuba_fab_litros]]*Tabla2[[#This Row],[cuba_fab_prot_g_l]]/1000</f>
        <v>0</v>
      </c>
      <c r="Q184">
        <f>Tabla2[[#This Row],[queso_kg]]*Tabla2[[#This Row],[queso_est_pct]]/100</f>
        <v>0</v>
      </c>
      <c r="R184">
        <f>Tabla2[[#This Row],[queso_kg]]*Tabla2[[#This Row],[queso_mg_pct]]/100</f>
        <v>0</v>
      </c>
      <c r="S184">
        <f>_xlfn.ISOWEEKNUM(Tabla2[[#This Row],[fecha]])</f>
        <v>26</v>
      </c>
      <c r="T184">
        <v>27</v>
      </c>
    </row>
    <row r="185" spans="1:20" x14ac:dyDescent="0.25">
      <c r="A185" s="1">
        <v>45474</v>
      </c>
      <c r="B185">
        <v>5493</v>
      </c>
      <c r="C185">
        <v>5333</v>
      </c>
      <c r="D185">
        <v>43.16</v>
      </c>
      <c r="E185">
        <v>34.450000000000003</v>
      </c>
      <c r="F185">
        <v>5027</v>
      </c>
      <c r="G185">
        <v>40.32</v>
      </c>
      <c r="H185">
        <v>33.82</v>
      </c>
      <c r="I185">
        <v>5262</v>
      </c>
      <c r="J185">
        <v>589.75</v>
      </c>
      <c r="K185">
        <v>50.78</v>
      </c>
      <c r="L185">
        <v>28.89</v>
      </c>
      <c r="M185">
        <f>Tabla2[[#This Row],[entrada_litros]]*Tabla2[[#This Row],[entrada_grasa_g_l]]/1000</f>
        <v>230.17227999999997</v>
      </c>
      <c r="N185">
        <f>Tabla2[[#This Row],[entrada_litros]]*Tabla2[[#This Row],[entrada_prot_g_l]]/1000</f>
        <v>183.72185000000002</v>
      </c>
      <c r="O185">
        <f>Tabla2[[#This Row],[cuba_fab_litros]]*Tabla2[[#This Row],[cuba_fab_grasa_g_l]]/1000</f>
        <v>202.68864000000002</v>
      </c>
      <c r="P185">
        <f>Tabla2[[#This Row],[cuba_fab_litros]]*Tabla2[[#This Row],[cuba_fab_prot_g_l]]/1000</f>
        <v>170.01314000000002</v>
      </c>
      <c r="Q185">
        <f>Tabla2[[#This Row],[queso_kg]]*Tabla2[[#This Row],[queso_est_pct]]/100</f>
        <v>299.47505000000001</v>
      </c>
      <c r="R185">
        <f>Tabla2[[#This Row],[queso_kg]]*Tabla2[[#This Row],[queso_mg_pct]]/100</f>
        <v>170.37877499999999</v>
      </c>
      <c r="S185">
        <f>_xlfn.ISOWEEKNUM(Tabla2[[#This Row],[fecha]])</f>
        <v>27</v>
      </c>
      <c r="T185">
        <v>27</v>
      </c>
    </row>
    <row r="186" spans="1:20" x14ac:dyDescent="0.25">
      <c r="A186" s="1">
        <v>45475</v>
      </c>
      <c r="B186">
        <v>5009</v>
      </c>
      <c r="C186">
        <v>4863</v>
      </c>
      <c r="D186">
        <v>44.54</v>
      </c>
      <c r="E186">
        <v>35.76</v>
      </c>
      <c r="F186">
        <v>5022</v>
      </c>
      <c r="G186">
        <v>41.4</v>
      </c>
      <c r="H186">
        <v>34.049999999999997</v>
      </c>
      <c r="I186">
        <v>5125</v>
      </c>
      <c r="J186">
        <v>599.63</v>
      </c>
      <c r="K186">
        <v>52.4</v>
      </c>
      <c r="L186">
        <v>27.42</v>
      </c>
      <c r="M186">
        <f>Tabla2[[#This Row],[entrada_litros]]*Tabla2[[#This Row],[entrada_grasa_g_l]]/1000</f>
        <v>216.59801999999999</v>
      </c>
      <c r="N186">
        <f>Tabla2[[#This Row],[entrada_litros]]*Tabla2[[#This Row],[entrada_prot_g_l]]/1000</f>
        <v>173.90088</v>
      </c>
      <c r="O186">
        <f>Tabla2[[#This Row],[cuba_fab_litros]]*Tabla2[[#This Row],[cuba_fab_grasa_g_l]]/1000</f>
        <v>207.91079999999999</v>
      </c>
      <c r="P186">
        <f>Tabla2[[#This Row],[cuba_fab_litros]]*Tabla2[[#This Row],[cuba_fab_prot_g_l]]/1000</f>
        <v>170.99909999999997</v>
      </c>
      <c r="Q186">
        <f>Tabla2[[#This Row],[queso_kg]]*Tabla2[[#This Row],[queso_est_pct]]/100</f>
        <v>314.20612</v>
      </c>
      <c r="R186">
        <f>Tabla2[[#This Row],[queso_kg]]*Tabla2[[#This Row],[queso_mg_pct]]/100</f>
        <v>164.41854600000002</v>
      </c>
      <c r="S186">
        <f>_xlfn.ISOWEEKNUM(Tabla2[[#This Row],[fecha]])</f>
        <v>27</v>
      </c>
      <c r="T186">
        <v>27</v>
      </c>
    </row>
    <row r="187" spans="1:20" x14ac:dyDescent="0.25">
      <c r="A187" s="1">
        <v>45476</v>
      </c>
      <c r="B187">
        <v>4847</v>
      </c>
      <c r="C187">
        <v>4706</v>
      </c>
      <c r="D187">
        <v>41.5</v>
      </c>
      <c r="E187">
        <v>36.86</v>
      </c>
      <c r="F187">
        <v>5021</v>
      </c>
      <c r="G187">
        <v>40.619999999999997</v>
      </c>
      <c r="H187">
        <v>34.799999999999997</v>
      </c>
      <c r="I187">
        <v>4831</v>
      </c>
      <c r="J187">
        <v>586.78</v>
      </c>
      <c r="K187">
        <v>51.95</v>
      </c>
      <c r="L187">
        <v>26.72</v>
      </c>
      <c r="M187">
        <f>Tabla2[[#This Row],[entrada_litros]]*Tabla2[[#This Row],[entrada_grasa_g_l]]/1000</f>
        <v>195.29900000000001</v>
      </c>
      <c r="N187">
        <f>Tabla2[[#This Row],[entrada_litros]]*Tabla2[[#This Row],[entrada_prot_g_l]]/1000</f>
        <v>173.46316000000002</v>
      </c>
      <c r="O187">
        <f>Tabla2[[#This Row],[cuba_fab_litros]]*Tabla2[[#This Row],[cuba_fab_grasa_g_l]]/1000</f>
        <v>203.95301999999998</v>
      </c>
      <c r="P187">
        <f>Tabla2[[#This Row],[cuba_fab_litros]]*Tabla2[[#This Row],[cuba_fab_prot_g_l]]/1000</f>
        <v>174.73079999999999</v>
      </c>
      <c r="Q187">
        <f>Tabla2[[#This Row],[queso_kg]]*Tabla2[[#This Row],[queso_est_pct]]/100</f>
        <v>304.83221000000003</v>
      </c>
      <c r="R187">
        <f>Tabla2[[#This Row],[queso_kg]]*Tabla2[[#This Row],[queso_mg_pct]]/100</f>
        <v>156.78761599999999</v>
      </c>
      <c r="S187">
        <f>_xlfn.ISOWEEKNUM(Tabla2[[#This Row],[fecha]])</f>
        <v>27</v>
      </c>
      <c r="T187">
        <v>27</v>
      </c>
    </row>
    <row r="188" spans="1:20" x14ac:dyDescent="0.25">
      <c r="A188" s="1">
        <v>45477</v>
      </c>
      <c r="B188">
        <v>5168</v>
      </c>
      <c r="C188">
        <v>5017</v>
      </c>
      <c r="D188">
        <v>42.21</v>
      </c>
      <c r="E188">
        <v>33.659999999999997</v>
      </c>
      <c r="F188">
        <v>5025</v>
      </c>
      <c r="G188">
        <v>40.200000000000003</v>
      </c>
      <c r="H188">
        <v>33.19</v>
      </c>
      <c r="I188">
        <v>4848</v>
      </c>
      <c r="J188">
        <v>620.28</v>
      </c>
      <c r="K188">
        <v>51.64</v>
      </c>
      <c r="L188">
        <v>26.12</v>
      </c>
      <c r="M188">
        <f>Tabla2[[#This Row],[entrada_litros]]*Tabla2[[#This Row],[entrada_grasa_g_l]]/1000</f>
        <v>211.76757000000001</v>
      </c>
      <c r="N188">
        <f>Tabla2[[#This Row],[entrada_litros]]*Tabla2[[#This Row],[entrada_prot_g_l]]/1000</f>
        <v>168.87221999999997</v>
      </c>
      <c r="O188">
        <f>Tabla2[[#This Row],[cuba_fab_litros]]*Tabla2[[#This Row],[cuba_fab_grasa_g_l]]/1000</f>
        <v>202.005</v>
      </c>
      <c r="P188">
        <f>Tabla2[[#This Row],[cuba_fab_litros]]*Tabla2[[#This Row],[cuba_fab_prot_g_l]]/1000</f>
        <v>166.77975000000001</v>
      </c>
      <c r="Q188">
        <f>Tabla2[[#This Row],[queso_kg]]*Tabla2[[#This Row],[queso_est_pct]]/100</f>
        <v>320.312592</v>
      </c>
      <c r="R188">
        <f>Tabla2[[#This Row],[queso_kg]]*Tabla2[[#This Row],[queso_mg_pct]]/100</f>
        <v>162.01713599999999</v>
      </c>
      <c r="S188">
        <f>_xlfn.ISOWEEKNUM(Tabla2[[#This Row],[fecha]])</f>
        <v>27</v>
      </c>
      <c r="T188">
        <v>27</v>
      </c>
    </row>
    <row r="189" spans="1:20" x14ac:dyDescent="0.25">
      <c r="A189" s="1">
        <v>45478</v>
      </c>
      <c r="F189">
        <v>4879</v>
      </c>
      <c r="G189">
        <v>40.020000000000003</v>
      </c>
      <c r="H189">
        <v>33.270000000000003</v>
      </c>
      <c r="J189">
        <v>593.76</v>
      </c>
      <c r="K189">
        <v>52.05</v>
      </c>
      <c r="L189">
        <v>27.04</v>
      </c>
      <c r="M189">
        <f>Tabla2[[#This Row],[entrada_litros]]*Tabla2[[#This Row],[entrada_grasa_g_l]]/1000</f>
        <v>0</v>
      </c>
      <c r="N189">
        <f>Tabla2[[#This Row],[entrada_litros]]*Tabla2[[#This Row],[entrada_prot_g_l]]/1000</f>
        <v>0</v>
      </c>
      <c r="O189">
        <f>Tabla2[[#This Row],[cuba_fab_litros]]*Tabla2[[#This Row],[cuba_fab_grasa_g_l]]/1000</f>
        <v>195.25758000000002</v>
      </c>
      <c r="P189">
        <f>Tabla2[[#This Row],[cuba_fab_litros]]*Tabla2[[#This Row],[cuba_fab_prot_g_l]]/1000</f>
        <v>162.32433</v>
      </c>
      <c r="Q189">
        <f>Tabla2[[#This Row],[queso_kg]]*Tabla2[[#This Row],[queso_est_pct]]/100</f>
        <v>309.05207999999999</v>
      </c>
      <c r="R189">
        <f>Tabla2[[#This Row],[queso_kg]]*Tabla2[[#This Row],[queso_mg_pct]]/100</f>
        <v>160.55270400000001</v>
      </c>
      <c r="S189">
        <f>_xlfn.ISOWEEKNUM(Tabla2[[#This Row],[fecha]])</f>
        <v>27</v>
      </c>
      <c r="T189">
        <v>27</v>
      </c>
    </row>
    <row r="190" spans="1:20" x14ac:dyDescent="0.25">
      <c r="A190" s="1">
        <v>45479</v>
      </c>
      <c r="M190">
        <f>Tabla2[[#This Row],[entrada_litros]]*Tabla2[[#This Row],[entrada_grasa_g_l]]/1000</f>
        <v>0</v>
      </c>
      <c r="N190">
        <f>Tabla2[[#This Row],[entrada_litros]]*Tabla2[[#This Row],[entrada_prot_g_l]]/1000</f>
        <v>0</v>
      </c>
      <c r="O190">
        <f>Tabla2[[#This Row],[cuba_fab_litros]]*Tabla2[[#This Row],[cuba_fab_grasa_g_l]]/1000</f>
        <v>0</v>
      </c>
      <c r="P190">
        <f>Tabla2[[#This Row],[cuba_fab_litros]]*Tabla2[[#This Row],[cuba_fab_prot_g_l]]/1000</f>
        <v>0</v>
      </c>
      <c r="Q190">
        <f>Tabla2[[#This Row],[queso_kg]]*Tabla2[[#This Row],[queso_est_pct]]/100</f>
        <v>0</v>
      </c>
      <c r="R190">
        <f>Tabla2[[#This Row],[queso_kg]]*Tabla2[[#This Row],[queso_mg_pct]]/100</f>
        <v>0</v>
      </c>
      <c r="S190">
        <f>_xlfn.ISOWEEKNUM(Tabla2[[#This Row],[fecha]])</f>
        <v>27</v>
      </c>
      <c r="T190">
        <v>27</v>
      </c>
    </row>
    <row r="191" spans="1:20" x14ac:dyDescent="0.25">
      <c r="A191" s="1">
        <v>45480</v>
      </c>
      <c r="B191">
        <v>5168</v>
      </c>
      <c r="C191">
        <v>5017</v>
      </c>
      <c r="D191">
        <v>45.69</v>
      </c>
      <c r="E191">
        <v>35.020000000000003</v>
      </c>
      <c r="I191">
        <v>5017</v>
      </c>
      <c r="M191">
        <f>Tabla2[[#This Row],[entrada_litros]]*Tabla2[[#This Row],[entrada_grasa_g_l]]/1000</f>
        <v>229.22672999999998</v>
      </c>
      <c r="N191">
        <f>Tabla2[[#This Row],[entrada_litros]]*Tabla2[[#This Row],[entrada_prot_g_l]]/1000</f>
        <v>175.69534000000002</v>
      </c>
      <c r="O191">
        <f>Tabla2[[#This Row],[cuba_fab_litros]]*Tabla2[[#This Row],[cuba_fab_grasa_g_l]]/1000</f>
        <v>0</v>
      </c>
      <c r="P191">
        <f>Tabla2[[#This Row],[cuba_fab_litros]]*Tabla2[[#This Row],[cuba_fab_prot_g_l]]/1000</f>
        <v>0</v>
      </c>
      <c r="Q191">
        <f>Tabla2[[#This Row],[queso_kg]]*Tabla2[[#This Row],[queso_est_pct]]/100</f>
        <v>0</v>
      </c>
      <c r="R191">
        <f>Tabla2[[#This Row],[queso_kg]]*Tabla2[[#This Row],[queso_mg_pct]]/100</f>
        <v>0</v>
      </c>
      <c r="S191">
        <f>_xlfn.ISOWEEKNUM(Tabla2[[#This Row],[fecha]])</f>
        <v>27</v>
      </c>
      <c r="T191">
        <v>28</v>
      </c>
    </row>
    <row r="192" spans="1:20" x14ac:dyDescent="0.25">
      <c r="A192" s="1">
        <v>45481</v>
      </c>
      <c r="B192">
        <v>5074</v>
      </c>
      <c r="C192">
        <v>4926</v>
      </c>
      <c r="D192">
        <v>42.59</v>
      </c>
      <c r="E192">
        <v>35.58</v>
      </c>
      <c r="F192">
        <v>5030</v>
      </c>
      <c r="G192">
        <v>42.01</v>
      </c>
      <c r="H192">
        <v>33.630000000000003</v>
      </c>
      <c r="I192">
        <v>4943</v>
      </c>
      <c r="J192">
        <v>612.79999999999995</v>
      </c>
      <c r="K192">
        <v>51.97</v>
      </c>
      <c r="L192">
        <v>25.68</v>
      </c>
      <c r="M192">
        <f>Tabla2[[#This Row],[entrada_litros]]*Tabla2[[#This Row],[entrada_grasa_g_l]]/1000</f>
        <v>209.79834000000002</v>
      </c>
      <c r="N192">
        <f>Tabla2[[#This Row],[entrada_litros]]*Tabla2[[#This Row],[entrada_prot_g_l]]/1000</f>
        <v>175.26707999999999</v>
      </c>
      <c r="O192">
        <f>Tabla2[[#This Row],[cuba_fab_litros]]*Tabla2[[#This Row],[cuba_fab_grasa_g_l]]/1000</f>
        <v>211.31029999999998</v>
      </c>
      <c r="P192">
        <f>Tabla2[[#This Row],[cuba_fab_litros]]*Tabla2[[#This Row],[cuba_fab_prot_g_l]]/1000</f>
        <v>169.15890000000002</v>
      </c>
      <c r="Q192">
        <f>Tabla2[[#This Row],[queso_kg]]*Tabla2[[#This Row],[queso_est_pct]]/100</f>
        <v>318.47215999999997</v>
      </c>
      <c r="R192">
        <f>Tabla2[[#This Row],[queso_kg]]*Tabla2[[#This Row],[queso_mg_pct]]/100</f>
        <v>157.36703999999997</v>
      </c>
      <c r="S192">
        <f>_xlfn.ISOWEEKNUM(Tabla2[[#This Row],[fecha]])</f>
        <v>28</v>
      </c>
      <c r="T192">
        <v>28</v>
      </c>
    </row>
    <row r="193" spans="1:20" x14ac:dyDescent="0.25">
      <c r="A193" s="1">
        <v>45482</v>
      </c>
      <c r="B193">
        <v>5624</v>
      </c>
      <c r="C193">
        <v>5460</v>
      </c>
      <c r="D193">
        <v>41.99</v>
      </c>
      <c r="E193">
        <v>35.85</v>
      </c>
      <c r="F193">
        <v>5026</v>
      </c>
      <c r="G193">
        <v>41.08</v>
      </c>
      <c r="H193">
        <v>34.119999999999997</v>
      </c>
      <c r="I193">
        <v>5403</v>
      </c>
      <c r="J193">
        <v>607.28</v>
      </c>
      <c r="K193">
        <v>51.93</v>
      </c>
      <c r="L193">
        <v>27.17</v>
      </c>
      <c r="M193">
        <f>Tabla2[[#This Row],[entrada_litros]]*Tabla2[[#This Row],[entrada_grasa_g_l]]/1000</f>
        <v>229.26540000000003</v>
      </c>
      <c r="N193">
        <f>Tabla2[[#This Row],[entrada_litros]]*Tabla2[[#This Row],[entrada_prot_g_l]]/1000</f>
        <v>195.74100000000001</v>
      </c>
      <c r="O193">
        <f>Tabla2[[#This Row],[cuba_fab_litros]]*Tabla2[[#This Row],[cuba_fab_grasa_g_l]]/1000</f>
        <v>206.46807999999999</v>
      </c>
      <c r="P193">
        <f>Tabla2[[#This Row],[cuba_fab_litros]]*Tabla2[[#This Row],[cuba_fab_prot_g_l]]/1000</f>
        <v>171.48712</v>
      </c>
      <c r="Q193">
        <f>Tabla2[[#This Row],[queso_kg]]*Tabla2[[#This Row],[queso_est_pct]]/100</f>
        <v>315.36050399999999</v>
      </c>
      <c r="R193">
        <f>Tabla2[[#This Row],[queso_kg]]*Tabla2[[#This Row],[queso_mg_pct]]/100</f>
        <v>164.99797600000002</v>
      </c>
      <c r="S193">
        <f>_xlfn.ISOWEEKNUM(Tabla2[[#This Row],[fecha]])</f>
        <v>28</v>
      </c>
      <c r="T193">
        <v>28</v>
      </c>
    </row>
    <row r="194" spans="1:20" x14ac:dyDescent="0.25">
      <c r="A194" s="1">
        <v>45483</v>
      </c>
      <c r="B194">
        <v>6071</v>
      </c>
      <c r="C194">
        <v>5894</v>
      </c>
      <c r="D194">
        <v>41.74</v>
      </c>
      <c r="E194">
        <v>35.659999999999997</v>
      </c>
      <c r="F194">
        <v>5030</v>
      </c>
      <c r="G194">
        <v>40.47</v>
      </c>
      <c r="H194">
        <v>33.979999999999997</v>
      </c>
      <c r="I194">
        <v>6297</v>
      </c>
      <c r="J194">
        <v>587.47</v>
      </c>
      <c r="K194">
        <v>50.93</v>
      </c>
      <c r="L194">
        <v>26.73</v>
      </c>
      <c r="M194">
        <f>Tabla2[[#This Row],[entrada_litros]]*Tabla2[[#This Row],[entrada_grasa_g_l]]/1000</f>
        <v>246.01555999999999</v>
      </c>
      <c r="N194">
        <f>Tabla2[[#This Row],[entrada_litros]]*Tabla2[[#This Row],[entrada_prot_g_l]]/1000</f>
        <v>210.18003999999999</v>
      </c>
      <c r="O194">
        <f>Tabla2[[#This Row],[cuba_fab_litros]]*Tabla2[[#This Row],[cuba_fab_grasa_g_l]]/1000</f>
        <v>203.5641</v>
      </c>
      <c r="P194">
        <f>Tabla2[[#This Row],[cuba_fab_litros]]*Tabla2[[#This Row],[cuba_fab_prot_g_l]]/1000</f>
        <v>170.9194</v>
      </c>
      <c r="Q194">
        <f>Tabla2[[#This Row],[queso_kg]]*Tabla2[[#This Row],[queso_est_pct]]/100</f>
        <v>299.19847100000004</v>
      </c>
      <c r="R194">
        <f>Tabla2[[#This Row],[queso_kg]]*Tabla2[[#This Row],[queso_mg_pct]]/100</f>
        <v>157.030731</v>
      </c>
      <c r="S194">
        <f>_xlfn.ISOWEEKNUM(Tabla2[[#This Row],[fecha]])</f>
        <v>28</v>
      </c>
      <c r="T194">
        <v>28</v>
      </c>
    </row>
    <row r="195" spans="1:20" x14ac:dyDescent="0.25">
      <c r="A195" s="1">
        <v>45484</v>
      </c>
      <c r="B195">
        <v>5221</v>
      </c>
      <c r="C195">
        <v>5069</v>
      </c>
      <c r="D195">
        <v>44.13</v>
      </c>
      <c r="E195">
        <v>37.32</v>
      </c>
      <c r="F195">
        <v>5021</v>
      </c>
      <c r="G195">
        <v>41.2</v>
      </c>
      <c r="H195">
        <v>35.04</v>
      </c>
      <c r="I195">
        <v>6366</v>
      </c>
      <c r="J195">
        <v>577</v>
      </c>
      <c r="K195">
        <v>51.27</v>
      </c>
      <c r="L195">
        <v>27.2</v>
      </c>
      <c r="M195">
        <f>Tabla2[[#This Row],[entrada_litros]]*Tabla2[[#This Row],[entrada_grasa_g_l]]/1000</f>
        <v>223.69497000000001</v>
      </c>
      <c r="N195">
        <f>Tabla2[[#This Row],[entrada_litros]]*Tabla2[[#This Row],[entrada_prot_g_l]]/1000</f>
        <v>189.17507999999998</v>
      </c>
      <c r="O195">
        <f>Tabla2[[#This Row],[cuba_fab_litros]]*Tabla2[[#This Row],[cuba_fab_grasa_g_l]]/1000</f>
        <v>206.86520000000002</v>
      </c>
      <c r="P195">
        <f>Tabla2[[#This Row],[cuba_fab_litros]]*Tabla2[[#This Row],[cuba_fab_prot_g_l]]/1000</f>
        <v>175.93583999999998</v>
      </c>
      <c r="Q195">
        <f>Tabla2[[#This Row],[queso_kg]]*Tabla2[[#This Row],[queso_est_pct]]/100</f>
        <v>295.8279</v>
      </c>
      <c r="R195">
        <f>Tabla2[[#This Row],[queso_kg]]*Tabla2[[#This Row],[queso_mg_pct]]/100</f>
        <v>156.94399999999999</v>
      </c>
      <c r="S195">
        <f>_xlfn.ISOWEEKNUM(Tabla2[[#This Row],[fecha]])</f>
        <v>28</v>
      </c>
      <c r="T195">
        <v>28</v>
      </c>
    </row>
    <row r="196" spans="1:20" x14ac:dyDescent="0.25">
      <c r="A196" s="1">
        <v>45485</v>
      </c>
      <c r="F196">
        <v>6412</v>
      </c>
      <c r="G196">
        <v>40.85</v>
      </c>
      <c r="H196">
        <v>34.61</v>
      </c>
      <c r="J196">
        <v>720.41</v>
      </c>
      <c r="K196">
        <v>52.45</v>
      </c>
      <c r="L196">
        <v>27.68</v>
      </c>
      <c r="M196">
        <f>Tabla2[[#This Row],[entrada_litros]]*Tabla2[[#This Row],[entrada_grasa_g_l]]/1000</f>
        <v>0</v>
      </c>
      <c r="N196">
        <f>Tabla2[[#This Row],[entrada_litros]]*Tabla2[[#This Row],[entrada_prot_g_l]]/1000</f>
        <v>0</v>
      </c>
      <c r="O196">
        <f>Tabla2[[#This Row],[cuba_fab_litros]]*Tabla2[[#This Row],[cuba_fab_grasa_g_l]]/1000</f>
        <v>261.93020000000001</v>
      </c>
      <c r="P196">
        <f>Tabla2[[#This Row],[cuba_fab_litros]]*Tabla2[[#This Row],[cuba_fab_prot_g_l]]/1000</f>
        <v>221.91932</v>
      </c>
      <c r="Q196">
        <f>Tabla2[[#This Row],[queso_kg]]*Tabla2[[#This Row],[queso_est_pct]]/100</f>
        <v>377.85504500000002</v>
      </c>
      <c r="R196">
        <f>Tabla2[[#This Row],[queso_kg]]*Tabla2[[#This Row],[queso_mg_pct]]/100</f>
        <v>199.40948799999998</v>
      </c>
      <c r="S196">
        <f>_xlfn.ISOWEEKNUM(Tabla2[[#This Row],[fecha]])</f>
        <v>28</v>
      </c>
      <c r="T196">
        <v>28</v>
      </c>
    </row>
    <row r="197" spans="1:20" x14ac:dyDescent="0.25">
      <c r="A197" s="1">
        <v>45486</v>
      </c>
      <c r="M197">
        <f>Tabla2[[#This Row],[entrada_litros]]*Tabla2[[#This Row],[entrada_grasa_g_l]]/1000</f>
        <v>0</v>
      </c>
      <c r="N197">
        <f>Tabla2[[#This Row],[entrada_litros]]*Tabla2[[#This Row],[entrada_prot_g_l]]/1000</f>
        <v>0</v>
      </c>
      <c r="O197">
        <f>Tabla2[[#This Row],[cuba_fab_litros]]*Tabla2[[#This Row],[cuba_fab_grasa_g_l]]/1000</f>
        <v>0</v>
      </c>
      <c r="P197">
        <f>Tabla2[[#This Row],[cuba_fab_litros]]*Tabla2[[#This Row],[cuba_fab_prot_g_l]]/1000</f>
        <v>0</v>
      </c>
      <c r="Q197">
        <f>Tabla2[[#This Row],[queso_kg]]*Tabla2[[#This Row],[queso_est_pct]]/100</f>
        <v>0</v>
      </c>
      <c r="R197">
        <f>Tabla2[[#This Row],[queso_kg]]*Tabla2[[#This Row],[queso_mg_pct]]/100</f>
        <v>0</v>
      </c>
      <c r="S197">
        <f>_xlfn.ISOWEEKNUM(Tabla2[[#This Row],[fecha]])</f>
        <v>28</v>
      </c>
      <c r="T197">
        <v>28</v>
      </c>
    </row>
    <row r="198" spans="1:20" x14ac:dyDescent="0.25">
      <c r="A198" s="1">
        <v>45487</v>
      </c>
      <c r="B198">
        <v>5255</v>
      </c>
      <c r="C198">
        <v>5102</v>
      </c>
      <c r="D198">
        <v>40.14</v>
      </c>
      <c r="E198">
        <v>37.93</v>
      </c>
      <c r="I198">
        <v>5102</v>
      </c>
      <c r="M198">
        <f>Tabla2[[#This Row],[entrada_litros]]*Tabla2[[#This Row],[entrada_grasa_g_l]]/1000</f>
        <v>204.79427999999999</v>
      </c>
      <c r="N198">
        <f>Tabla2[[#This Row],[entrada_litros]]*Tabla2[[#This Row],[entrada_prot_g_l]]/1000</f>
        <v>193.51885999999999</v>
      </c>
      <c r="O198">
        <f>Tabla2[[#This Row],[cuba_fab_litros]]*Tabla2[[#This Row],[cuba_fab_grasa_g_l]]/1000</f>
        <v>0</v>
      </c>
      <c r="P198">
        <f>Tabla2[[#This Row],[cuba_fab_litros]]*Tabla2[[#This Row],[cuba_fab_prot_g_l]]/1000</f>
        <v>0</v>
      </c>
      <c r="Q198">
        <f>Tabla2[[#This Row],[queso_kg]]*Tabla2[[#This Row],[queso_est_pct]]/100</f>
        <v>0</v>
      </c>
      <c r="R198">
        <f>Tabla2[[#This Row],[queso_kg]]*Tabla2[[#This Row],[queso_mg_pct]]/100</f>
        <v>0</v>
      </c>
      <c r="S198">
        <f>_xlfn.ISOWEEKNUM(Tabla2[[#This Row],[fecha]])</f>
        <v>28</v>
      </c>
      <c r="T198">
        <v>29</v>
      </c>
    </row>
    <row r="199" spans="1:20" x14ac:dyDescent="0.25">
      <c r="A199" s="1">
        <v>45488</v>
      </c>
      <c r="B199">
        <v>5366</v>
      </c>
      <c r="C199">
        <v>5210</v>
      </c>
      <c r="D199">
        <v>44.87</v>
      </c>
      <c r="E199">
        <v>36.61</v>
      </c>
      <c r="F199">
        <v>5024</v>
      </c>
      <c r="G199">
        <v>40.6</v>
      </c>
      <c r="H199">
        <v>35.4</v>
      </c>
      <c r="I199">
        <v>5312</v>
      </c>
      <c r="J199">
        <v>632.48</v>
      </c>
      <c r="K199">
        <v>51.09</v>
      </c>
      <c r="L199">
        <v>26.66</v>
      </c>
      <c r="M199">
        <f>Tabla2[[#This Row],[entrada_litros]]*Tabla2[[#This Row],[entrada_grasa_g_l]]/1000</f>
        <v>233.77269999999999</v>
      </c>
      <c r="N199">
        <f>Tabla2[[#This Row],[entrada_litros]]*Tabla2[[#This Row],[entrada_prot_g_l]]/1000</f>
        <v>190.7381</v>
      </c>
      <c r="O199">
        <f>Tabla2[[#This Row],[cuba_fab_litros]]*Tabla2[[#This Row],[cuba_fab_grasa_g_l]]/1000</f>
        <v>203.9744</v>
      </c>
      <c r="P199">
        <f>Tabla2[[#This Row],[cuba_fab_litros]]*Tabla2[[#This Row],[cuba_fab_prot_g_l]]/1000</f>
        <v>177.84960000000001</v>
      </c>
      <c r="Q199">
        <f>Tabla2[[#This Row],[queso_kg]]*Tabla2[[#This Row],[queso_est_pct]]/100</f>
        <v>323.13403200000005</v>
      </c>
      <c r="R199">
        <f>Tabla2[[#This Row],[queso_kg]]*Tabla2[[#This Row],[queso_mg_pct]]/100</f>
        <v>168.619168</v>
      </c>
      <c r="S199">
        <f>_xlfn.ISOWEEKNUM(Tabla2[[#This Row],[fecha]])</f>
        <v>29</v>
      </c>
      <c r="T199">
        <v>29</v>
      </c>
    </row>
    <row r="200" spans="1:20" x14ac:dyDescent="0.25">
      <c r="A200" s="1">
        <v>45489</v>
      </c>
      <c r="B200">
        <v>5283</v>
      </c>
      <c r="C200">
        <v>5129</v>
      </c>
      <c r="D200">
        <v>43.75</v>
      </c>
      <c r="E200">
        <v>35.81</v>
      </c>
      <c r="F200">
        <v>5034</v>
      </c>
      <c r="G200">
        <v>41.17</v>
      </c>
      <c r="H200">
        <v>34.49</v>
      </c>
      <c r="I200">
        <v>5441</v>
      </c>
      <c r="J200">
        <v>593.26</v>
      </c>
      <c r="K200">
        <v>51.15</v>
      </c>
      <c r="L200">
        <v>26.7</v>
      </c>
      <c r="M200">
        <f>Tabla2[[#This Row],[entrada_litros]]*Tabla2[[#This Row],[entrada_grasa_g_l]]/1000</f>
        <v>224.39375000000001</v>
      </c>
      <c r="N200">
        <f>Tabla2[[#This Row],[entrada_litros]]*Tabla2[[#This Row],[entrada_prot_g_l]]/1000</f>
        <v>183.66949000000002</v>
      </c>
      <c r="O200">
        <f>Tabla2[[#This Row],[cuba_fab_litros]]*Tabla2[[#This Row],[cuba_fab_grasa_g_l]]/1000</f>
        <v>207.24977999999999</v>
      </c>
      <c r="P200">
        <f>Tabla2[[#This Row],[cuba_fab_litros]]*Tabla2[[#This Row],[cuba_fab_prot_g_l]]/1000</f>
        <v>173.62266</v>
      </c>
      <c r="Q200">
        <f>Tabla2[[#This Row],[queso_kg]]*Tabla2[[#This Row],[queso_est_pct]]/100</f>
        <v>303.45249000000001</v>
      </c>
      <c r="R200">
        <f>Tabla2[[#This Row],[queso_kg]]*Tabla2[[#This Row],[queso_mg_pct]]/100</f>
        <v>158.40042</v>
      </c>
      <c r="S200">
        <f>_xlfn.ISOWEEKNUM(Tabla2[[#This Row],[fecha]])</f>
        <v>29</v>
      </c>
      <c r="T200">
        <v>29</v>
      </c>
    </row>
    <row r="201" spans="1:20" x14ac:dyDescent="0.25">
      <c r="A201" s="1">
        <v>45490</v>
      </c>
      <c r="B201">
        <v>5583</v>
      </c>
      <c r="C201">
        <v>5420</v>
      </c>
      <c r="D201">
        <v>41.57</v>
      </c>
      <c r="E201">
        <v>35.46</v>
      </c>
      <c r="F201">
        <v>5022</v>
      </c>
      <c r="G201">
        <v>40.61</v>
      </c>
      <c r="H201">
        <v>34.619999999999997</v>
      </c>
      <c r="I201">
        <v>5861</v>
      </c>
      <c r="J201">
        <v>585.33000000000004</v>
      </c>
      <c r="K201">
        <v>53.08</v>
      </c>
      <c r="L201">
        <v>28.3</v>
      </c>
      <c r="M201">
        <f>Tabla2[[#This Row],[entrada_litros]]*Tabla2[[#This Row],[entrada_grasa_g_l]]/1000</f>
        <v>225.30939999999998</v>
      </c>
      <c r="N201">
        <f>Tabla2[[#This Row],[entrada_litros]]*Tabla2[[#This Row],[entrada_prot_g_l]]/1000</f>
        <v>192.19320000000002</v>
      </c>
      <c r="O201">
        <f>Tabla2[[#This Row],[cuba_fab_litros]]*Tabla2[[#This Row],[cuba_fab_grasa_g_l]]/1000</f>
        <v>203.94341999999997</v>
      </c>
      <c r="P201">
        <f>Tabla2[[#This Row],[cuba_fab_litros]]*Tabla2[[#This Row],[cuba_fab_prot_g_l]]/1000</f>
        <v>173.86163999999999</v>
      </c>
      <c r="Q201">
        <f>Tabla2[[#This Row],[queso_kg]]*Tabla2[[#This Row],[queso_est_pct]]/100</f>
        <v>310.69316400000002</v>
      </c>
      <c r="R201">
        <f>Tabla2[[#This Row],[queso_kg]]*Tabla2[[#This Row],[queso_mg_pct]]/100</f>
        <v>165.64839000000001</v>
      </c>
      <c r="S201">
        <f>_xlfn.ISOWEEKNUM(Tabla2[[#This Row],[fecha]])</f>
        <v>29</v>
      </c>
      <c r="T201">
        <v>29</v>
      </c>
    </row>
    <row r="202" spans="1:20" x14ac:dyDescent="0.25">
      <c r="A202" s="1">
        <v>45491</v>
      </c>
      <c r="B202">
        <v>5390</v>
      </c>
      <c r="C202">
        <v>5233</v>
      </c>
      <c r="D202">
        <v>43.61</v>
      </c>
      <c r="E202">
        <v>37.39</v>
      </c>
      <c r="F202">
        <v>5018</v>
      </c>
      <c r="G202">
        <v>41.37</v>
      </c>
      <c r="H202">
        <v>35.299999999999997</v>
      </c>
      <c r="I202">
        <v>6094</v>
      </c>
      <c r="J202">
        <v>600.08000000000004</v>
      </c>
      <c r="K202">
        <v>50.44</v>
      </c>
      <c r="L202">
        <v>26.29</v>
      </c>
      <c r="M202">
        <f>Tabla2[[#This Row],[entrada_litros]]*Tabla2[[#This Row],[entrada_grasa_g_l]]/1000</f>
        <v>228.21113</v>
      </c>
      <c r="N202">
        <f>Tabla2[[#This Row],[entrada_litros]]*Tabla2[[#This Row],[entrada_prot_g_l]]/1000</f>
        <v>195.66186999999999</v>
      </c>
      <c r="O202">
        <f>Tabla2[[#This Row],[cuba_fab_litros]]*Tabla2[[#This Row],[cuba_fab_grasa_g_l]]/1000</f>
        <v>207.59465999999998</v>
      </c>
      <c r="P202">
        <f>Tabla2[[#This Row],[cuba_fab_litros]]*Tabla2[[#This Row],[cuba_fab_prot_g_l]]/1000</f>
        <v>177.1354</v>
      </c>
      <c r="Q202">
        <f>Tabla2[[#This Row],[queso_kg]]*Tabla2[[#This Row],[queso_est_pct]]/100</f>
        <v>302.68035200000003</v>
      </c>
      <c r="R202">
        <f>Tabla2[[#This Row],[queso_kg]]*Tabla2[[#This Row],[queso_mg_pct]]/100</f>
        <v>157.761032</v>
      </c>
      <c r="S202">
        <f>_xlfn.ISOWEEKNUM(Tabla2[[#This Row],[fecha]])</f>
        <v>29</v>
      </c>
      <c r="T202">
        <v>29</v>
      </c>
    </row>
    <row r="203" spans="1:20" x14ac:dyDescent="0.25">
      <c r="A203" s="1">
        <v>45492</v>
      </c>
      <c r="F203">
        <v>6133</v>
      </c>
      <c r="G203">
        <v>41.02</v>
      </c>
      <c r="H203">
        <v>34.979999999999997</v>
      </c>
      <c r="J203">
        <v>734.42</v>
      </c>
      <c r="K203">
        <v>52.64</v>
      </c>
      <c r="L203">
        <v>27.91</v>
      </c>
      <c r="M203">
        <f>Tabla2[[#This Row],[entrada_litros]]*Tabla2[[#This Row],[entrada_grasa_g_l]]/1000</f>
        <v>0</v>
      </c>
      <c r="N203">
        <f>Tabla2[[#This Row],[entrada_litros]]*Tabla2[[#This Row],[entrada_prot_g_l]]/1000</f>
        <v>0</v>
      </c>
      <c r="O203">
        <f>Tabla2[[#This Row],[cuba_fab_litros]]*Tabla2[[#This Row],[cuba_fab_grasa_g_l]]/1000</f>
        <v>251.57566000000003</v>
      </c>
      <c r="P203">
        <f>Tabla2[[#This Row],[cuba_fab_litros]]*Tabla2[[#This Row],[cuba_fab_prot_g_l]]/1000</f>
        <v>214.53233999999998</v>
      </c>
      <c r="Q203">
        <f>Tabla2[[#This Row],[queso_kg]]*Tabla2[[#This Row],[queso_est_pct]]/100</f>
        <v>386.59868799999998</v>
      </c>
      <c r="R203">
        <f>Tabla2[[#This Row],[queso_kg]]*Tabla2[[#This Row],[queso_mg_pct]]/100</f>
        <v>204.97662199999999</v>
      </c>
      <c r="S203">
        <f>_xlfn.ISOWEEKNUM(Tabla2[[#This Row],[fecha]])</f>
        <v>29</v>
      </c>
      <c r="T203">
        <v>29</v>
      </c>
    </row>
    <row r="204" spans="1:20" x14ac:dyDescent="0.25">
      <c r="A204" s="1">
        <v>45493</v>
      </c>
      <c r="M204">
        <f>Tabla2[[#This Row],[entrada_litros]]*Tabla2[[#This Row],[entrada_grasa_g_l]]/1000</f>
        <v>0</v>
      </c>
      <c r="N204">
        <f>Tabla2[[#This Row],[entrada_litros]]*Tabla2[[#This Row],[entrada_prot_g_l]]/1000</f>
        <v>0</v>
      </c>
      <c r="O204">
        <f>Tabla2[[#This Row],[cuba_fab_litros]]*Tabla2[[#This Row],[cuba_fab_grasa_g_l]]/1000</f>
        <v>0</v>
      </c>
      <c r="P204">
        <f>Tabla2[[#This Row],[cuba_fab_litros]]*Tabla2[[#This Row],[cuba_fab_prot_g_l]]/1000</f>
        <v>0</v>
      </c>
      <c r="Q204">
        <f>Tabla2[[#This Row],[queso_kg]]*Tabla2[[#This Row],[queso_est_pct]]/100</f>
        <v>0</v>
      </c>
      <c r="R204">
        <f>Tabla2[[#This Row],[queso_kg]]*Tabla2[[#This Row],[queso_mg_pct]]/100</f>
        <v>0</v>
      </c>
      <c r="S204">
        <f>_xlfn.ISOWEEKNUM(Tabla2[[#This Row],[fecha]])</f>
        <v>29</v>
      </c>
      <c r="T204">
        <v>29</v>
      </c>
    </row>
    <row r="205" spans="1:20" x14ac:dyDescent="0.25">
      <c r="A205" s="1">
        <v>45494</v>
      </c>
      <c r="B205">
        <v>4966</v>
      </c>
      <c r="C205">
        <v>4821</v>
      </c>
      <c r="D205">
        <v>42.56</v>
      </c>
      <c r="E205">
        <v>35.74</v>
      </c>
      <c r="I205">
        <v>4821</v>
      </c>
      <c r="M205">
        <f>Tabla2[[#This Row],[entrada_litros]]*Tabla2[[#This Row],[entrada_grasa_g_l]]/1000</f>
        <v>205.18176</v>
      </c>
      <c r="N205">
        <f>Tabla2[[#This Row],[entrada_litros]]*Tabla2[[#This Row],[entrada_prot_g_l]]/1000</f>
        <v>172.30254000000002</v>
      </c>
      <c r="O205">
        <f>Tabla2[[#This Row],[cuba_fab_litros]]*Tabla2[[#This Row],[cuba_fab_grasa_g_l]]/1000</f>
        <v>0</v>
      </c>
      <c r="P205">
        <f>Tabla2[[#This Row],[cuba_fab_litros]]*Tabla2[[#This Row],[cuba_fab_prot_g_l]]/1000</f>
        <v>0</v>
      </c>
      <c r="Q205">
        <f>Tabla2[[#This Row],[queso_kg]]*Tabla2[[#This Row],[queso_est_pct]]/100</f>
        <v>0</v>
      </c>
      <c r="R205">
        <f>Tabla2[[#This Row],[queso_kg]]*Tabla2[[#This Row],[queso_mg_pct]]/100</f>
        <v>0</v>
      </c>
      <c r="S205">
        <f>_xlfn.ISOWEEKNUM(Tabla2[[#This Row],[fecha]])</f>
        <v>29</v>
      </c>
      <c r="T205">
        <v>30</v>
      </c>
    </row>
    <row r="206" spans="1:20" x14ac:dyDescent="0.25">
      <c r="A206" s="1">
        <v>45495</v>
      </c>
      <c r="B206">
        <v>5137</v>
      </c>
      <c r="C206">
        <v>4987</v>
      </c>
      <c r="D206">
        <v>40.64</v>
      </c>
      <c r="E206">
        <v>35.35</v>
      </c>
      <c r="F206">
        <v>5026</v>
      </c>
      <c r="G206">
        <v>39.369999999999997</v>
      </c>
      <c r="H206">
        <v>33.869999999999997</v>
      </c>
      <c r="I206">
        <v>4808</v>
      </c>
      <c r="J206">
        <v>596.04</v>
      </c>
      <c r="K206">
        <v>50.25</v>
      </c>
      <c r="L206">
        <v>26.58</v>
      </c>
      <c r="M206">
        <f>Tabla2[[#This Row],[entrada_litros]]*Tabla2[[#This Row],[entrada_grasa_g_l]]/1000</f>
        <v>202.67167999999998</v>
      </c>
      <c r="N206">
        <f>Tabla2[[#This Row],[entrada_litros]]*Tabla2[[#This Row],[entrada_prot_g_l]]/1000</f>
        <v>176.29045000000002</v>
      </c>
      <c r="O206">
        <f>Tabla2[[#This Row],[cuba_fab_litros]]*Tabla2[[#This Row],[cuba_fab_grasa_g_l]]/1000</f>
        <v>197.87361999999999</v>
      </c>
      <c r="P206">
        <f>Tabla2[[#This Row],[cuba_fab_litros]]*Tabla2[[#This Row],[cuba_fab_prot_g_l]]/1000</f>
        <v>170.23061999999999</v>
      </c>
      <c r="Q206">
        <f>Tabla2[[#This Row],[queso_kg]]*Tabla2[[#This Row],[queso_est_pct]]/100</f>
        <v>299.51009999999997</v>
      </c>
      <c r="R206">
        <f>Tabla2[[#This Row],[queso_kg]]*Tabla2[[#This Row],[queso_mg_pct]]/100</f>
        <v>158.42743199999998</v>
      </c>
      <c r="S206">
        <f>_xlfn.ISOWEEKNUM(Tabla2[[#This Row],[fecha]])</f>
        <v>30</v>
      </c>
      <c r="T206">
        <v>30</v>
      </c>
    </row>
    <row r="207" spans="1:20" x14ac:dyDescent="0.25">
      <c r="A207" s="1">
        <v>45496</v>
      </c>
      <c r="B207">
        <v>4917</v>
      </c>
      <c r="C207">
        <v>4774</v>
      </c>
      <c r="D207">
        <v>41.18</v>
      </c>
      <c r="E207">
        <v>34.92</v>
      </c>
      <c r="F207">
        <v>5028</v>
      </c>
      <c r="G207">
        <v>39.32</v>
      </c>
      <c r="H207">
        <v>33.57</v>
      </c>
      <c r="I207">
        <v>4582</v>
      </c>
      <c r="J207">
        <v>601.28</v>
      </c>
      <c r="K207">
        <v>49.58</v>
      </c>
      <c r="L207">
        <v>27.35</v>
      </c>
      <c r="M207">
        <f>Tabla2[[#This Row],[entrada_litros]]*Tabla2[[#This Row],[entrada_grasa_g_l]]/1000</f>
        <v>196.59332000000001</v>
      </c>
      <c r="N207">
        <f>Tabla2[[#This Row],[entrada_litros]]*Tabla2[[#This Row],[entrada_prot_g_l]]/1000</f>
        <v>166.70808000000002</v>
      </c>
      <c r="O207">
        <f>Tabla2[[#This Row],[cuba_fab_litros]]*Tabla2[[#This Row],[cuba_fab_grasa_g_l]]/1000</f>
        <v>197.70095999999998</v>
      </c>
      <c r="P207">
        <f>Tabla2[[#This Row],[cuba_fab_litros]]*Tabla2[[#This Row],[cuba_fab_prot_g_l]]/1000</f>
        <v>168.78995999999998</v>
      </c>
      <c r="Q207">
        <f>Tabla2[[#This Row],[queso_kg]]*Tabla2[[#This Row],[queso_est_pct]]/100</f>
        <v>298.11462399999999</v>
      </c>
      <c r="R207">
        <f>Tabla2[[#This Row],[queso_kg]]*Tabla2[[#This Row],[queso_mg_pct]]/100</f>
        <v>164.45008000000001</v>
      </c>
      <c r="S207">
        <f>_xlfn.ISOWEEKNUM(Tabla2[[#This Row],[fecha]])</f>
        <v>30</v>
      </c>
      <c r="T207">
        <v>30</v>
      </c>
    </row>
    <row r="208" spans="1:20" x14ac:dyDescent="0.25">
      <c r="A208" s="1">
        <v>45497</v>
      </c>
      <c r="B208">
        <v>5203</v>
      </c>
      <c r="C208">
        <v>5051</v>
      </c>
      <c r="D208">
        <v>44.83</v>
      </c>
      <c r="E208">
        <v>36.409999999999997</v>
      </c>
      <c r="F208">
        <v>5025</v>
      </c>
      <c r="G208">
        <v>41.54</v>
      </c>
      <c r="H208">
        <v>34.07</v>
      </c>
      <c r="I208">
        <v>4633</v>
      </c>
      <c r="J208">
        <v>582.79999999999995</v>
      </c>
      <c r="K208">
        <v>53.13</v>
      </c>
      <c r="L208">
        <v>28.15</v>
      </c>
      <c r="M208">
        <f>Tabla2[[#This Row],[entrada_litros]]*Tabla2[[#This Row],[entrada_grasa_g_l]]/1000</f>
        <v>226.43633</v>
      </c>
      <c r="N208">
        <f>Tabla2[[#This Row],[entrada_litros]]*Tabla2[[#This Row],[entrada_prot_g_l]]/1000</f>
        <v>183.90690999999998</v>
      </c>
      <c r="O208">
        <f>Tabla2[[#This Row],[cuba_fab_litros]]*Tabla2[[#This Row],[cuba_fab_grasa_g_l]]/1000</f>
        <v>208.73849999999999</v>
      </c>
      <c r="P208">
        <f>Tabla2[[#This Row],[cuba_fab_litros]]*Tabla2[[#This Row],[cuba_fab_prot_g_l]]/1000</f>
        <v>171.20175</v>
      </c>
      <c r="Q208">
        <f>Tabla2[[#This Row],[queso_kg]]*Tabla2[[#This Row],[queso_est_pct]]/100</f>
        <v>309.64164</v>
      </c>
      <c r="R208">
        <f>Tabla2[[#This Row],[queso_kg]]*Tabla2[[#This Row],[queso_mg_pct]]/100</f>
        <v>164.0582</v>
      </c>
      <c r="S208">
        <f>_xlfn.ISOWEEKNUM(Tabla2[[#This Row],[fecha]])</f>
        <v>30</v>
      </c>
      <c r="T208">
        <v>30</v>
      </c>
    </row>
    <row r="209" spans="1:20" x14ac:dyDescent="0.25">
      <c r="A209" s="1">
        <v>45498</v>
      </c>
      <c r="B209">
        <v>5063</v>
      </c>
      <c r="C209">
        <v>4916</v>
      </c>
      <c r="D209">
        <v>41.13</v>
      </c>
      <c r="E209">
        <v>36.090000000000003</v>
      </c>
      <c r="F209">
        <v>5022</v>
      </c>
      <c r="G209">
        <v>39.99</v>
      </c>
      <c r="H209">
        <v>34.340000000000003</v>
      </c>
      <c r="I209">
        <v>4549</v>
      </c>
      <c r="J209">
        <v>592.53</v>
      </c>
      <c r="K209">
        <v>50.67</v>
      </c>
      <c r="L209">
        <v>27.45</v>
      </c>
      <c r="M209">
        <f>Tabla2[[#This Row],[entrada_litros]]*Tabla2[[#This Row],[entrada_grasa_g_l]]/1000</f>
        <v>202.19508000000002</v>
      </c>
      <c r="N209">
        <f>Tabla2[[#This Row],[entrada_litros]]*Tabla2[[#This Row],[entrada_prot_g_l]]/1000</f>
        <v>177.41844</v>
      </c>
      <c r="O209">
        <f>Tabla2[[#This Row],[cuba_fab_litros]]*Tabla2[[#This Row],[cuba_fab_grasa_g_l]]/1000</f>
        <v>200.82978</v>
      </c>
      <c r="P209">
        <f>Tabla2[[#This Row],[cuba_fab_litros]]*Tabla2[[#This Row],[cuba_fab_prot_g_l]]/1000</f>
        <v>172.45548000000002</v>
      </c>
      <c r="Q209">
        <f>Tabla2[[#This Row],[queso_kg]]*Tabla2[[#This Row],[queso_est_pct]]/100</f>
        <v>300.23495100000002</v>
      </c>
      <c r="R209">
        <f>Tabla2[[#This Row],[queso_kg]]*Tabla2[[#This Row],[queso_mg_pct]]/100</f>
        <v>162.649485</v>
      </c>
      <c r="S209">
        <f>_xlfn.ISOWEEKNUM(Tabla2[[#This Row],[fecha]])</f>
        <v>30</v>
      </c>
      <c r="T209">
        <v>30</v>
      </c>
    </row>
    <row r="210" spans="1:20" x14ac:dyDescent="0.25">
      <c r="A210" s="1">
        <v>45499</v>
      </c>
      <c r="F210">
        <v>4575</v>
      </c>
      <c r="G210">
        <v>40.130000000000003</v>
      </c>
      <c r="H210">
        <v>34.53</v>
      </c>
      <c r="J210">
        <v>526.67999999999995</v>
      </c>
      <c r="K210">
        <v>52.59</v>
      </c>
      <c r="L210">
        <v>26.61</v>
      </c>
      <c r="M210">
        <f>Tabla2[[#This Row],[entrada_litros]]*Tabla2[[#This Row],[entrada_grasa_g_l]]/1000</f>
        <v>0</v>
      </c>
      <c r="N210">
        <f>Tabla2[[#This Row],[entrada_litros]]*Tabla2[[#This Row],[entrada_prot_g_l]]/1000</f>
        <v>0</v>
      </c>
      <c r="O210">
        <f>Tabla2[[#This Row],[cuba_fab_litros]]*Tabla2[[#This Row],[cuba_fab_grasa_g_l]]/1000</f>
        <v>183.59475</v>
      </c>
      <c r="P210">
        <f>Tabla2[[#This Row],[cuba_fab_litros]]*Tabla2[[#This Row],[cuba_fab_prot_g_l]]/1000</f>
        <v>157.97475</v>
      </c>
      <c r="Q210">
        <f>Tabla2[[#This Row],[queso_kg]]*Tabla2[[#This Row],[queso_est_pct]]/100</f>
        <v>276.98101200000002</v>
      </c>
      <c r="R210">
        <f>Tabla2[[#This Row],[queso_kg]]*Tabla2[[#This Row],[queso_mg_pct]]/100</f>
        <v>140.14954799999998</v>
      </c>
      <c r="S210">
        <f>_xlfn.ISOWEEKNUM(Tabla2[[#This Row],[fecha]])</f>
        <v>30</v>
      </c>
      <c r="T210">
        <v>30</v>
      </c>
    </row>
    <row r="211" spans="1:20" x14ac:dyDescent="0.25">
      <c r="A211" s="1">
        <v>45500</v>
      </c>
      <c r="M211">
        <f>Tabla2[[#This Row],[entrada_litros]]*Tabla2[[#This Row],[entrada_grasa_g_l]]/1000</f>
        <v>0</v>
      </c>
      <c r="N211">
        <f>Tabla2[[#This Row],[entrada_litros]]*Tabla2[[#This Row],[entrada_prot_g_l]]/1000</f>
        <v>0</v>
      </c>
      <c r="O211">
        <f>Tabla2[[#This Row],[cuba_fab_litros]]*Tabla2[[#This Row],[cuba_fab_grasa_g_l]]/1000</f>
        <v>0</v>
      </c>
      <c r="P211">
        <f>Tabla2[[#This Row],[cuba_fab_litros]]*Tabla2[[#This Row],[cuba_fab_prot_g_l]]/1000</f>
        <v>0</v>
      </c>
      <c r="Q211">
        <f>Tabla2[[#This Row],[queso_kg]]*Tabla2[[#This Row],[queso_est_pct]]/100</f>
        <v>0</v>
      </c>
      <c r="R211">
        <f>Tabla2[[#This Row],[queso_kg]]*Tabla2[[#This Row],[queso_mg_pct]]/100</f>
        <v>0</v>
      </c>
      <c r="S211">
        <f>_xlfn.ISOWEEKNUM(Tabla2[[#This Row],[fecha]])</f>
        <v>30</v>
      </c>
      <c r="T211">
        <v>30</v>
      </c>
    </row>
    <row r="212" spans="1:20" x14ac:dyDescent="0.25">
      <c r="A212" s="1">
        <v>45501</v>
      </c>
      <c r="B212">
        <v>5262</v>
      </c>
      <c r="C212">
        <v>5109</v>
      </c>
      <c r="D212">
        <v>41.47</v>
      </c>
      <c r="E212">
        <v>36.31</v>
      </c>
      <c r="I212">
        <v>5109</v>
      </c>
      <c r="M212">
        <f>Tabla2[[#This Row],[entrada_litros]]*Tabla2[[#This Row],[entrada_grasa_g_l]]/1000</f>
        <v>211.87022999999999</v>
      </c>
      <c r="N212">
        <f>Tabla2[[#This Row],[entrada_litros]]*Tabla2[[#This Row],[entrada_prot_g_l]]/1000</f>
        <v>185.50779</v>
      </c>
      <c r="O212">
        <f>Tabla2[[#This Row],[cuba_fab_litros]]*Tabla2[[#This Row],[cuba_fab_grasa_g_l]]/1000</f>
        <v>0</v>
      </c>
      <c r="P212">
        <f>Tabla2[[#This Row],[cuba_fab_litros]]*Tabla2[[#This Row],[cuba_fab_prot_g_l]]/1000</f>
        <v>0</v>
      </c>
      <c r="Q212">
        <f>Tabla2[[#This Row],[queso_kg]]*Tabla2[[#This Row],[queso_est_pct]]/100</f>
        <v>0</v>
      </c>
      <c r="R212">
        <f>Tabla2[[#This Row],[queso_kg]]*Tabla2[[#This Row],[queso_mg_pct]]/100</f>
        <v>0</v>
      </c>
      <c r="S212">
        <f>_xlfn.ISOWEEKNUM(Tabla2[[#This Row],[fecha]])</f>
        <v>30</v>
      </c>
      <c r="T212">
        <v>31</v>
      </c>
    </row>
    <row r="213" spans="1:20" x14ac:dyDescent="0.25">
      <c r="A213" s="1">
        <v>45502</v>
      </c>
      <c r="B213">
        <v>5057</v>
      </c>
      <c r="C213">
        <v>4910</v>
      </c>
      <c r="D213">
        <v>39.35</v>
      </c>
      <c r="E213">
        <v>35.020000000000003</v>
      </c>
      <c r="F213">
        <v>5034</v>
      </c>
      <c r="G213">
        <v>38.799999999999997</v>
      </c>
      <c r="H213">
        <v>34.090000000000003</v>
      </c>
      <c r="I213">
        <v>5019</v>
      </c>
      <c r="J213">
        <v>599.99</v>
      </c>
      <c r="K213">
        <v>50.83</v>
      </c>
      <c r="L213">
        <v>27.91</v>
      </c>
      <c r="M213">
        <f>Tabla2[[#This Row],[entrada_litros]]*Tabla2[[#This Row],[entrada_grasa_g_l]]/1000</f>
        <v>193.20849999999999</v>
      </c>
      <c r="N213">
        <f>Tabla2[[#This Row],[entrada_litros]]*Tabla2[[#This Row],[entrada_prot_g_l]]/1000</f>
        <v>171.94820000000001</v>
      </c>
      <c r="O213">
        <f>Tabla2[[#This Row],[cuba_fab_litros]]*Tabla2[[#This Row],[cuba_fab_grasa_g_l]]/1000</f>
        <v>195.3192</v>
      </c>
      <c r="P213">
        <f>Tabla2[[#This Row],[cuba_fab_litros]]*Tabla2[[#This Row],[cuba_fab_prot_g_l]]/1000</f>
        <v>171.60906000000003</v>
      </c>
      <c r="Q213">
        <f>Tabla2[[#This Row],[queso_kg]]*Tabla2[[#This Row],[queso_est_pct]]/100</f>
        <v>304.974917</v>
      </c>
      <c r="R213">
        <f>Tabla2[[#This Row],[queso_kg]]*Tabla2[[#This Row],[queso_mg_pct]]/100</f>
        <v>167.45720900000001</v>
      </c>
      <c r="S213">
        <f>_xlfn.ISOWEEKNUM(Tabla2[[#This Row],[fecha]])</f>
        <v>31</v>
      </c>
      <c r="T213">
        <v>31</v>
      </c>
    </row>
    <row r="214" spans="1:20" x14ac:dyDescent="0.25">
      <c r="A214" s="1">
        <v>45503</v>
      </c>
      <c r="B214">
        <v>5192</v>
      </c>
      <c r="C214">
        <v>5041</v>
      </c>
      <c r="D214">
        <v>41.73</v>
      </c>
      <c r="E214">
        <v>35.65</v>
      </c>
      <c r="F214">
        <v>5025</v>
      </c>
      <c r="G214">
        <v>39.56</v>
      </c>
      <c r="H214">
        <v>34.1</v>
      </c>
      <c r="I214">
        <v>5060</v>
      </c>
      <c r="J214">
        <v>600.88</v>
      </c>
      <c r="K214">
        <v>53.33</v>
      </c>
      <c r="L214">
        <v>26.97</v>
      </c>
      <c r="M214">
        <f>Tabla2[[#This Row],[entrada_litros]]*Tabla2[[#This Row],[entrada_grasa_g_l]]/1000</f>
        <v>210.36093</v>
      </c>
      <c r="N214">
        <f>Tabla2[[#This Row],[entrada_litros]]*Tabla2[[#This Row],[entrada_prot_g_l]]/1000</f>
        <v>179.71164999999999</v>
      </c>
      <c r="O214">
        <f>Tabla2[[#This Row],[cuba_fab_litros]]*Tabla2[[#This Row],[cuba_fab_grasa_g_l]]/1000</f>
        <v>198.78899999999999</v>
      </c>
      <c r="P214">
        <f>Tabla2[[#This Row],[cuba_fab_litros]]*Tabla2[[#This Row],[cuba_fab_prot_g_l]]/1000</f>
        <v>171.35249999999999</v>
      </c>
      <c r="Q214">
        <f>Tabla2[[#This Row],[queso_kg]]*Tabla2[[#This Row],[queso_est_pct]]/100</f>
        <v>320.44930399999998</v>
      </c>
      <c r="R214">
        <f>Tabla2[[#This Row],[queso_kg]]*Tabla2[[#This Row],[queso_mg_pct]]/100</f>
        <v>162.05733599999999</v>
      </c>
      <c r="S214">
        <f>_xlfn.ISOWEEKNUM(Tabla2[[#This Row],[fecha]])</f>
        <v>31</v>
      </c>
      <c r="T214">
        <v>31</v>
      </c>
    </row>
    <row r="215" spans="1:20" x14ac:dyDescent="0.25">
      <c r="A215" s="1">
        <v>45504</v>
      </c>
      <c r="B215">
        <v>4785</v>
      </c>
      <c r="C215">
        <v>4646</v>
      </c>
      <c r="D215">
        <v>44.9</v>
      </c>
      <c r="E215">
        <v>35.840000000000003</v>
      </c>
      <c r="F215">
        <v>5035</v>
      </c>
      <c r="G215">
        <v>41.03</v>
      </c>
      <c r="H215">
        <v>33.799999999999997</v>
      </c>
      <c r="I215">
        <v>4706</v>
      </c>
      <c r="J215">
        <v>595.55999999999995</v>
      </c>
      <c r="K215">
        <v>52.6</v>
      </c>
      <c r="L215">
        <v>26.67</v>
      </c>
      <c r="M215">
        <f>Tabla2[[#This Row],[entrada_litros]]*Tabla2[[#This Row],[entrada_grasa_g_l]]/1000</f>
        <v>208.6054</v>
      </c>
      <c r="N215">
        <f>Tabla2[[#This Row],[entrada_litros]]*Tabla2[[#This Row],[entrada_prot_g_l]]/1000</f>
        <v>166.51264</v>
      </c>
      <c r="O215">
        <f>Tabla2[[#This Row],[cuba_fab_litros]]*Tabla2[[#This Row],[cuba_fab_grasa_g_l]]/1000</f>
        <v>206.58605000000003</v>
      </c>
      <c r="P215">
        <f>Tabla2[[#This Row],[cuba_fab_litros]]*Tabla2[[#This Row],[cuba_fab_prot_g_l]]/1000</f>
        <v>170.18299999999999</v>
      </c>
      <c r="Q215">
        <f>Tabla2[[#This Row],[queso_kg]]*Tabla2[[#This Row],[queso_est_pct]]/100</f>
        <v>313.26455999999996</v>
      </c>
      <c r="R215">
        <f>Tabla2[[#This Row],[queso_kg]]*Tabla2[[#This Row],[queso_mg_pct]]/100</f>
        <v>158.83585199999999</v>
      </c>
      <c r="S215">
        <f>_xlfn.ISOWEEKNUM(Tabla2[[#This Row],[fecha]])</f>
        <v>31</v>
      </c>
      <c r="T215">
        <v>31</v>
      </c>
    </row>
    <row r="216" spans="1:20" x14ac:dyDescent="0.25">
      <c r="A216" s="1">
        <v>45505</v>
      </c>
      <c r="B216">
        <v>5128</v>
      </c>
      <c r="C216">
        <v>4979</v>
      </c>
      <c r="D216">
        <v>42.85</v>
      </c>
      <c r="E216">
        <v>34.19</v>
      </c>
      <c r="F216">
        <v>5027</v>
      </c>
      <c r="G216">
        <v>41.11</v>
      </c>
      <c r="H216">
        <v>33.35</v>
      </c>
      <c r="I216">
        <v>4685</v>
      </c>
      <c r="J216">
        <v>601.24</v>
      </c>
      <c r="K216">
        <v>49.78</v>
      </c>
      <c r="L216">
        <v>28.37</v>
      </c>
      <c r="M216">
        <f>Tabla2[[#This Row],[entrada_litros]]*Tabla2[[#This Row],[entrada_grasa_g_l]]/1000</f>
        <v>213.35014999999999</v>
      </c>
      <c r="N216">
        <f>Tabla2[[#This Row],[entrada_litros]]*Tabla2[[#This Row],[entrada_prot_g_l]]/1000</f>
        <v>170.23200999999997</v>
      </c>
      <c r="O216">
        <f>Tabla2[[#This Row],[cuba_fab_litros]]*Tabla2[[#This Row],[cuba_fab_grasa_g_l]]/1000</f>
        <v>206.65996999999999</v>
      </c>
      <c r="P216">
        <f>Tabla2[[#This Row],[cuba_fab_litros]]*Tabla2[[#This Row],[cuba_fab_prot_g_l]]/1000</f>
        <v>167.65045000000001</v>
      </c>
      <c r="Q216">
        <f>Tabla2[[#This Row],[queso_kg]]*Tabla2[[#This Row],[queso_est_pct]]/100</f>
        <v>299.29727200000002</v>
      </c>
      <c r="R216">
        <f>Tabla2[[#This Row],[queso_kg]]*Tabla2[[#This Row],[queso_mg_pct]]/100</f>
        <v>170.57178800000003</v>
      </c>
      <c r="S216">
        <f>_xlfn.ISOWEEKNUM(Tabla2[[#This Row],[fecha]])</f>
        <v>31</v>
      </c>
      <c r="T216">
        <v>31</v>
      </c>
    </row>
    <row r="217" spans="1:20" x14ac:dyDescent="0.25">
      <c r="A217" s="1">
        <v>45506</v>
      </c>
      <c r="F217">
        <v>4699</v>
      </c>
      <c r="G217">
        <v>40.840000000000003</v>
      </c>
      <c r="H217">
        <v>33.46</v>
      </c>
      <c r="J217">
        <v>553.71</v>
      </c>
      <c r="K217">
        <v>51.24</v>
      </c>
      <c r="L217">
        <v>26.28</v>
      </c>
      <c r="M217">
        <f>Tabla2[[#This Row],[entrada_litros]]*Tabla2[[#This Row],[entrada_grasa_g_l]]/1000</f>
        <v>0</v>
      </c>
      <c r="N217">
        <f>Tabla2[[#This Row],[entrada_litros]]*Tabla2[[#This Row],[entrada_prot_g_l]]/1000</f>
        <v>0</v>
      </c>
      <c r="O217">
        <f>Tabla2[[#This Row],[cuba_fab_litros]]*Tabla2[[#This Row],[cuba_fab_grasa_g_l]]/1000</f>
        <v>191.90716</v>
      </c>
      <c r="P217">
        <f>Tabla2[[#This Row],[cuba_fab_litros]]*Tabla2[[#This Row],[cuba_fab_prot_g_l]]/1000</f>
        <v>157.22854000000001</v>
      </c>
      <c r="Q217">
        <f>Tabla2[[#This Row],[queso_kg]]*Tabla2[[#This Row],[queso_est_pct]]/100</f>
        <v>283.72100400000005</v>
      </c>
      <c r="R217">
        <f>Tabla2[[#This Row],[queso_kg]]*Tabla2[[#This Row],[queso_mg_pct]]/100</f>
        <v>145.51498800000002</v>
      </c>
      <c r="S217">
        <f>_xlfn.ISOWEEKNUM(Tabla2[[#This Row],[fecha]])</f>
        <v>31</v>
      </c>
      <c r="T217">
        <v>31</v>
      </c>
    </row>
    <row r="218" spans="1:20" x14ac:dyDescent="0.25">
      <c r="A218" s="1">
        <v>45507</v>
      </c>
      <c r="M218">
        <f>Tabla2[[#This Row],[entrada_litros]]*Tabla2[[#This Row],[entrada_grasa_g_l]]/1000</f>
        <v>0</v>
      </c>
      <c r="N218">
        <f>Tabla2[[#This Row],[entrada_litros]]*Tabla2[[#This Row],[entrada_prot_g_l]]/1000</f>
        <v>0</v>
      </c>
      <c r="O218">
        <f>Tabla2[[#This Row],[cuba_fab_litros]]*Tabla2[[#This Row],[cuba_fab_grasa_g_l]]/1000</f>
        <v>0</v>
      </c>
      <c r="P218">
        <f>Tabla2[[#This Row],[cuba_fab_litros]]*Tabla2[[#This Row],[cuba_fab_prot_g_l]]/1000</f>
        <v>0</v>
      </c>
      <c r="Q218">
        <f>Tabla2[[#This Row],[queso_kg]]*Tabla2[[#This Row],[queso_est_pct]]/100</f>
        <v>0</v>
      </c>
      <c r="R218">
        <f>Tabla2[[#This Row],[queso_kg]]*Tabla2[[#This Row],[queso_mg_pct]]/100</f>
        <v>0</v>
      </c>
      <c r="S218">
        <f>_xlfn.ISOWEEKNUM(Tabla2[[#This Row],[fecha]])</f>
        <v>31</v>
      </c>
      <c r="T218">
        <v>31</v>
      </c>
    </row>
    <row r="219" spans="1:20" x14ac:dyDescent="0.25">
      <c r="A219" s="1">
        <v>45508</v>
      </c>
      <c r="B219">
        <v>4670</v>
      </c>
      <c r="C219">
        <v>4534</v>
      </c>
      <c r="D219">
        <v>41.69</v>
      </c>
      <c r="E219">
        <v>36.81</v>
      </c>
      <c r="I219">
        <v>4534</v>
      </c>
      <c r="M219">
        <f>Tabla2[[#This Row],[entrada_litros]]*Tabla2[[#This Row],[entrada_grasa_g_l]]/1000</f>
        <v>189.02246</v>
      </c>
      <c r="N219">
        <f>Tabla2[[#This Row],[entrada_litros]]*Tabla2[[#This Row],[entrada_prot_g_l]]/1000</f>
        <v>166.89654000000002</v>
      </c>
      <c r="O219">
        <f>Tabla2[[#This Row],[cuba_fab_litros]]*Tabla2[[#This Row],[cuba_fab_grasa_g_l]]/1000</f>
        <v>0</v>
      </c>
      <c r="P219">
        <f>Tabla2[[#This Row],[cuba_fab_litros]]*Tabla2[[#This Row],[cuba_fab_prot_g_l]]/1000</f>
        <v>0</v>
      </c>
      <c r="Q219">
        <f>Tabla2[[#This Row],[queso_kg]]*Tabla2[[#This Row],[queso_est_pct]]/100</f>
        <v>0</v>
      </c>
      <c r="R219">
        <f>Tabla2[[#This Row],[queso_kg]]*Tabla2[[#This Row],[queso_mg_pct]]/100</f>
        <v>0</v>
      </c>
      <c r="S219">
        <f>_xlfn.ISOWEEKNUM(Tabla2[[#This Row],[fecha]])</f>
        <v>31</v>
      </c>
      <c r="T219">
        <v>32</v>
      </c>
    </row>
    <row r="220" spans="1:20" x14ac:dyDescent="0.25">
      <c r="A220" s="1">
        <v>45509</v>
      </c>
      <c r="B220">
        <v>5222</v>
      </c>
      <c r="C220">
        <v>5070</v>
      </c>
      <c r="D220">
        <v>41.7</v>
      </c>
      <c r="E220">
        <v>34.380000000000003</v>
      </c>
      <c r="F220">
        <v>5023</v>
      </c>
      <c r="G220">
        <v>40.06</v>
      </c>
      <c r="H220">
        <v>33.79</v>
      </c>
      <c r="I220">
        <v>4604</v>
      </c>
      <c r="J220">
        <v>590.21</v>
      </c>
      <c r="K220">
        <v>50.05</v>
      </c>
      <c r="L220">
        <v>27.37</v>
      </c>
      <c r="M220">
        <f>Tabla2[[#This Row],[entrada_litros]]*Tabla2[[#This Row],[entrada_grasa_g_l]]/1000</f>
        <v>211.41900000000001</v>
      </c>
      <c r="N220">
        <f>Tabla2[[#This Row],[entrada_litros]]*Tabla2[[#This Row],[entrada_prot_g_l]]/1000</f>
        <v>174.3066</v>
      </c>
      <c r="O220">
        <f>Tabla2[[#This Row],[cuba_fab_litros]]*Tabla2[[#This Row],[cuba_fab_grasa_g_l]]/1000</f>
        <v>201.22138000000001</v>
      </c>
      <c r="P220">
        <f>Tabla2[[#This Row],[cuba_fab_litros]]*Tabla2[[#This Row],[cuba_fab_prot_g_l]]/1000</f>
        <v>169.72716999999997</v>
      </c>
      <c r="Q220">
        <f>Tabla2[[#This Row],[queso_kg]]*Tabla2[[#This Row],[queso_est_pct]]/100</f>
        <v>295.400105</v>
      </c>
      <c r="R220">
        <f>Tabla2[[#This Row],[queso_kg]]*Tabla2[[#This Row],[queso_mg_pct]]/100</f>
        <v>161.54047700000001</v>
      </c>
      <c r="S220">
        <f>_xlfn.ISOWEEKNUM(Tabla2[[#This Row],[fecha]])</f>
        <v>32</v>
      </c>
      <c r="T220">
        <v>32</v>
      </c>
    </row>
    <row r="221" spans="1:20" x14ac:dyDescent="0.25">
      <c r="A221" s="1">
        <v>45510</v>
      </c>
      <c r="B221">
        <v>4519</v>
      </c>
      <c r="C221">
        <v>4387</v>
      </c>
      <c r="D221">
        <v>36.71</v>
      </c>
      <c r="E221">
        <v>35.26</v>
      </c>
      <c r="F221">
        <v>5026</v>
      </c>
      <c r="G221">
        <v>37.6</v>
      </c>
      <c r="H221">
        <v>33.76</v>
      </c>
      <c r="I221">
        <v>3991</v>
      </c>
      <c r="J221">
        <v>591.38</v>
      </c>
      <c r="K221">
        <v>52.21</v>
      </c>
      <c r="L221">
        <v>26.65</v>
      </c>
      <c r="M221">
        <f>Tabla2[[#This Row],[entrada_litros]]*Tabla2[[#This Row],[entrada_grasa_g_l]]/1000</f>
        <v>161.04676999999998</v>
      </c>
      <c r="N221">
        <f>Tabla2[[#This Row],[entrada_litros]]*Tabla2[[#This Row],[entrada_prot_g_l]]/1000</f>
        <v>154.68562</v>
      </c>
      <c r="O221">
        <f>Tabla2[[#This Row],[cuba_fab_litros]]*Tabla2[[#This Row],[cuba_fab_grasa_g_l]]/1000</f>
        <v>188.9776</v>
      </c>
      <c r="P221">
        <f>Tabla2[[#This Row],[cuba_fab_litros]]*Tabla2[[#This Row],[cuba_fab_prot_g_l]]/1000</f>
        <v>169.67775999999998</v>
      </c>
      <c r="Q221">
        <f>Tabla2[[#This Row],[queso_kg]]*Tabla2[[#This Row],[queso_est_pct]]/100</f>
        <v>308.75949800000001</v>
      </c>
      <c r="R221">
        <f>Tabla2[[#This Row],[queso_kg]]*Tabla2[[#This Row],[queso_mg_pct]]/100</f>
        <v>157.60276999999999</v>
      </c>
      <c r="S221">
        <f>_xlfn.ISOWEEKNUM(Tabla2[[#This Row],[fecha]])</f>
        <v>32</v>
      </c>
      <c r="T221">
        <v>32</v>
      </c>
    </row>
    <row r="222" spans="1:20" x14ac:dyDescent="0.25">
      <c r="A222" s="1">
        <v>45511</v>
      </c>
      <c r="B222">
        <v>4879</v>
      </c>
      <c r="C222">
        <v>4737</v>
      </c>
      <c r="D222">
        <v>43.35</v>
      </c>
      <c r="E222">
        <v>36.340000000000003</v>
      </c>
      <c r="F222">
        <v>5022</v>
      </c>
      <c r="G222">
        <v>39.68</v>
      </c>
      <c r="H222">
        <v>34.08</v>
      </c>
      <c r="I222">
        <v>3728</v>
      </c>
      <c r="J222">
        <v>578.76</v>
      </c>
      <c r="K222">
        <v>52.29</v>
      </c>
      <c r="L222">
        <v>27.81</v>
      </c>
      <c r="M222">
        <f>Tabla2[[#This Row],[entrada_litros]]*Tabla2[[#This Row],[entrada_grasa_g_l]]/1000</f>
        <v>205.34895</v>
      </c>
      <c r="N222">
        <f>Tabla2[[#This Row],[entrada_litros]]*Tabla2[[#This Row],[entrada_prot_g_l]]/1000</f>
        <v>172.14258000000001</v>
      </c>
      <c r="O222">
        <f>Tabla2[[#This Row],[cuba_fab_litros]]*Tabla2[[#This Row],[cuba_fab_grasa_g_l]]/1000</f>
        <v>199.27295999999998</v>
      </c>
      <c r="P222">
        <f>Tabla2[[#This Row],[cuba_fab_litros]]*Tabla2[[#This Row],[cuba_fab_prot_g_l]]/1000</f>
        <v>171.14975999999999</v>
      </c>
      <c r="Q222">
        <f>Tabla2[[#This Row],[queso_kg]]*Tabla2[[#This Row],[queso_est_pct]]/100</f>
        <v>302.63360399999999</v>
      </c>
      <c r="R222">
        <f>Tabla2[[#This Row],[queso_kg]]*Tabla2[[#This Row],[queso_mg_pct]]/100</f>
        <v>160.95315600000001</v>
      </c>
      <c r="S222">
        <f>_xlfn.ISOWEEKNUM(Tabla2[[#This Row],[fecha]])</f>
        <v>32</v>
      </c>
      <c r="T222">
        <v>32</v>
      </c>
    </row>
    <row r="223" spans="1:20" x14ac:dyDescent="0.25">
      <c r="A223" s="1">
        <v>45512</v>
      </c>
      <c r="B223">
        <v>4566</v>
      </c>
      <c r="C223">
        <v>4433</v>
      </c>
      <c r="D223">
        <v>44.21</v>
      </c>
      <c r="E223">
        <v>35.369999999999997</v>
      </c>
      <c r="F223">
        <v>5031</v>
      </c>
      <c r="G223">
        <v>41</v>
      </c>
      <c r="H223">
        <v>33.99</v>
      </c>
      <c r="I223">
        <v>3161</v>
      </c>
      <c r="J223">
        <v>602.29</v>
      </c>
      <c r="K223">
        <v>51.88</v>
      </c>
      <c r="L223">
        <v>26.24</v>
      </c>
      <c r="M223">
        <f>Tabla2[[#This Row],[entrada_litros]]*Tabla2[[#This Row],[entrada_grasa_g_l]]/1000</f>
        <v>195.98292999999998</v>
      </c>
      <c r="N223">
        <f>Tabla2[[#This Row],[entrada_litros]]*Tabla2[[#This Row],[entrada_prot_g_l]]/1000</f>
        <v>156.79521</v>
      </c>
      <c r="O223">
        <f>Tabla2[[#This Row],[cuba_fab_litros]]*Tabla2[[#This Row],[cuba_fab_grasa_g_l]]/1000</f>
        <v>206.27099999999999</v>
      </c>
      <c r="P223">
        <f>Tabla2[[#This Row],[cuba_fab_litros]]*Tabla2[[#This Row],[cuba_fab_prot_g_l]]/1000</f>
        <v>171.00369000000001</v>
      </c>
      <c r="Q223">
        <f>Tabla2[[#This Row],[queso_kg]]*Tabla2[[#This Row],[queso_est_pct]]/100</f>
        <v>312.468052</v>
      </c>
      <c r="R223">
        <f>Tabla2[[#This Row],[queso_kg]]*Tabla2[[#This Row],[queso_mg_pct]]/100</f>
        <v>158.04089599999998</v>
      </c>
      <c r="S223">
        <f>_xlfn.ISOWEEKNUM(Tabla2[[#This Row],[fecha]])</f>
        <v>32</v>
      </c>
      <c r="T223">
        <v>32</v>
      </c>
    </row>
    <row r="224" spans="1:20" x14ac:dyDescent="0.25">
      <c r="A224" s="1">
        <v>45513</v>
      </c>
      <c r="F224">
        <v>3171</v>
      </c>
      <c r="G224">
        <v>41.12</v>
      </c>
      <c r="H224">
        <v>34.14</v>
      </c>
      <c r="J224">
        <v>361.26</v>
      </c>
      <c r="K224">
        <v>51.01</v>
      </c>
      <c r="L224">
        <v>27.51</v>
      </c>
      <c r="M224">
        <f>Tabla2[[#This Row],[entrada_litros]]*Tabla2[[#This Row],[entrada_grasa_g_l]]/1000</f>
        <v>0</v>
      </c>
      <c r="N224">
        <f>Tabla2[[#This Row],[entrada_litros]]*Tabla2[[#This Row],[entrada_prot_g_l]]/1000</f>
        <v>0</v>
      </c>
      <c r="O224">
        <f>Tabla2[[#This Row],[cuba_fab_litros]]*Tabla2[[#This Row],[cuba_fab_grasa_g_l]]/1000</f>
        <v>130.39151999999999</v>
      </c>
      <c r="P224">
        <f>Tabla2[[#This Row],[cuba_fab_litros]]*Tabla2[[#This Row],[cuba_fab_prot_g_l]]/1000</f>
        <v>108.25794</v>
      </c>
      <c r="Q224">
        <f>Tabla2[[#This Row],[queso_kg]]*Tabla2[[#This Row],[queso_est_pct]]/100</f>
        <v>184.27872599999998</v>
      </c>
      <c r="R224">
        <f>Tabla2[[#This Row],[queso_kg]]*Tabla2[[#This Row],[queso_mg_pct]]/100</f>
        <v>99.382626000000002</v>
      </c>
      <c r="S224">
        <f>_xlfn.ISOWEEKNUM(Tabla2[[#This Row],[fecha]])</f>
        <v>32</v>
      </c>
      <c r="T224">
        <v>32</v>
      </c>
    </row>
    <row r="225" spans="1:20" x14ac:dyDescent="0.25">
      <c r="A225" s="1">
        <v>45514</v>
      </c>
      <c r="M225">
        <f>Tabla2[[#This Row],[entrada_litros]]*Tabla2[[#This Row],[entrada_grasa_g_l]]/1000</f>
        <v>0</v>
      </c>
      <c r="N225">
        <f>Tabla2[[#This Row],[entrada_litros]]*Tabla2[[#This Row],[entrada_prot_g_l]]/1000</f>
        <v>0</v>
      </c>
      <c r="O225">
        <f>Tabla2[[#This Row],[cuba_fab_litros]]*Tabla2[[#This Row],[cuba_fab_grasa_g_l]]/1000</f>
        <v>0</v>
      </c>
      <c r="P225">
        <f>Tabla2[[#This Row],[cuba_fab_litros]]*Tabla2[[#This Row],[cuba_fab_prot_g_l]]/1000</f>
        <v>0</v>
      </c>
      <c r="Q225">
        <f>Tabla2[[#This Row],[queso_kg]]*Tabla2[[#This Row],[queso_est_pct]]/100</f>
        <v>0</v>
      </c>
      <c r="R225">
        <f>Tabla2[[#This Row],[queso_kg]]*Tabla2[[#This Row],[queso_mg_pct]]/100</f>
        <v>0</v>
      </c>
      <c r="S225">
        <f>_xlfn.ISOWEEKNUM(Tabla2[[#This Row],[fecha]])</f>
        <v>32</v>
      </c>
      <c r="T225">
        <v>32</v>
      </c>
    </row>
    <row r="226" spans="1:20" x14ac:dyDescent="0.25">
      <c r="A226" s="1">
        <v>45515</v>
      </c>
      <c r="B226">
        <v>5115</v>
      </c>
      <c r="C226">
        <v>4966</v>
      </c>
      <c r="D226">
        <v>41.7</v>
      </c>
      <c r="E226">
        <v>37.24</v>
      </c>
      <c r="I226">
        <v>4966</v>
      </c>
      <c r="M226">
        <f>Tabla2[[#This Row],[entrada_litros]]*Tabla2[[#This Row],[entrada_grasa_g_l]]/1000</f>
        <v>207.0822</v>
      </c>
      <c r="N226">
        <f>Tabla2[[#This Row],[entrada_litros]]*Tabla2[[#This Row],[entrada_prot_g_l]]/1000</f>
        <v>184.93384</v>
      </c>
      <c r="O226">
        <f>Tabla2[[#This Row],[cuba_fab_litros]]*Tabla2[[#This Row],[cuba_fab_grasa_g_l]]/1000</f>
        <v>0</v>
      </c>
      <c r="P226">
        <f>Tabla2[[#This Row],[cuba_fab_litros]]*Tabla2[[#This Row],[cuba_fab_prot_g_l]]/1000</f>
        <v>0</v>
      </c>
      <c r="Q226">
        <f>Tabla2[[#This Row],[queso_kg]]*Tabla2[[#This Row],[queso_est_pct]]/100</f>
        <v>0</v>
      </c>
      <c r="R226">
        <f>Tabla2[[#This Row],[queso_kg]]*Tabla2[[#This Row],[queso_mg_pct]]/100</f>
        <v>0</v>
      </c>
      <c r="S226">
        <f>_xlfn.ISOWEEKNUM(Tabla2[[#This Row],[fecha]])</f>
        <v>32</v>
      </c>
      <c r="T226">
        <v>33</v>
      </c>
    </row>
    <row r="227" spans="1:20" x14ac:dyDescent="0.25">
      <c r="A227" s="1">
        <v>45516</v>
      </c>
      <c r="B227">
        <v>5306</v>
      </c>
      <c r="C227">
        <v>5151</v>
      </c>
      <c r="D227">
        <v>41.95</v>
      </c>
      <c r="E227">
        <v>35.07</v>
      </c>
      <c r="F227">
        <v>5027</v>
      </c>
      <c r="G227">
        <v>39.880000000000003</v>
      </c>
      <c r="H227">
        <v>34.5</v>
      </c>
      <c r="I227">
        <v>5117</v>
      </c>
      <c r="J227">
        <v>602.75</v>
      </c>
      <c r="K227">
        <v>54.61</v>
      </c>
      <c r="L227">
        <v>26.9</v>
      </c>
      <c r="M227">
        <f>Tabla2[[#This Row],[entrada_litros]]*Tabla2[[#This Row],[entrada_grasa_g_l]]/1000</f>
        <v>216.08445</v>
      </c>
      <c r="N227">
        <f>Tabla2[[#This Row],[entrada_litros]]*Tabla2[[#This Row],[entrada_prot_g_l]]/1000</f>
        <v>180.64557000000002</v>
      </c>
      <c r="O227">
        <f>Tabla2[[#This Row],[cuba_fab_litros]]*Tabla2[[#This Row],[cuba_fab_grasa_g_l]]/1000</f>
        <v>200.47676000000001</v>
      </c>
      <c r="P227">
        <f>Tabla2[[#This Row],[cuba_fab_litros]]*Tabla2[[#This Row],[cuba_fab_prot_g_l]]/1000</f>
        <v>173.4315</v>
      </c>
      <c r="Q227">
        <f>Tabla2[[#This Row],[queso_kg]]*Tabla2[[#This Row],[queso_est_pct]]/100</f>
        <v>329.16177499999998</v>
      </c>
      <c r="R227">
        <f>Tabla2[[#This Row],[queso_kg]]*Tabla2[[#This Row],[queso_mg_pct]]/100</f>
        <v>162.13974999999999</v>
      </c>
      <c r="S227">
        <f>_xlfn.ISOWEEKNUM(Tabla2[[#This Row],[fecha]])</f>
        <v>33</v>
      </c>
      <c r="T227">
        <v>33</v>
      </c>
    </row>
    <row r="228" spans="1:20" x14ac:dyDescent="0.25">
      <c r="A228" s="1">
        <v>45517</v>
      </c>
      <c r="B228">
        <v>5144</v>
      </c>
      <c r="C228">
        <v>4994</v>
      </c>
      <c r="D228">
        <v>43.01</v>
      </c>
      <c r="E228">
        <v>35.79</v>
      </c>
      <c r="F228">
        <v>5026</v>
      </c>
      <c r="G228">
        <v>40.380000000000003</v>
      </c>
      <c r="H228">
        <v>34.21</v>
      </c>
      <c r="I228">
        <v>5111</v>
      </c>
      <c r="J228">
        <v>575.45000000000005</v>
      </c>
      <c r="K228">
        <v>51.96</v>
      </c>
      <c r="L228">
        <v>28.21</v>
      </c>
      <c r="M228">
        <f>Tabla2[[#This Row],[entrada_litros]]*Tabla2[[#This Row],[entrada_grasa_g_l]]/1000</f>
        <v>214.79194000000001</v>
      </c>
      <c r="N228">
        <f>Tabla2[[#This Row],[entrada_litros]]*Tabla2[[#This Row],[entrada_prot_g_l]]/1000</f>
        <v>178.73526000000001</v>
      </c>
      <c r="O228">
        <f>Tabla2[[#This Row],[cuba_fab_litros]]*Tabla2[[#This Row],[cuba_fab_grasa_g_l]]/1000</f>
        <v>202.94988000000001</v>
      </c>
      <c r="P228">
        <f>Tabla2[[#This Row],[cuba_fab_litros]]*Tabla2[[#This Row],[cuba_fab_prot_g_l]]/1000</f>
        <v>171.93946</v>
      </c>
      <c r="Q228">
        <f>Tabla2[[#This Row],[queso_kg]]*Tabla2[[#This Row],[queso_est_pct]]/100</f>
        <v>299.00382000000002</v>
      </c>
      <c r="R228">
        <f>Tabla2[[#This Row],[queso_kg]]*Tabla2[[#This Row],[queso_mg_pct]]/100</f>
        <v>162.33444500000002</v>
      </c>
      <c r="S228">
        <f>_xlfn.ISOWEEKNUM(Tabla2[[#This Row],[fecha]])</f>
        <v>33</v>
      </c>
      <c r="T228">
        <v>33</v>
      </c>
    </row>
    <row r="229" spans="1:20" x14ac:dyDescent="0.25">
      <c r="A229" s="1">
        <v>45518</v>
      </c>
      <c r="B229">
        <v>5006</v>
      </c>
      <c r="C229">
        <v>4860</v>
      </c>
      <c r="D229">
        <v>41.61</v>
      </c>
      <c r="E229">
        <v>34.14</v>
      </c>
      <c r="F229">
        <v>5020</v>
      </c>
      <c r="G229">
        <v>40.159999999999997</v>
      </c>
      <c r="H229">
        <v>33.549999999999997</v>
      </c>
      <c r="I229">
        <v>4971</v>
      </c>
      <c r="J229">
        <v>577.34</v>
      </c>
      <c r="K229">
        <v>52.53</v>
      </c>
      <c r="L229">
        <v>27.45</v>
      </c>
      <c r="M229">
        <f>Tabla2[[#This Row],[entrada_litros]]*Tabla2[[#This Row],[entrada_grasa_g_l]]/1000</f>
        <v>202.22460000000001</v>
      </c>
      <c r="N229">
        <f>Tabla2[[#This Row],[entrada_litros]]*Tabla2[[#This Row],[entrada_prot_g_l]]/1000</f>
        <v>165.9204</v>
      </c>
      <c r="O229">
        <f>Tabla2[[#This Row],[cuba_fab_litros]]*Tabla2[[#This Row],[cuba_fab_grasa_g_l]]/1000</f>
        <v>201.60319999999999</v>
      </c>
      <c r="P229">
        <f>Tabla2[[#This Row],[cuba_fab_litros]]*Tabla2[[#This Row],[cuba_fab_prot_g_l]]/1000</f>
        <v>168.42099999999999</v>
      </c>
      <c r="Q229">
        <f>Tabla2[[#This Row],[queso_kg]]*Tabla2[[#This Row],[queso_est_pct]]/100</f>
        <v>303.27670200000006</v>
      </c>
      <c r="R229">
        <f>Tabla2[[#This Row],[queso_kg]]*Tabla2[[#This Row],[queso_mg_pct]]/100</f>
        <v>158.47982999999999</v>
      </c>
      <c r="S229">
        <f>_xlfn.ISOWEEKNUM(Tabla2[[#This Row],[fecha]])</f>
        <v>33</v>
      </c>
      <c r="T229">
        <v>33</v>
      </c>
    </row>
    <row r="230" spans="1:20" x14ac:dyDescent="0.25">
      <c r="A230" s="1">
        <v>45519</v>
      </c>
      <c r="B230">
        <v>5145</v>
      </c>
      <c r="C230">
        <v>4995</v>
      </c>
      <c r="D230">
        <v>44.67</v>
      </c>
      <c r="E230">
        <v>36.15</v>
      </c>
      <c r="F230">
        <v>5018</v>
      </c>
      <c r="G230">
        <v>41.16</v>
      </c>
      <c r="H230">
        <v>34.26</v>
      </c>
      <c r="I230">
        <v>4966</v>
      </c>
      <c r="J230">
        <v>601.83000000000004</v>
      </c>
      <c r="K230">
        <v>50.84</v>
      </c>
      <c r="L230">
        <v>27.5</v>
      </c>
      <c r="M230">
        <f>Tabla2[[#This Row],[entrada_litros]]*Tabla2[[#This Row],[entrada_grasa_g_l]]/1000</f>
        <v>223.12664999999998</v>
      </c>
      <c r="N230">
        <f>Tabla2[[#This Row],[entrada_litros]]*Tabla2[[#This Row],[entrada_prot_g_l]]/1000</f>
        <v>180.56925000000001</v>
      </c>
      <c r="O230">
        <f>Tabla2[[#This Row],[cuba_fab_litros]]*Tabla2[[#This Row],[cuba_fab_grasa_g_l]]/1000</f>
        <v>206.54087999999999</v>
      </c>
      <c r="P230">
        <f>Tabla2[[#This Row],[cuba_fab_litros]]*Tabla2[[#This Row],[cuba_fab_prot_g_l]]/1000</f>
        <v>171.91667999999999</v>
      </c>
      <c r="Q230">
        <f>Tabla2[[#This Row],[queso_kg]]*Tabla2[[#This Row],[queso_est_pct]]/100</f>
        <v>305.970372</v>
      </c>
      <c r="R230">
        <f>Tabla2[[#This Row],[queso_kg]]*Tabla2[[#This Row],[queso_mg_pct]]/100</f>
        <v>165.50325000000001</v>
      </c>
      <c r="S230">
        <f>_xlfn.ISOWEEKNUM(Tabla2[[#This Row],[fecha]])</f>
        <v>33</v>
      </c>
      <c r="T230">
        <v>33</v>
      </c>
    </row>
    <row r="231" spans="1:20" x14ac:dyDescent="0.25">
      <c r="A231" s="1">
        <v>45520</v>
      </c>
      <c r="F231">
        <v>4989</v>
      </c>
      <c r="G231">
        <v>41.52</v>
      </c>
      <c r="H231">
        <v>34.32</v>
      </c>
      <c r="J231">
        <v>592.71</v>
      </c>
      <c r="K231">
        <v>52.74</v>
      </c>
      <c r="L231">
        <v>25.81</v>
      </c>
      <c r="M231">
        <f>Tabla2[[#This Row],[entrada_litros]]*Tabla2[[#This Row],[entrada_grasa_g_l]]/1000</f>
        <v>0</v>
      </c>
      <c r="N231">
        <f>Tabla2[[#This Row],[entrada_litros]]*Tabla2[[#This Row],[entrada_prot_g_l]]/1000</f>
        <v>0</v>
      </c>
      <c r="O231">
        <f>Tabla2[[#This Row],[cuba_fab_litros]]*Tabla2[[#This Row],[cuba_fab_grasa_g_l]]/1000</f>
        <v>207.14328000000003</v>
      </c>
      <c r="P231">
        <f>Tabla2[[#This Row],[cuba_fab_litros]]*Tabla2[[#This Row],[cuba_fab_prot_g_l]]/1000</f>
        <v>171.22248000000002</v>
      </c>
      <c r="Q231">
        <f>Tabla2[[#This Row],[queso_kg]]*Tabla2[[#This Row],[queso_est_pct]]/100</f>
        <v>312.59525400000001</v>
      </c>
      <c r="R231">
        <f>Tabla2[[#This Row],[queso_kg]]*Tabla2[[#This Row],[queso_mg_pct]]/100</f>
        <v>152.97845100000001</v>
      </c>
      <c r="S231">
        <f>_xlfn.ISOWEEKNUM(Tabla2[[#This Row],[fecha]])</f>
        <v>33</v>
      </c>
      <c r="T231">
        <v>33</v>
      </c>
    </row>
    <row r="232" spans="1:20" x14ac:dyDescent="0.25">
      <c r="A232" s="1">
        <v>45521</v>
      </c>
      <c r="M232">
        <f>Tabla2[[#This Row],[entrada_litros]]*Tabla2[[#This Row],[entrada_grasa_g_l]]/1000</f>
        <v>0</v>
      </c>
      <c r="N232">
        <f>Tabla2[[#This Row],[entrada_litros]]*Tabla2[[#This Row],[entrada_prot_g_l]]/1000</f>
        <v>0</v>
      </c>
      <c r="O232">
        <f>Tabla2[[#This Row],[cuba_fab_litros]]*Tabla2[[#This Row],[cuba_fab_grasa_g_l]]/1000</f>
        <v>0</v>
      </c>
      <c r="P232">
        <f>Tabla2[[#This Row],[cuba_fab_litros]]*Tabla2[[#This Row],[cuba_fab_prot_g_l]]/1000</f>
        <v>0</v>
      </c>
      <c r="Q232">
        <f>Tabla2[[#This Row],[queso_kg]]*Tabla2[[#This Row],[queso_est_pct]]/100</f>
        <v>0</v>
      </c>
      <c r="R232">
        <f>Tabla2[[#This Row],[queso_kg]]*Tabla2[[#This Row],[queso_mg_pct]]/100</f>
        <v>0</v>
      </c>
      <c r="S232">
        <f>_xlfn.ISOWEEKNUM(Tabla2[[#This Row],[fecha]])</f>
        <v>33</v>
      </c>
      <c r="T232">
        <v>33</v>
      </c>
    </row>
    <row r="233" spans="1:20" x14ac:dyDescent="0.25">
      <c r="A233" s="1">
        <v>45522</v>
      </c>
      <c r="B233">
        <v>5067</v>
      </c>
      <c r="C233">
        <v>4919</v>
      </c>
      <c r="D233">
        <v>43.43</v>
      </c>
      <c r="E233">
        <v>35.1</v>
      </c>
      <c r="I233">
        <v>4919</v>
      </c>
      <c r="M233">
        <f>Tabla2[[#This Row],[entrada_litros]]*Tabla2[[#This Row],[entrada_grasa_g_l]]/1000</f>
        <v>213.63217</v>
      </c>
      <c r="N233">
        <f>Tabla2[[#This Row],[entrada_litros]]*Tabla2[[#This Row],[entrada_prot_g_l]]/1000</f>
        <v>172.65690000000001</v>
      </c>
      <c r="O233">
        <f>Tabla2[[#This Row],[cuba_fab_litros]]*Tabla2[[#This Row],[cuba_fab_grasa_g_l]]/1000</f>
        <v>0</v>
      </c>
      <c r="P233">
        <f>Tabla2[[#This Row],[cuba_fab_litros]]*Tabla2[[#This Row],[cuba_fab_prot_g_l]]/1000</f>
        <v>0</v>
      </c>
      <c r="Q233">
        <f>Tabla2[[#This Row],[queso_kg]]*Tabla2[[#This Row],[queso_est_pct]]/100</f>
        <v>0</v>
      </c>
      <c r="R233">
        <f>Tabla2[[#This Row],[queso_kg]]*Tabla2[[#This Row],[queso_mg_pct]]/100</f>
        <v>0</v>
      </c>
      <c r="S233">
        <f>_xlfn.ISOWEEKNUM(Tabla2[[#This Row],[fecha]])</f>
        <v>33</v>
      </c>
      <c r="T233">
        <v>34</v>
      </c>
    </row>
    <row r="234" spans="1:20" x14ac:dyDescent="0.25">
      <c r="A234" s="1">
        <v>45523</v>
      </c>
      <c r="B234">
        <v>5509</v>
      </c>
      <c r="C234">
        <v>5349</v>
      </c>
      <c r="D234">
        <v>39.770000000000003</v>
      </c>
      <c r="E234">
        <v>36.72</v>
      </c>
      <c r="F234">
        <v>5028</v>
      </c>
      <c r="G234">
        <v>39.409999999999997</v>
      </c>
      <c r="H234">
        <v>34.299999999999997</v>
      </c>
      <c r="I234">
        <v>5268</v>
      </c>
      <c r="J234">
        <v>588.02</v>
      </c>
      <c r="K234">
        <v>53.13</v>
      </c>
      <c r="L234">
        <v>28.82</v>
      </c>
      <c r="M234">
        <f>Tabla2[[#This Row],[entrada_litros]]*Tabla2[[#This Row],[entrada_grasa_g_l]]/1000</f>
        <v>212.72973000000002</v>
      </c>
      <c r="N234">
        <f>Tabla2[[#This Row],[entrada_litros]]*Tabla2[[#This Row],[entrada_prot_g_l]]/1000</f>
        <v>196.41528</v>
      </c>
      <c r="O234">
        <f>Tabla2[[#This Row],[cuba_fab_litros]]*Tabla2[[#This Row],[cuba_fab_grasa_g_l]]/1000</f>
        <v>198.15347999999997</v>
      </c>
      <c r="P234">
        <f>Tabla2[[#This Row],[cuba_fab_litros]]*Tabla2[[#This Row],[cuba_fab_prot_g_l]]/1000</f>
        <v>172.46039999999999</v>
      </c>
      <c r="Q234">
        <f>Tabla2[[#This Row],[queso_kg]]*Tabla2[[#This Row],[queso_est_pct]]/100</f>
        <v>312.41502600000001</v>
      </c>
      <c r="R234">
        <f>Tabla2[[#This Row],[queso_kg]]*Tabla2[[#This Row],[queso_mg_pct]]/100</f>
        <v>169.46736399999998</v>
      </c>
      <c r="S234">
        <f>_xlfn.ISOWEEKNUM(Tabla2[[#This Row],[fecha]])</f>
        <v>34</v>
      </c>
      <c r="T234">
        <v>34</v>
      </c>
    </row>
    <row r="235" spans="1:20" x14ac:dyDescent="0.25">
      <c r="A235" s="1">
        <v>45524</v>
      </c>
      <c r="B235">
        <v>5004</v>
      </c>
      <c r="C235">
        <v>4858</v>
      </c>
      <c r="D235">
        <v>44.39</v>
      </c>
      <c r="E235">
        <v>35.770000000000003</v>
      </c>
      <c r="F235">
        <v>5024</v>
      </c>
      <c r="G235">
        <v>40.880000000000003</v>
      </c>
      <c r="H235">
        <v>34.15</v>
      </c>
      <c r="I235">
        <v>5126</v>
      </c>
      <c r="J235">
        <v>601.29</v>
      </c>
      <c r="K235">
        <v>52.24</v>
      </c>
      <c r="L235">
        <v>26.8</v>
      </c>
      <c r="M235">
        <f>Tabla2[[#This Row],[entrada_litros]]*Tabla2[[#This Row],[entrada_grasa_g_l]]/1000</f>
        <v>215.64661999999998</v>
      </c>
      <c r="N235">
        <f>Tabla2[[#This Row],[entrada_litros]]*Tabla2[[#This Row],[entrada_prot_g_l]]/1000</f>
        <v>173.77065999999999</v>
      </c>
      <c r="O235">
        <f>Tabla2[[#This Row],[cuba_fab_litros]]*Tabla2[[#This Row],[cuba_fab_grasa_g_l]]/1000</f>
        <v>205.38112000000004</v>
      </c>
      <c r="P235">
        <f>Tabla2[[#This Row],[cuba_fab_litros]]*Tabla2[[#This Row],[cuba_fab_prot_g_l]]/1000</f>
        <v>171.56960000000001</v>
      </c>
      <c r="Q235">
        <f>Tabla2[[#This Row],[queso_kg]]*Tabla2[[#This Row],[queso_est_pct]]/100</f>
        <v>314.11389600000001</v>
      </c>
      <c r="R235">
        <f>Tabla2[[#This Row],[queso_kg]]*Tabla2[[#This Row],[queso_mg_pct]]/100</f>
        <v>161.14572000000001</v>
      </c>
      <c r="S235">
        <f>_xlfn.ISOWEEKNUM(Tabla2[[#This Row],[fecha]])</f>
        <v>34</v>
      </c>
      <c r="T235">
        <v>34</v>
      </c>
    </row>
    <row r="236" spans="1:20" x14ac:dyDescent="0.25">
      <c r="A236" s="1">
        <v>45525</v>
      </c>
      <c r="B236">
        <v>4975</v>
      </c>
      <c r="C236">
        <v>4830</v>
      </c>
      <c r="D236">
        <v>44.48</v>
      </c>
      <c r="E236">
        <v>34.549999999999997</v>
      </c>
      <c r="F236">
        <v>5020</v>
      </c>
      <c r="G236">
        <v>41.46</v>
      </c>
      <c r="H236">
        <v>33.43</v>
      </c>
      <c r="I236">
        <v>4956</v>
      </c>
      <c r="J236">
        <v>579.88</v>
      </c>
      <c r="K236">
        <v>49.6</v>
      </c>
      <c r="L236">
        <v>27.69</v>
      </c>
      <c r="M236">
        <f>Tabla2[[#This Row],[entrada_litros]]*Tabla2[[#This Row],[entrada_grasa_g_l]]/1000</f>
        <v>214.83840000000001</v>
      </c>
      <c r="N236">
        <f>Tabla2[[#This Row],[entrada_litros]]*Tabla2[[#This Row],[entrada_prot_g_l]]/1000</f>
        <v>166.87649999999999</v>
      </c>
      <c r="O236">
        <f>Tabla2[[#This Row],[cuba_fab_litros]]*Tabla2[[#This Row],[cuba_fab_grasa_g_l]]/1000</f>
        <v>208.12920000000003</v>
      </c>
      <c r="P236">
        <f>Tabla2[[#This Row],[cuba_fab_litros]]*Tabla2[[#This Row],[cuba_fab_prot_g_l]]/1000</f>
        <v>167.8186</v>
      </c>
      <c r="Q236">
        <f>Tabla2[[#This Row],[queso_kg]]*Tabla2[[#This Row],[queso_est_pct]]/100</f>
        <v>287.62047999999999</v>
      </c>
      <c r="R236">
        <f>Tabla2[[#This Row],[queso_kg]]*Tabla2[[#This Row],[queso_mg_pct]]/100</f>
        <v>160.568772</v>
      </c>
      <c r="S236">
        <f>_xlfn.ISOWEEKNUM(Tabla2[[#This Row],[fecha]])</f>
        <v>34</v>
      </c>
      <c r="T236">
        <v>34</v>
      </c>
    </row>
    <row r="237" spans="1:20" x14ac:dyDescent="0.25">
      <c r="A237" s="1">
        <v>45526</v>
      </c>
      <c r="B237">
        <v>4855</v>
      </c>
      <c r="C237">
        <v>4714</v>
      </c>
      <c r="D237">
        <v>40.61</v>
      </c>
      <c r="E237">
        <v>35.520000000000003</v>
      </c>
      <c r="F237">
        <v>5023</v>
      </c>
      <c r="G237">
        <v>40.17</v>
      </c>
      <c r="H237">
        <v>33.64</v>
      </c>
      <c r="I237">
        <v>4670</v>
      </c>
      <c r="J237">
        <v>582.54</v>
      </c>
      <c r="K237">
        <v>51.11</v>
      </c>
      <c r="L237">
        <v>26.27</v>
      </c>
      <c r="M237">
        <f>Tabla2[[#This Row],[entrada_litros]]*Tabla2[[#This Row],[entrada_grasa_g_l]]/1000</f>
        <v>191.43554</v>
      </c>
      <c r="N237">
        <f>Tabla2[[#This Row],[entrada_litros]]*Tabla2[[#This Row],[entrada_prot_g_l]]/1000</f>
        <v>167.44128000000003</v>
      </c>
      <c r="O237">
        <f>Tabla2[[#This Row],[cuba_fab_litros]]*Tabla2[[#This Row],[cuba_fab_grasa_g_l]]/1000</f>
        <v>201.77391</v>
      </c>
      <c r="P237">
        <f>Tabla2[[#This Row],[cuba_fab_litros]]*Tabla2[[#This Row],[cuba_fab_prot_g_l]]/1000</f>
        <v>168.97372000000001</v>
      </c>
      <c r="Q237">
        <f>Tabla2[[#This Row],[queso_kg]]*Tabla2[[#This Row],[queso_est_pct]]/100</f>
        <v>297.73619400000001</v>
      </c>
      <c r="R237">
        <f>Tabla2[[#This Row],[queso_kg]]*Tabla2[[#This Row],[queso_mg_pct]]/100</f>
        <v>153.03325799999999</v>
      </c>
      <c r="S237">
        <f>_xlfn.ISOWEEKNUM(Tabla2[[#This Row],[fecha]])</f>
        <v>34</v>
      </c>
      <c r="T237">
        <v>34</v>
      </c>
    </row>
    <row r="238" spans="1:20" x14ac:dyDescent="0.25">
      <c r="A238" s="1">
        <v>45527</v>
      </c>
      <c r="F238">
        <v>4694</v>
      </c>
      <c r="G238">
        <v>40.130000000000003</v>
      </c>
      <c r="H238">
        <v>33.99</v>
      </c>
      <c r="J238">
        <v>558.89</v>
      </c>
      <c r="K238">
        <v>52.21</v>
      </c>
      <c r="L238">
        <v>27.78</v>
      </c>
      <c r="M238">
        <f>Tabla2[[#This Row],[entrada_litros]]*Tabla2[[#This Row],[entrada_grasa_g_l]]/1000</f>
        <v>0</v>
      </c>
      <c r="N238">
        <f>Tabla2[[#This Row],[entrada_litros]]*Tabla2[[#This Row],[entrada_prot_g_l]]/1000</f>
        <v>0</v>
      </c>
      <c r="O238">
        <f>Tabla2[[#This Row],[cuba_fab_litros]]*Tabla2[[#This Row],[cuba_fab_grasa_g_l]]/1000</f>
        <v>188.37021999999999</v>
      </c>
      <c r="P238">
        <f>Tabla2[[#This Row],[cuba_fab_litros]]*Tabla2[[#This Row],[cuba_fab_prot_g_l]]/1000</f>
        <v>159.54906</v>
      </c>
      <c r="Q238">
        <f>Tabla2[[#This Row],[queso_kg]]*Tabla2[[#This Row],[queso_est_pct]]/100</f>
        <v>291.796469</v>
      </c>
      <c r="R238">
        <f>Tabla2[[#This Row],[queso_kg]]*Tabla2[[#This Row],[queso_mg_pct]]/100</f>
        <v>155.25964200000001</v>
      </c>
      <c r="S238">
        <f>_xlfn.ISOWEEKNUM(Tabla2[[#This Row],[fecha]])</f>
        <v>34</v>
      </c>
      <c r="T238">
        <v>34</v>
      </c>
    </row>
    <row r="239" spans="1:20" x14ac:dyDescent="0.25">
      <c r="A239" s="1">
        <v>45528</v>
      </c>
      <c r="M239">
        <f>Tabla2[[#This Row],[entrada_litros]]*Tabla2[[#This Row],[entrada_grasa_g_l]]/1000</f>
        <v>0</v>
      </c>
      <c r="N239">
        <f>Tabla2[[#This Row],[entrada_litros]]*Tabla2[[#This Row],[entrada_prot_g_l]]/1000</f>
        <v>0</v>
      </c>
      <c r="O239">
        <f>Tabla2[[#This Row],[cuba_fab_litros]]*Tabla2[[#This Row],[cuba_fab_grasa_g_l]]/1000</f>
        <v>0</v>
      </c>
      <c r="P239">
        <f>Tabla2[[#This Row],[cuba_fab_litros]]*Tabla2[[#This Row],[cuba_fab_prot_g_l]]/1000</f>
        <v>0</v>
      </c>
      <c r="Q239">
        <f>Tabla2[[#This Row],[queso_kg]]*Tabla2[[#This Row],[queso_est_pct]]/100</f>
        <v>0</v>
      </c>
      <c r="R239">
        <f>Tabla2[[#This Row],[queso_kg]]*Tabla2[[#This Row],[queso_mg_pct]]/100</f>
        <v>0</v>
      </c>
      <c r="S239">
        <f>_xlfn.ISOWEEKNUM(Tabla2[[#This Row],[fecha]])</f>
        <v>34</v>
      </c>
      <c r="T239">
        <v>34</v>
      </c>
    </row>
    <row r="240" spans="1:20" x14ac:dyDescent="0.25">
      <c r="A240" s="1">
        <v>45529</v>
      </c>
      <c r="B240">
        <v>5396</v>
      </c>
      <c r="C240">
        <v>5239</v>
      </c>
      <c r="D240">
        <v>44.61</v>
      </c>
      <c r="E240">
        <v>36.15</v>
      </c>
      <c r="I240">
        <v>5239</v>
      </c>
      <c r="M240">
        <f>Tabla2[[#This Row],[entrada_litros]]*Tabla2[[#This Row],[entrada_grasa_g_l]]/1000</f>
        <v>233.71179000000001</v>
      </c>
      <c r="N240">
        <f>Tabla2[[#This Row],[entrada_litros]]*Tabla2[[#This Row],[entrada_prot_g_l]]/1000</f>
        <v>189.38985</v>
      </c>
      <c r="O240">
        <f>Tabla2[[#This Row],[cuba_fab_litros]]*Tabla2[[#This Row],[cuba_fab_grasa_g_l]]/1000</f>
        <v>0</v>
      </c>
      <c r="P240">
        <f>Tabla2[[#This Row],[cuba_fab_litros]]*Tabla2[[#This Row],[cuba_fab_prot_g_l]]/1000</f>
        <v>0</v>
      </c>
      <c r="Q240">
        <f>Tabla2[[#This Row],[queso_kg]]*Tabla2[[#This Row],[queso_est_pct]]/100</f>
        <v>0</v>
      </c>
      <c r="R240">
        <f>Tabla2[[#This Row],[queso_kg]]*Tabla2[[#This Row],[queso_mg_pct]]/100</f>
        <v>0</v>
      </c>
      <c r="S240">
        <f>_xlfn.ISOWEEKNUM(Tabla2[[#This Row],[fecha]])</f>
        <v>34</v>
      </c>
      <c r="T240">
        <v>35</v>
      </c>
    </row>
    <row r="241" spans="1:20" x14ac:dyDescent="0.25">
      <c r="A241" s="1">
        <v>45530</v>
      </c>
      <c r="B241">
        <v>5075</v>
      </c>
      <c r="C241">
        <v>4927</v>
      </c>
      <c r="D241">
        <v>41.23</v>
      </c>
      <c r="E241">
        <v>35.700000000000003</v>
      </c>
      <c r="F241">
        <v>5020</v>
      </c>
      <c r="G241">
        <v>40.85</v>
      </c>
      <c r="H241">
        <v>34.39</v>
      </c>
      <c r="I241">
        <v>5166</v>
      </c>
      <c r="J241">
        <v>613.36</v>
      </c>
      <c r="K241">
        <v>50.95</v>
      </c>
      <c r="L241">
        <v>28.44</v>
      </c>
      <c r="M241">
        <f>Tabla2[[#This Row],[entrada_litros]]*Tabla2[[#This Row],[entrada_grasa_g_l]]/1000</f>
        <v>203.14021</v>
      </c>
      <c r="N241">
        <f>Tabla2[[#This Row],[entrada_litros]]*Tabla2[[#This Row],[entrada_prot_g_l]]/1000</f>
        <v>175.89390000000003</v>
      </c>
      <c r="O241">
        <f>Tabla2[[#This Row],[cuba_fab_litros]]*Tabla2[[#This Row],[cuba_fab_grasa_g_l]]/1000</f>
        <v>205.06700000000001</v>
      </c>
      <c r="P241">
        <f>Tabla2[[#This Row],[cuba_fab_litros]]*Tabla2[[#This Row],[cuba_fab_prot_g_l]]/1000</f>
        <v>172.6378</v>
      </c>
      <c r="Q241">
        <f>Tabla2[[#This Row],[queso_kg]]*Tabla2[[#This Row],[queso_est_pct]]/100</f>
        <v>312.50692000000004</v>
      </c>
      <c r="R241">
        <f>Tabla2[[#This Row],[queso_kg]]*Tabla2[[#This Row],[queso_mg_pct]]/100</f>
        <v>174.439584</v>
      </c>
      <c r="S241">
        <f>_xlfn.ISOWEEKNUM(Tabla2[[#This Row],[fecha]])</f>
        <v>35</v>
      </c>
      <c r="T241">
        <v>35</v>
      </c>
    </row>
    <row r="242" spans="1:20" x14ac:dyDescent="0.25">
      <c r="A242" s="1">
        <v>45531</v>
      </c>
      <c r="B242">
        <v>4922</v>
      </c>
      <c r="C242">
        <v>4779</v>
      </c>
      <c r="D242">
        <v>43.54</v>
      </c>
      <c r="E242">
        <v>36</v>
      </c>
      <c r="F242">
        <v>5020</v>
      </c>
      <c r="G242">
        <v>40.96</v>
      </c>
      <c r="H242">
        <v>34.020000000000003</v>
      </c>
      <c r="I242">
        <v>4945</v>
      </c>
      <c r="J242">
        <v>603.79</v>
      </c>
      <c r="K242">
        <v>50.28</v>
      </c>
      <c r="L242">
        <v>26.17</v>
      </c>
      <c r="M242">
        <f>Tabla2[[#This Row],[entrada_litros]]*Tabla2[[#This Row],[entrada_grasa_g_l]]/1000</f>
        <v>208.07766000000001</v>
      </c>
      <c r="N242">
        <f>Tabla2[[#This Row],[entrada_litros]]*Tabla2[[#This Row],[entrada_prot_g_l]]/1000</f>
        <v>172.04400000000001</v>
      </c>
      <c r="O242">
        <f>Tabla2[[#This Row],[cuba_fab_litros]]*Tabla2[[#This Row],[cuba_fab_grasa_g_l]]/1000</f>
        <v>205.61920000000001</v>
      </c>
      <c r="P242">
        <f>Tabla2[[#This Row],[cuba_fab_litros]]*Tabla2[[#This Row],[cuba_fab_prot_g_l]]/1000</f>
        <v>170.78040000000001</v>
      </c>
      <c r="Q242">
        <f>Tabla2[[#This Row],[queso_kg]]*Tabla2[[#This Row],[queso_est_pct]]/100</f>
        <v>303.58561200000003</v>
      </c>
      <c r="R242">
        <f>Tabla2[[#This Row],[queso_kg]]*Tabla2[[#This Row],[queso_mg_pct]]/100</f>
        <v>158.011843</v>
      </c>
      <c r="S242">
        <f>_xlfn.ISOWEEKNUM(Tabla2[[#This Row],[fecha]])</f>
        <v>35</v>
      </c>
      <c r="T242">
        <v>35</v>
      </c>
    </row>
    <row r="243" spans="1:20" x14ac:dyDescent="0.25">
      <c r="A243" s="1">
        <v>45532</v>
      </c>
      <c r="B243">
        <v>5069</v>
      </c>
      <c r="C243">
        <v>4921</v>
      </c>
      <c r="D243">
        <v>39.549999999999997</v>
      </c>
      <c r="E243">
        <v>35.020000000000003</v>
      </c>
      <c r="F243">
        <v>5024</v>
      </c>
      <c r="G243">
        <v>39.82</v>
      </c>
      <c r="H243">
        <v>33.78</v>
      </c>
      <c r="I243">
        <v>4866</v>
      </c>
      <c r="J243">
        <v>603.33000000000004</v>
      </c>
      <c r="K243">
        <v>52.97</v>
      </c>
      <c r="L243">
        <v>27.81</v>
      </c>
      <c r="M243">
        <f>Tabla2[[#This Row],[entrada_litros]]*Tabla2[[#This Row],[entrada_grasa_g_l]]/1000</f>
        <v>194.62554999999998</v>
      </c>
      <c r="N243">
        <f>Tabla2[[#This Row],[entrada_litros]]*Tabla2[[#This Row],[entrada_prot_g_l]]/1000</f>
        <v>172.33342000000002</v>
      </c>
      <c r="O243">
        <f>Tabla2[[#This Row],[cuba_fab_litros]]*Tabla2[[#This Row],[cuba_fab_grasa_g_l]]/1000</f>
        <v>200.05568</v>
      </c>
      <c r="P243">
        <f>Tabla2[[#This Row],[cuba_fab_litros]]*Tabla2[[#This Row],[cuba_fab_prot_g_l]]/1000</f>
        <v>169.71072000000001</v>
      </c>
      <c r="Q243">
        <f>Tabla2[[#This Row],[queso_kg]]*Tabla2[[#This Row],[queso_est_pct]]/100</f>
        <v>319.58390100000003</v>
      </c>
      <c r="R243">
        <f>Tabla2[[#This Row],[queso_kg]]*Tabla2[[#This Row],[queso_mg_pct]]/100</f>
        <v>167.78607299999999</v>
      </c>
      <c r="S243">
        <f>_xlfn.ISOWEEKNUM(Tabla2[[#This Row],[fecha]])</f>
        <v>35</v>
      </c>
      <c r="T243">
        <v>35</v>
      </c>
    </row>
    <row r="244" spans="1:20" x14ac:dyDescent="0.25">
      <c r="A244" s="1">
        <v>45533</v>
      </c>
      <c r="B244">
        <v>4770</v>
      </c>
      <c r="C244">
        <v>4631</v>
      </c>
      <c r="D244">
        <v>41.03</v>
      </c>
      <c r="E244">
        <v>36.130000000000003</v>
      </c>
      <c r="F244">
        <v>5029</v>
      </c>
      <c r="G244">
        <v>39.520000000000003</v>
      </c>
      <c r="H244">
        <v>34.11</v>
      </c>
      <c r="I244">
        <v>4497</v>
      </c>
      <c r="J244">
        <v>586.52</v>
      </c>
      <c r="K244">
        <v>51.03</v>
      </c>
      <c r="L244">
        <v>26.58</v>
      </c>
      <c r="M244">
        <f>Tabla2[[#This Row],[entrada_litros]]*Tabla2[[#This Row],[entrada_grasa_g_l]]/1000</f>
        <v>190.00993</v>
      </c>
      <c r="N244">
        <f>Tabla2[[#This Row],[entrada_litros]]*Tabla2[[#This Row],[entrada_prot_g_l]]/1000</f>
        <v>167.31802999999999</v>
      </c>
      <c r="O244">
        <f>Tabla2[[#This Row],[cuba_fab_litros]]*Tabla2[[#This Row],[cuba_fab_grasa_g_l]]/1000</f>
        <v>198.74608000000001</v>
      </c>
      <c r="P244">
        <f>Tabla2[[#This Row],[cuba_fab_litros]]*Tabla2[[#This Row],[cuba_fab_prot_g_l]]/1000</f>
        <v>171.53918999999999</v>
      </c>
      <c r="Q244">
        <f>Tabla2[[#This Row],[queso_kg]]*Tabla2[[#This Row],[queso_est_pct]]/100</f>
        <v>299.30115599999999</v>
      </c>
      <c r="R244">
        <f>Tabla2[[#This Row],[queso_kg]]*Tabla2[[#This Row],[queso_mg_pct]]/100</f>
        <v>155.89701599999998</v>
      </c>
      <c r="S244">
        <f>_xlfn.ISOWEEKNUM(Tabla2[[#This Row],[fecha]])</f>
        <v>35</v>
      </c>
      <c r="T244">
        <v>35</v>
      </c>
    </row>
    <row r="245" spans="1:20" x14ac:dyDescent="0.25">
      <c r="A245" s="1">
        <v>45534</v>
      </c>
      <c r="F245">
        <v>4517</v>
      </c>
      <c r="G245">
        <v>39.5</v>
      </c>
      <c r="H245">
        <v>34.07</v>
      </c>
      <c r="J245">
        <v>553.16999999999996</v>
      </c>
      <c r="K245">
        <v>50.15</v>
      </c>
      <c r="L245">
        <v>27.64</v>
      </c>
      <c r="M245">
        <f>Tabla2[[#This Row],[entrada_litros]]*Tabla2[[#This Row],[entrada_grasa_g_l]]/1000</f>
        <v>0</v>
      </c>
      <c r="N245">
        <f>Tabla2[[#This Row],[entrada_litros]]*Tabla2[[#This Row],[entrada_prot_g_l]]/1000</f>
        <v>0</v>
      </c>
      <c r="O245">
        <f>Tabla2[[#This Row],[cuba_fab_litros]]*Tabla2[[#This Row],[cuba_fab_grasa_g_l]]/1000</f>
        <v>178.42150000000001</v>
      </c>
      <c r="P245">
        <f>Tabla2[[#This Row],[cuba_fab_litros]]*Tabla2[[#This Row],[cuba_fab_prot_g_l]]/1000</f>
        <v>153.89419000000001</v>
      </c>
      <c r="Q245">
        <f>Tabla2[[#This Row],[queso_kg]]*Tabla2[[#This Row],[queso_est_pct]]/100</f>
        <v>277.41475499999996</v>
      </c>
      <c r="R245">
        <f>Tabla2[[#This Row],[queso_kg]]*Tabla2[[#This Row],[queso_mg_pct]]/100</f>
        <v>152.896188</v>
      </c>
      <c r="S245">
        <f>_xlfn.ISOWEEKNUM(Tabla2[[#This Row],[fecha]])</f>
        <v>35</v>
      </c>
      <c r="T245">
        <v>35</v>
      </c>
    </row>
    <row r="246" spans="1:20" x14ac:dyDescent="0.25">
      <c r="A246" s="1">
        <v>45535</v>
      </c>
      <c r="M246">
        <f>Tabla2[[#This Row],[entrada_litros]]*Tabla2[[#This Row],[entrada_grasa_g_l]]/1000</f>
        <v>0</v>
      </c>
      <c r="N246">
        <f>Tabla2[[#This Row],[entrada_litros]]*Tabla2[[#This Row],[entrada_prot_g_l]]/1000</f>
        <v>0</v>
      </c>
      <c r="O246">
        <f>Tabla2[[#This Row],[cuba_fab_litros]]*Tabla2[[#This Row],[cuba_fab_grasa_g_l]]/1000</f>
        <v>0</v>
      </c>
      <c r="P246">
        <f>Tabla2[[#This Row],[cuba_fab_litros]]*Tabla2[[#This Row],[cuba_fab_prot_g_l]]/1000</f>
        <v>0</v>
      </c>
      <c r="Q246">
        <f>Tabla2[[#This Row],[queso_kg]]*Tabla2[[#This Row],[queso_est_pct]]/100</f>
        <v>0</v>
      </c>
      <c r="R246">
        <f>Tabla2[[#This Row],[queso_kg]]*Tabla2[[#This Row],[queso_mg_pct]]/100</f>
        <v>0</v>
      </c>
      <c r="S246">
        <f>_xlfn.ISOWEEKNUM(Tabla2[[#This Row],[fecha]])</f>
        <v>35</v>
      </c>
      <c r="T246">
        <v>35</v>
      </c>
    </row>
    <row r="247" spans="1:20" x14ac:dyDescent="0.25">
      <c r="A247" s="1">
        <v>45536</v>
      </c>
      <c r="B247">
        <v>4990</v>
      </c>
      <c r="C247">
        <v>4845</v>
      </c>
      <c r="D247">
        <v>44.37</v>
      </c>
      <c r="E247">
        <v>34.33</v>
      </c>
      <c r="I247">
        <v>4845</v>
      </c>
      <c r="M247">
        <f>Tabla2[[#This Row],[entrada_litros]]*Tabla2[[#This Row],[entrada_grasa_g_l]]/1000</f>
        <v>214.97264999999999</v>
      </c>
      <c r="N247">
        <f>Tabla2[[#This Row],[entrada_litros]]*Tabla2[[#This Row],[entrada_prot_g_l]]/1000</f>
        <v>166.32885000000002</v>
      </c>
      <c r="O247">
        <f>Tabla2[[#This Row],[cuba_fab_litros]]*Tabla2[[#This Row],[cuba_fab_grasa_g_l]]/1000</f>
        <v>0</v>
      </c>
      <c r="P247">
        <f>Tabla2[[#This Row],[cuba_fab_litros]]*Tabla2[[#This Row],[cuba_fab_prot_g_l]]/1000</f>
        <v>0</v>
      </c>
      <c r="Q247">
        <f>Tabla2[[#This Row],[queso_kg]]*Tabla2[[#This Row],[queso_est_pct]]/100</f>
        <v>0</v>
      </c>
      <c r="R247">
        <f>Tabla2[[#This Row],[queso_kg]]*Tabla2[[#This Row],[queso_mg_pct]]/100</f>
        <v>0</v>
      </c>
      <c r="S247">
        <f>_xlfn.ISOWEEKNUM(Tabla2[[#This Row],[fecha]])</f>
        <v>35</v>
      </c>
      <c r="T247">
        <v>36</v>
      </c>
    </row>
    <row r="248" spans="1:20" x14ac:dyDescent="0.25">
      <c r="A248" s="1">
        <v>45537</v>
      </c>
      <c r="B248">
        <v>4777</v>
      </c>
      <c r="C248">
        <v>4638</v>
      </c>
      <c r="D248">
        <v>41.22</v>
      </c>
      <c r="E248">
        <v>35.270000000000003</v>
      </c>
      <c r="F248">
        <v>5024</v>
      </c>
      <c r="G248">
        <v>40.72</v>
      </c>
      <c r="H248">
        <v>33.11</v>
      </c>
      <c r="I248">
        <v>4483</v>
      </c>
      <c r="J248">
        <v>594.52</v>
      </c>
      <c r="K248">
        <v>52.82</v>
      </c>
      <c r="L248">
        <v>27.49</v>
      </c>
      <c r="M248">
        <f>Tabla2[[#This Row],[entrada_litros]]*Tabla2[[#This Row],[entrada_grasa_g_l]]/1000</f>
        <v>191.17836</v>
      </c>
      <c r="N248">
        <f>Tabla2[[#This Row],[entrada_litros]]*Tabla2[[#This Row],[entrada_prot_g_l]]/1000</f>
        <v>163.58226000000002</v>
      </c>
      <c r="O248">
        <f>Tabla2[[#This Row],[cuba_fab_litros]]*Tabla2[[#This Row],[cuba_fab_grasa_g_l]]/1000</f>
        <v>204.57728</v>
      </c>
      <c r="P248">
        <f>Tabla2[[#This Row],[cuba_fab_litros]]*Tabla2[[#This Row],[cuba_fab_prot_g_l]]/1000</f>
        <v>166.34464</v>
      </c>
      <c r="Q248">
        <f>Tabla2[[#This Row],[queso_kg]]*Tabla2[[#This Row],[queso_est_pct]]/100</f>
        <v>314.025464</v>
      </c>
      <c r="R248">
        <f>Tabla2[[#This Row],[queso_kg]]*Tabla2[[#This Row],[queso_mg_pct]]/100</f>
        <v>163.433548</v>
      </c>
      <c r="S248">
        <f>_xlfn.ISOWEEKNUM(Tabla2[[#This Row],[fecha]])</f>
        <v>36</v>
      </c>
      <c r="T248">
        <v>36</v>
      </c>
    </row>
    <row r="249" spans="1:20" x14ac:dyDescent="0.25">
      <c r="A249" s="1">
        <v>45538</v>
      </c>
      <c r="B249">
        <v>4922</v>
      </c>
      <c r="C249">
        <v>4779</v>
      </c>
      <c r="D249">
        <v>40.51</v>
      </c>
      <c r="E249">
        <v>35.72</v>
      </c>
      <c r="F249">
        <v>5028</v>
      </c>
      <c r="G249">
        <v>39.979999999999997</v>
      </c>
      <c r="H249">
        <v>33.81</v>
      </c>
      <c r="I249">
        <v>4262</v>
      </c>
      <c r="J249">
        <v>591.54</v>
      </c>
      <c r="K249">
        <v>49.08</v>
      </c>
      <c r="L249">
        <v>26.42</v>
      </c>
      <c r="M249">
        <f>Tabla2[[#This Row],[entrada_litros]]*Tabla2[[#This Row],[entrada_grasa_g_l]]/1000</f>
        <v>193.59728999999999</v>
      </c>
      <c r="N249">
        <f>Tabla2[[#This Row],[entrada_litros]]*Tabla2[[#This Row],[entrada_prot_g_l]]/1000</f>
        <v>170.70588000000001</v>
      </c>
      <c r="O249">
        <f>Tabla2[[#This Row],[cuba_fab_litros]]*Tabla2[[#This Row],[cuba_fab_grasa_g_l]]/1000</f>
        <v>201.01943999999997</v>
      </c>
      <c r="P249">
        <f>Tabla2[[#This Row],[cuba_fab_litros]]*Tabla2[[#This Row],[cuba_fab_prot_g_l]]/1000</f>
        <v>169.99668000000003</v>
      </c>
      <c r="Q249">
        <f>Tabla2[[#This Row],[queso_kg]]*Tabla2[[#This Row],[queso_est_pct]]/100</f>
        <v>290.327832</v>
      </c>
      <c r="R249">
        <f>Tabla2[[#This Row],[queso_kg]]*Tabla2[[#This Row],[queso_mg_pct]]/100</f>
        <v>156.28486800000002</v>
      </c>
      <c r="S249">
        <f>_xlfn.ISOWEEKNUM(Tabla2[[#This Row],[fecha]])</f>
        <v>36</v>
      </c>
      <c r="T249">
        <v>36</v>
      </c>
    </row>
    <row r="250" spans="1:20" x14ac:dyDescent="0.25">
      <c r="A250" s="1">
        <v>45539</v>
      </c>
      <c r="B250">
        <v>4836</v>
      </c>
      <c r="C250">
        <v>4695</v>
      </c>
      <c r="D250">
        <v>43.39</v>
      </c>
      <c r="E250">
        <v>36.44</v>
      </c>
      <c r="F250">
        <v>5029</v>
      </c>
      <c r="G250">
        <v>40.56</v>
      </c>
      <c r="H250">
        <v>34.24</v>
      </c>
      <c r="I250">
        <v>3957</v>
      </c>
      <c r="J250">
        <v>576.29</v>
      </c>
      <c r="K250">
        <v>51.96</v>
      </c>
      <c r="L250">
        <v>26.33</v>
      </c>
      <c r="M250">
        <f>Tabla2[[#This Row],[entrada_litros]]*Tabla2[[#This Row],[entrada_grasa_g_l]]/1000</f>
        <v>203.71605</v>
      </c>
      <c r="N250">
        <f>Tabla2[[#This Row],[entrada_litros]]*Tabla2[[#This Row],[entrada_prot_g_l]]/1000</f>
        <v>171.08579999999998</v>
      </c>
      <c r="O250">
        <f>Tabla2[[#This Row],[cuba_fab_litros]]*Tabla2[[#This Row],[cuba_fab_grasa_g_l]]/1000</f>
        <v>203.97624000000002</v>
      </c>
      <c r="P250">
        <f>Tabla2[[#This Row],[cuba_fab_litros]]*Tabla2[[#This Row],[cuba_fab_prot_g_l]]/1000</f>
        <v>172.19296000000003</v>
      </c>
      <c r="Q250">
        <f>Tabla2[[#This Row],[queso_kg]]*Tabla2[[#This Row],[queso_est_pct]]/100</f>
        <v>299.44028400000002</v>
      </c>
      <c r="R250">
        <f>Tabla2[[#This Row],[queso_kg]]*Tabla2[[#This Row],[queso_mg_pct]]/100</f>
        <v>151.737157</v>
      </c>
      <c r="S250">
        <f>_xlfn.ISOWEEKNUM(Tabla2[[#This Row],[fecha]])</f>
        <v>36</v>
      </c>
      <c r="T250">
        <v>36</v>
      </c>
    </row>
    <row r="251" spans="1:20" x14ac:dyDescent="0.25">
      <c r="A251" s="1">
        <v>45540</v>
      </c>
      <c r="B251">
        <v>4958</v>
      </c>
      <c r="C251">
        <v>4814</v>
      </c>
      <c r="D251">
        <v>42.64</v>
      </c>
      <c r="E251">
        <v>35.619999999999997</v>
      </c>
      <c r="F251">
        <v>5025</v>
      </c>
      <c r="G251">
        <v>40.54</v>
      </c>
      <c r="H251">
        <v>33.909999999999997</v>
      </c>
      <c r="I251">
        <v>3771</v>
      </c>
      <c r="J251">
        <v>619.42999999999995</v>
      </c>
      <c r="K251">
        <v>53.44</v>
      </c>
      <c r="L251">
        <v>28.59</v>
      </c>
      <c r="M251">
        <f>Tabla2[[#This Row],[entrada_litros]]*Tabla2[[#This Row],[entrada_grasa_g_l]]/1000</f>
        <v>205.26895999999999</v>
      </c>
      <c r="N251">
        <f>Tabla2[[#This Row],[entrada_litros]]*Tabla2[[#This Row],[entrada_prot_g_l]]/1000</f>
        <v>171.47468000000001</v>
      </c>
      <c r="O251">
        <f>Tabla2[[#This Row],[cuba_fab_litros]]*Tabla2[[#This Row],[cuba_fab_grasa_g_l]]/1000</f>
        <v>203.71350000000001</v>
      </c>
      <c r="P251">
        <f>Tabla2[[#This Row],[cuba_fab_litros]]*Tabla2[[#This Row],[cuba_fab_prot_g_l]]/1000</f>
        <v>170.39774999999997</v>
      </c>
      <c r="Q251">
        <f>Tabla2[[#This Row],[queso_kg]]*Tabla2[[#This Row],[queso_est_pct]]/100</f>
        <v>331.02339199999994</v>
      </c>
      <c r="R251">
        <f>Tabla2[[#This Row],[queso_kg]]*Tabla2[[#This Row],[queso_mg_pct]]/100</f>
        <v>177.09503699999996</v>
      </c>
      <c r="S251">
        <f>_xlfn.ISOWEEKNUM(Tabla2[[#This Row],[fecha]])</f>
        <v>36</v>
      </c>
      <c r="T251">
        <v>36</v>
      </c>
    </row>
    <row r="252" spans="1:20" x14ac:dyDescent="0.25">
      <c r="A252" s="1">
        <v>45541</v>
      </c>
      <c r="F252">
        <v>3783</v>
      </c>
      <c r="G252">
        <v>40.69</v>
      </c>
      <c r="H252">
        <v>34.369999999999997</v>
      </c>
      <c r="J252">
        <v>438.08</v>
      </c>
      <c r="K252">
        <v>52.48</v>
      </c>
      <c r="L252">
        <v>27.07</v>
      </c>
      <c r="M252">
        <f>Tabla2[[#This Row],[entrada_litros]]*Tabla2[[#This Row],[entrada_grasa_g_l]]/1000</f>
        <v>0</v>
      </c>
      <c r="N252">
        <f>Tabla2[[#This Row],[entrada_litros]]*Tabla2[[#This Row],[entrada_prot_g_l]]/1000</f>
        <v>0</v>
      </c>
      <c r="O252">
        <f>Tabla2[[#This Row],[cuba_fab_litros]]*Tabla2[[#This Row],[cuba_fab_grasa_g_l]]/1000</f>
        <v>153.93026999999998</v>
      </c>
      <c r="P252">
        <f>Tabla2[[#This Row],[cuba_fab_litros]]*Tabla2[[#This Row],[cuba_fab_prot_g_l]]/1000</f>
        <v>130.02170999999998</v>
      </c>
      <c r="Q252">
        <f>Tabla2[[#This Row],[queso_kg]]*Tabla2[[#This Row],[queso_est_pct]]/100</f>
        <v>229.90438399999999</v>
      </c>
      <c r="R252">
        <f>Tabla2[[#This Row],[queso_kg]]*Tabla2[[#This Row],[queso_mg_pct]]/100</f>
        <v>118.588256</v>
      </c>
      <c r="S252">
        <f>_xlfn.ISOWEEKNUM(Tabla2[[#This Row],[fecha]])</f>
        <v>36</v>
      </c>
      <c r="T252">
        <v>36</v>
      </c>
    </row>
    <row r="253" spans="1:20" x14ac:dyDescent="0.25">
      <c r="A253" s="1">
        <v>45542</v>
      </c>
      <c r="M253">
        <f>Tabla2[[#This Row],[entrada_litros]]*Tabla2[[#This Row],[entrada_grasa_g_l]]/1000</f>
        <v>0</v>
      </c>
      <c r="N253">
        <f>Tabla2[[#This Row],[entrada_litros]]*Tabla2[[#This Row],[entrada_prot_g_l]]/1000</f>
        <v>0</v>
      </c>
      <c r="O253">
        <f>Tabla2[[#This Row],[cuba_fab_litros]]*Tabla2[[#This Row],[cuba_fab_grasa_g_l]]/1000</f>
        <v>0</v>
      </c>
      <c r="P253">
        <f>Tabla2[[#This Row],[cuba_fab_litros]]*Tabla2[[#This Row],[cuba_fab_prot_g_l]]/1000</f>
        <v>0</v>
      </c>
      <c r="Q253">
        <f>Tabla2[[#This Row],[queso_kg]]*Tabla2[[#This Row],[queso_est_pct]]/100</f>
        <v>0</v>
      </c>
      <c r="R253">
        <f>Tabla2[[#This Row],[queso_kg]]*Tabla2[[#This Row],[queso_mg_pct]]/100</f>
        <v>0</v>
      </c>
      <c r="S253">
        <f>_xlfn.ISOWEEKNUM(Tabla2[[#This Row],[fecha]])</f>
        <v>36</v>
      </c>
      <c r="T253">
        <v>36</v>
      </c>
    </row>
    <row r="254" spans="1:20" x14ac:dyDescent="0.25">
      <c r="A254" s="1">
        <v>45543</v>
      </c>
      <c r="B254">
        <v>4841</v>
      </c>
      <c r="C254">
        <v>4700</v>
      </c>
      <c r="D254">
        <v>43.25</v>
      </c>
      <c r="E254">
        <v>37.409999999999997</v>
      </c>
      <c r="I254">
        <v>4700</v>
      </c>
      <c r="M254">
        <f>Tabla2[[#This Row],[entrada_litros]]*Tabla2[[#This Row],[entrada_grasa_g_l]]/1000</f>
        <v>203.27500000000001</v>
      </c>
      <c r="N254">
        <f>Tabla2[[#This Row],[entrada_litros]]*Tabla2[[#This Row],[entrada_prot_g_l]]/1000</f>
        <v>175.82699999999997</v>
      </c>
      <c r="O254">
        <f>Tabla2[[#This Row],[cuba_fab_litros]]*Tabla2[[#This Row],[cuba_fab_grasa_g_l]]/1000</f>
        <v>0</v>
      </c>
      <c r="P254">
        <f>Tabla2[[#This Row],[cuba_fab_litros]]*Tabla2[[#This Row],[cuba_fab_prot_g_l]]/1000</f>
        <v>0</v>
      </c>
      <c r="Q254">
        <f>Tabla2[[#This Row],[queso_kg]]*Tabla2[[#This Row],[queso_est_pct]]/100</f>
        <v>0</v>
      </c>
      <c r="R254">
        <f>Tabla2[[#This Row],[queso_kg]]*Tabla2[[#This Row],[queso_mg_pct]]/100</f>
        <v>0</v>
      </c>
      <c r="S254">
        <f>_xlfn.ISOWEEKNUM(Tabla2[[#This Row],[fecha]])</f>
        <v>36</v>
      </c>
      <c r="T254">
        <v>37</v>
      </c>
    </row>
    <row r="255" spans="1:20" x14ac:dyDescent="0.25">
      <c r="A255" s="1">
        <v>45544</v>
      </c>
      <c r="B255">
        <v>5353</v>
      </c>
      <c r="C255">
        <v>5197</v>
      </c>
      <c r="D255">
        <v>44.06</v>
      </c>
      <c r="E255">
        <v>36.29</v>
      </c>
      <c r="F255">
        <v>5024</v>
      </c>
      <c r="G255">
        <v>41.63</v>
      </c>
      <c r="H255">
        <v>35.340000000000003</v>
      </c>
      <c r="I255">
        <v>4897</v>
      </c>
      <c r="J255">
        <v>573.16999999999996</v>
      </c>
      <c r="K255">
        <v>52.56</v>
      </c>
      <c r="L255">
        <v>26.81</v>
      </c>
      <c r="M255">
        <f>Tabla2[[#This Row],[entrada_litros]]*Tabla2[[#This Row],[entrada_grasa_g_l]]/1000</f>
        <v>228.97982000000002</v>
      </c>
      <c r="N255">
        <f>Tabla2[[#This Row],[entrada_litros]]*Tabla2[[#This Row],[entrada_prot_g_l]]/1000</f>
        <v>188.59913</v>
      </c>
      <c r="O255">
        <f>Tabla2[[#This Row],[cuba_fab_litros]]*Tabla2[[#This Row],[cuba_fab_grasa_g_l]]/1000</f>
        <v>209.14912000000001</v>
      </c>
      <c r="P255">
        <f>Tabla2[[#This Row],[cuba_fab_litros]]*Tabla2[[#This Row],[cuba_fab_prot_g_l]]/1000</f>
        <v>177.54816</v>
      </c>
      <c r="Q255">
        <f>Tabla2[[#This Row],[queso_kg]]*Tabla2[[#This Row],[queso_est_pct]]/100</f>
        <v>301.258152</v>
      </c>
      <c r="R255">
        <f>Tabla2[[#This Row],[queso_kg]]*Tabla2[[#This Row],[queso_mg_pct]]/100</f>
        <v>153.666877</v>
      </c>
      <c r="S255">
        <f>_xlfn.ISOWEEKNUM(Tabla2[[#This Row],[fecha]])</f>
        <v>37</v>
      </c>
      <c r="T255">
        <v>37</v>
      </c>
    </row>
    <row r="256" spans="1:20" x14ac:dyDescent="0.25">
      <c r="A256" s="1">
        <v>45545</v>
      </c>
      <c r="B256">
        <v>4874</v>
      </c>
      <c r="C256">
        <v>4732</v>
      </c>
      <c r="D256">
        <v>45.23</v>
      </c>
      <c r="E256">
        <v>35.76</v>
      </c>
      <c r="F256">
        <v>5029</v>
      </c>
      <c r="G256">
        <v>42.16</v>
      </c>
      <c r="H256">
        <v>34.56</v>
      </c>
      <c r="I256">
        <v>4629</v>
      </c>
      <c r="J256">
        <v>557.03</v>
      </c>
      <c r="K256">
        <v>49.59</v>
      </c>
      <c r="L256">
        <v>27.62</v>
      </c>
      <c r="M256">
        <f>Tabla2[[#This Row],[entrada_litros]]*Tabla2[[#This Row],[entrada_grasa_g_l]]/1000</f>
        <v>214.02835999999999</v>
      </c>
      <c r="N256">
        <f>Tabla2[[#This Row],[entrada_litros]]*Tabla2[[#This Row],[entrada_prot_g_l]]/1000</f>
        <v>169.21631999999997</v>
      </c>
      <c r="O256">
        <f>Tabla2[[#This Row],[cuba_fab_litros]]*Tabla2[[#This Row],[cuba_fab_grasa_g_l]]/1000</f>
        <v>212.02264</v>
      </c>
      <c r="P256">
        <f>Tabla2[[#This Row],[cuba_fab_litros]]*Tabla2[[#This Row],[cuba_fab_prot_g_l]]/1000</f>
        <v>173.80224000000001</v>
      </c>
      <c r="Q256">
        <f>Tabla2[[#This Row],[queso_kg]]*Tabla2[[#This Row],[queso_est_pct]]/100</f>
        <v>276.231177</v>
      </c>
      <c r="R256">
        <f>Tabla2[[#This Row],[queso_kg]]*Tabla2[[#This Row],[queso_mg_pct]]/100</f>
        <v>153.851686</v>
      </c>
      <c r="S256">
        <f>_xlfn.ISOWEEKNUM(Tabla2[[#This Row],[fecha]])</f>
        <v>37</v>
      </c>
      <c r="T256">
        <v>37</v>
      </c>
    </row>
    <row r="257" spans="1:20" x14ac:dyDescent="0.25">
      <c r="A257" s="1">
        <v>45546</v>
      </c>
      <c r="B257">
        <v>4566</v>
      </c>
      <c r="C257">
        <v>4433</v>
      </c>
      <c r="D257">
        <v>40.880000000000003</v>
      </c>
      <c r="E257">
        <v>37.25</v>
      </c>
      <c r="F257">
        <v>5030</v>
      </c>
      <c r="G257">
        <v>40.450000000000003</v>
      </c>
      <c r="H257">
        <v>35.11</v>
      </c>
      <c r="I257">
        <v>4062</v>
      </c>
      <c r="J257">
        <v>588.51</v>
      </c>
      <c r="K257">
        <v>52.59</v>
      </c>
      <c r="L257">
        <v>28.02</v>
      </c>
      <c r="M257">
        <f>Tabla2[[#This Row],[entrada_litros]]*Tabla2[[#This Row],[entrada_grasa_g_l]]/1000</f>
        <v>181.22104000000002</v>
      </c>
      <c r="N257">
        <f>Tabla2[[#This Row],[entrada_litros]]*Tabla2[[#This Row],[entrada_prot_g_l]]/1000</f>
        <v>165.12925000000001</v>
      </c>
      <c r="O257">
        <f>Tabla2[[#This Row],[cuba_fab_litros]]*Tabla2[[#This Row],[cuba_fab_grasa_g_l]]/1000</f>
        <v>203.46350000000001</v>
      </c>
      <c r="P257">
        <f>Tabla2[[#This Row],[cuba_fab_litros]]*Tabla2[[#This Row],[cuba_fab_prot_g_l]]/1000</f>
        <v>176.60329999999999</v>
      </c>
      <c r="Q257">
        <f>Tabla2[[#This Row],[queso_kg]]*Tabla2[[#This Row],[queso_est_pct]]/100</f>
        <v>309.497409</v>
      </c>
      <c r="R257">
        <f>Tabla2[[#This Row],[queso_kg]]*Tabla2[[#This Row],[queso_mg_pct]]/100</f>
        <v>164.90050199999999</v>
      </c>
      <c r="S257">
        <f>_xlfn.ISOWEEKNUM(Tabla2[[#This Row],[fecha]])</f>
        <v>37</v>
      </c>
      <c r="T257">
        <v>37</v>
      </c>
    </row>
    <row r="258" spans="1:20" x14ac:dyDescent="0.25">
      <c r="A258" s="1">
        <v>45547</v>
      </c>
      <c r="B258">
        <v>5711</v>
      </c>
      <c r="C258">
        <v>5545</v>
      </c>
      <c r="D258">
        <v>43.39</v>
      </c>
      <c r="E258">
        <v>35.75</v>
      </c>
      <c r="F258">
        <v>5024</v>
      </c>
      <c r="G258">
        <v>41.01</v>
      </c>
      <c r="H258">
        <v>34.369999999999997</v>
      </c>
      <c r="I258">
        <v>4607</v>
      </c>
      <c r="J258">
        <v>604.75</v>
      </c>
      <c r="K258">
        <v>52.32</v>
      </c>
      <c r="L258">
        <v>28.2</v>
      </c>
      <c r="M258">
        <f>Tabla2[[#This Row],[entrada_litros]]*Tabla2[[#This Row],[entrada_grasa_g_l]]/1000</f>
        <v>240.59755000000001</v>
      </c>
      <c r="N258">
        <f>Tabla2[[#This Row],[entrada_litros]]*Tabla2[[#This Row],[entrada_prot_g_l]]/1000</f>
        <v>198.23374999999999</v>
      </c>
      <c r="O258">
        <f>Tabla2[[#This Row],[cuba_fab_litros]]*Tabla2[[#This Row],[cuba_fab_grasa_g_l]]/1000</f>
        <v>206.03423999999998</v>
      </c>
      <c r="P258">
        <f>Tabla2[[#This Row],[cuba_fab_litros]]*Tabla2[[#This Row],[cuba_fab_prot_g_l]]/1000</f>
        <v>172.67487999999997</v>
      </c>
      <c r="Q258">
        <f>Tabla2[[#This Row],[queso_kg]]*Tabla2[[#This Row],[queso_est_pct]]/100</f>
        <v>316.40519999999998</v>
      </c>
      <c r="R258">
        <f>Tabla2[[#This Row],[queso_kg]]*Tabla2[[#This Row],[queso_mg_pct]]/100</f>
        <v>170.5395</v>
      </c>
      <c r="S258">
        <f>_xlfn.ISOWEEKNUM(Tabla2[[#This Row],[fecha]])</f>
        <v>37</v>
      </c>
      <c r="T258">
        <v>37</v>
      </c>
    </row>
    <row r="259" spans="1:20" x14ac:dyDescent="0.25">
      <c r="A259" s="1">
        <v>45548</v>
      </c>
      <c r="F259">
        <v>4625</v>
      </c>
      <c r="G259">
        <v>41.11</v>
      </c>
      <c r="H259">
        <v>34.74</v>
      </c>
      <c r="J259">
        <v>552.1</v>
      </c>
      <c r="K259">
        <v>52.03</v>
      </c>
      <c r="L259">
        <v>26.89</v>
      </c>
      <c r="M259">
        <f>Tabla2[[#This Row],[entrada_litros]]*Tabla2[[#This Row],[entrada_grasa_g_l]]/1000</f>
        <v>0</v>
      </c>
      <c r="N259">
        <f>Tabla2[[#This Row],[entrada_litros]]*Tabla2[[#This Row],[entrada_prot_g_l]]/1000</f>
        <v>0</v>
      </c>
      <c r="O259">
        <f>Tabla2[[#This Row],[cuba_fab_litros]]*Tabla2[[#This Row],[cuba_fab_grasa_g_l]]/1000</f>
        <v>190.13374999999999</v>
      </c>
      <c r="P259">
        <f>Tabla2[[#This Row],[cuba_fab_litros]]*Tabla2[[#This Row],[cuba_fab_prot_g_l]]/1000</f>
        <v>160.67250000000001</v>
      </c>
      <c r="Q259">
        <f>Tabla2[[#This Row],[queso_kg]]*Tabla2[[#This Row],[queso_est_pct]]/100</f>
        <v>287.25763000000001</v>
      </c>
      <c r="R259">
        <f>Tabla2[[#This Row],[queso_kg]]*Tabla2[[#This Row],[queso_mg_pct]]/100</f>
        <v>148.45969000000002</v>
      </c>
      <c r="S259">
        <f>_xlfn.ISOWEEKNUM(Tabla2[[#This Row],[fecha]])</f>
        <v>37</v>
      </c>
      <c r="T259">
        <v>37</v>
      </c>
    </row>
    <row r="260" spans="1:20" x14ac:dyDescent="0.25">
      <c r="A260" s="1">
        <v>45549</v>
      </c>
      <c r="M260">
        <f>Tabla2[[#This Row],[entrada_litros]]*Tabla2[[#This Row],[entrada_grasa_g_l]]/1000</f>
        <v>0</v>
      </c>
      <c r="N260">
        <f>Tabla2[[#This Row],[entrada_litros]]*Tabla2[[#This Row],[entrada_prot_g_l]]/1000</f>
        <v>0</v>
      </c>
      <c r="O260">
        <f>Tabla2[[#This Row],[cuba_fab_litros]]*Tabla2[[#This Row],[cuba_fab_grasa_g_l]]/1000</f>
        <v>0</v>
      </c>
      <c r="P260">
        <f>Tabla2[[#This Row],[cuba_fab_litros]]*Tabla2[[#This Row],[cuba_fab_prot_g_l]]/1000</f>
        <v>0</v>
      </c>
      <c r="Q260">
        <f>Tabla2[[#This Row],[queso_kg]]*Tabla2[[#This Row],[queso_est_pct]]/100</f>
        <v>0</v>
      </c>
      <c r="R260">
        <f>Tabla2[[#This Row],[queso_kg]]*Tabla2[[#This Row],[queso_mg_pct]]/100</f>
        <v>0</v>
      </c>
      <c r="S260">
        <f>_xlfn.ISOWEEKNUM(Tabla2[[#This Row],[fecha]])</f>
        <v>37</v>
      </c>
      <c r="T260">
        <v>37</v>
      </c>
    </row>
    <row r="261" spans="1:20" x14ac:dyDescent="0.25">
      <c r="A261" s="1">
        <v>45550</v>
      </c>
      <c r="B261">
        <v>4964</v>
      </c>
      <c r="C261">
        <v>4819</v>
      </c>
      <c r="D261">
        <v>41.24</v>
      </c>
      <c r="E261">
        <v>35.29</v>
      </c>
      <c r="I261">
        <v>4819</v>
      </c>
      <c r="M261">
        <f>Tabla2[[#This Row],[entrada_litros]]*Tabla2[[#This Row],[entrada_grasa_g_l]]/1000</f>
        <v>198.73555999999999</v>
      </c>
      <c r="N261">
        <f>Tabla2[[#This Row],[entrada_litros]]*Tabla2[[#This Row],[entrada_prot_g_l]]/1000</f>
        <v>170.06251</v>
      </c>
      <c r="O261">
        <f>Tabla2[[#This Row],[cuba_fab_litros]]*Tabla2[[#This Row],[cuba_fab_grasa_g_l]]/1000</f>
        <v>0</v>
      </c>
      <c r="P261">
        <f>Tabla2[[#This Row],[cuba_fab_litros]]*Tabla2[[#This Row],[cuba_fab_prot_g_l]]/1000</f>
        <v>0</v>
      </c>
      <c r="Q261">
        <f>Tabla2[[#This Row],[queso_kg]]*Tabla2[[#This Row],[queso_est_pct]]/100</f>
        <v>0</v>
      </c>
      <c r="R261">
        <f>Tabla2[[#This Row],[queso_kg]]*Tabla2[[#This Row],[queso_mg_pct]]/100</f>
        <v>0</v>
      </c>
      <c r="S261">
        <f>_xlfn.ISOWEEKNUM(Tabla2[[#This Row],[fecha]])</f>
        <v>37</v>
      </c>
      <c r="T261">
        <v>38</v>
      </c>
    </row>
    <row r="262" spans="1:20" x14ac:dyDescent="0.25">
      <c r="A262" s="1">
        <v>45551</v>
      </c>
      <c r="B262">
        <v>5736</v>
      </c>
      <c r="C262">
        <v>5569</v>
      </c>
      <c r="D262">
        <v>42.53</v>
      </c>
      <c r="E262">
        <v>36.17</v>
      </c>
      <c r="F262">
        <v>5024</v>
      </c>
      <c r="G262">
        <v>39.94</v>
      </c>
      <c r="H262">
        <v>34.35</v>
      </c>
      <c r="I262">
        <v>5388</v>
      </c>
      <c r="J262">
        <v>586.61</v>
      </c>
      <c r="K262">
        <v>56.15</v>
      </c>
      <c r="L262">
        <v>26.9</v>
      </c>
      <c r="M262">
        <f>Tabla2[[#This Row],[entrada_litros]]*Tabla2[[#This Row],[entrada_grasa_g_l]]/1000</f>
        <v>236.84957</v>
      </c>
      <c r="N262">
        <f>Tabla2[[#This Row],[entrada_litros]]*Tabla2[[#This Row],[entrada_prot_g_l]]/1000</f>
        <v>201.43073000000001</v>
      </c>
      <c r="O262">
        <f>Tabla2[[#This Row],[cuba_fab_litros]]*Tabla2[[#This Row],[cuba_fab_grasa_g_l]]/1000</f>
        <v>200.65855999999999</v>
      </c>
      <c r="P262">
        <f>Tabla2[[#This Row],[cuba_fab_litros]]*Tabla2[[#This Row],[cuba_fab_prot_g_l]]/1000</f>
        <v>172.5744</v>
      </c>
      <c r="Q262">
        <f>Tabla2[[#This Row],[queso_kg]]*Tabla2[[#This Row],[queso_est_pct]]/100</f>
        <v>329.38151499999998</v>
      </c>
      <c r="R262">
        <f>Tabla2[[#This Row],[queso_kg]]*Tabla2[[#This Row],[queso_mg_pct]]/100</f>
        <v>157.79809</v>
      </c>
      <c r="S262">
        <f>_xlfn.ISOWEEKNUM(Tabla2[[#This Row],[fecha]])</f>
        <v>38</v>
      </c>
      <c r="T262">
        <v>38</v>
      </c>
    </row>
    <row r="263" spans="1:20" x14ac:dyDescent="0.25">
      <c r="A263" s="1">
        <v>45552</v>
      </c>
      <c r="B263">
        <v>5535</v>
      </c>
      <c r="C263">
        <v>5374</v>
      </c>
      <c r="D263">
        <v>42.6</v>
      </c>
      <c r="E263">
        <v>33.909999999999997</v>
      </c>
      <c r="F263">
        <v>5022</v>
      </c>
      <c r="G263">
        <v>40.68</v>
      </c>
      <c r="H263">
        <v>33.4</v>
      </c>
      <c r="I263">
        <v>5762</v>
      </c>
      <c r="J263">
        <v>587.41999999999996</v>
      </c>
      <c r="K263">
        <v>53.15</v>
      </c>
      <c r="L263">
        <v>25.5</v>
      </c>
      <c r="M263">
        <f>Tabla2[[#This Row],[entrada_litros]]*Tabla2[[#This Row],[entrada_grasa_g_l]]/1000</f>
        <v>228.9324</v>
      </c>
      <c r="N263">
        <f>Tabla2[[#This Row],[entrada_litros]]*Tabla2[[#This Row],[entrada_prot_g_l]]/1000</f>
        <v>182.23233999999997</v>
      </c>
      <c r="O263">
        <f>Tabla2[[#This Row],[cuba_fab_litros]]*Tabla2[[#This Row],[cuba_fab_grasa_g_l]]/1000</f>
        <v>204.29496</v>
      </c>
      <c r="P263">
        <f>Tabla2[[#This Row],[cuba_fab_litros]]*Tabla2[[#This Row],[cuba_fab_prot_g_l]]/1000</f>
        <v>167.73479999999998</v>
      </c>
      <c r="Q263">
        <f>Tabla2[[#This Row],[queso_kg]]*Tabla2[[#This Row],[queso_est_pct]]/100</f>
        <v>312.21372999999994</v>
      </c>
      <c r="R263">
        <f>Tabla2[[#This Row],[queso_kg]]*Tabla2[[#This Row],[queso_mg_pct]]/100</f>
        <v>149.7921</v>
      </c>
      <c r="S263">
        <f>_xlfn.ISOWEEKNUM(Tabla2[[#This Row],[fecha]])</f>
        <v>38</v>
      </c>
      <c r="T263">
        <v>38</v>
      </c>
    </row>
    <row r="264" spans="1:20" x14ac:dyDescent="0.25">
      <c r="A264" s="1">
        <v>45553</v>
      </c>
      <c r="B264">
        <v>4766</v>
      </c>
      <c r="C264">
        <v>4627</v>
      </c>
      <c r="D264">
        <v>42.75</v>
      </c>
      <c r="E264">
        <v>35.11</v>
      </c>
      <c r="F264">
        <v>5022</v>
      </c>
      <c r="G264">
        <v>40.64</v>
      </c>
      <c r="H264">
        <v>33.67</v>
      </c>
      <c r="I264">
        <v>5389</v>
      </c>
      <c r="J264">
        <v>593.28</v>
      </c>
      <c r="K264">
        <v>52.18</v>
      </c>
      <c r="L264">
        <v>26.61</v>
      </c>
      <c r="M264">
        <f>Tabla2[[#This Row],[entrada_litros]]*Tabla2[[#This Row],[entrada_grasa_g_l]]/1000</f>
        <v>197.80425</v>
      </c>
      <c r="N264">
        <f>Tabla2[[#This Row],[entrada_litros]]*Tabla2[[#This Row],[entrada_prot_g_l]]/1000</f>
        <v>162.45397</v>
      </c>
      <c r="O264">
        <f>Tabla2[[#This Row],[cuba_fab_litros]]*Tabla2[[#This Row],[cuba_fab_grasa_g_l]]/1000</f>
        <v>204.09408000000002</v>
      </c>
      <c r="P264">
        <f>Tabla2[[#This Row],[cuba_fab_litros]]*Tabla2[[#This Row],[cuba_fab_prot_g_l]]/1000</f>
        <v>169.09074000000001</v>
      </c>
      <c r="Q264">
        <f>Tabla2[[#This Row],[queso_kg]]*Tabla2[[#This Row],[queso_est_pct]]/100</f>
        <v>309.57350400000001</v>
      </c>
      <c r="R264">
        <f>Tabla2[[#This Row],[queso_kg]]*Tabla2[[#This Row],[queso_mg_pct]]/100</f>
        <v>157.87180799999999</v>
      </c>
      <c r="S264">
        <f>_xlfn.ISOWEEKNUM(Tabla2[[#This Row],[fecha]])</f>
        <v>38</v>
      </c>
      <c r="T264">
        <v>38</v>
      </c>
    </row>
    <row r="265" spans="1:20" x14ac:dyDescent="0.25">
      <c r="A265" s="1">
        <v>45554</v>
      </c>
      <c r="B265">
        <v>4895</v>
      </c>
      <c r="C265">
        <v>4752</v>
      </c>
      <c r="D265">
        <v>42.07</v>
      </c>
      <c r="E265">
        <v>33.96</v>
      </c>
      <c r="F265">
        <v>5026</v>
      </c>
      <c r="G265">
        <v>40.44</v>
      </c>
      <c r="H265">
        <v>32.94</v>
      </c>
      <c r="I265">
        <v>5141</v>
      </c>
      <c r="J265">
        <v>579.24</v>
      </c>
      <c r="K265">
        <v>53.55</v>
      </c>
      <c r="L265">
        <v>28.41</v>
      </c>
      <c r="M265">
        <f>Tabla2[[#This Row],[entrada_litros]]*Tabla2[[#This Row],[entrada_grasa_g_l]]/1000</f>
        <v>199.91664</v>
      </c>
      <c r="N265">
        <f>Tabla2[[#This Row],[entrada_litros]]*Tabla2[[#This Row],[entrada_prot_g_l]]/1000</f>
        <v>161.37792000000002</v>
      </c>
      <c r="O265">
        <f>Tabla2[[#This Row],[cuba_fab_litros]]*Tabla2[[#This Row],[cuba_fab_grasa_g_l]]/1000</f>
        <v>203.25144</v>
      </c>
      <c r="P265">
        <f>Tabla2[[#This Row],[cuba_fab_litros]]*Tabla2[[#This Row],[cuba_fab_prot_g_l]]/1000</f>
        <v>165.55644000000001</v>
      </c>
      <c r="Q265">
        <f>Tabla2[[#This Row],[queso_kg]]*Tabla2[[#This Row],[queso_est_pct]]/100</f>
        <v>310.18302</v>
      </c>
      <c r="R265">
        <f>Tabla2[[#This Row],[queso_kg]]*Tabla2[[#This Row],[queso_mg_pct]]/100</f>
        <v>164.562084</v>
      </c>
      <c r="S265">
        <f>_xlfn.ISOWEEKNUM(Tabla2[[#This Row],[fecha]])</f>
        <v>38</v>
      </c>
      <c r="T265">
        <v>38</v>
      </c>
    </row>
    <row r="266" spans="1:20" x14ac:dyDescent="0.25">
      <c r="A266" s="1">
        <v>45555</v>
      </c>
      <c r="F266">
        <v>5163</v>
      </c>
      <c r="G266">
        <v>39.97</v>
      </c>
      <c r="H266">
        <v>32.89</v>
      </c>
      <c r="J266">
        <v>589.58000000000004</v>
      </c>
      <c r="K266">
        <v>55.85</v>
      </c>
      <c r="L266">
        <v>28.23</v>
      </c>
      <c r="M266">
        <f>Tabla2[[#This Row],[entrada_litros]]*Tabla2[[#This Row],[entrada_grasa_g_l]]/1000</f>
        <v>0</v>
      </c>
      <c r="N266">
        <f>Tabla2[[#This Row],[entrada_litros]]*Tabla2[[#This Row],[entrada_prot_g_l]]/1000</f>
        <v>0</v>
      </c>
      <c r="O266">
        <f>Tabla2[[#This Row],[cuba_fab_litros]]*Tabla2[[#This Row],[cuba_fab_grasa_g_l]]/1000</f>
        <v>206.36510999999999</v>
      </c>
      <c r="P266">
        <f>Tabla2[[#This Row],[cuba_fab_litros]]*Tabla2[[#This Row],[cuba_fab_prot_g_l]]/1000</f>
        <v>169.81107</v>
      </c>
      <c r="Q266">
        <f>Tabla2[[#This Row],[queso_kg]]*Tabla2[[#This Row],[queso_est_pct]]/100</f>
        <v>329.28043000000002</v>
      </c>
      <c r="R266">
        <f>Tabla2[[#This Row],[queso_kg]]*Tabla2[[#This Row],[queso_mg_pct]]/100</f>
        <v>166.43843400000003</v>
      </c>
      <c r="S266">
        <f>_xlfn.ISOWEEKNUM(Tabla2[[#This Row],[fecha]])</f>
        <v>38</v>
      </c>
      <c r="T266">
        <v>38</v>
      </c>
    </row>
    <row r="267" spans="1:20" x14ac:dyDescent="0.25">
      <c r="A267" s="1">
        <v>45556</v>
      </c>
      <c r="M267">
        <f>Tabla2[[#This Row],[entrada_litros]]*Tabla2[[#This Row],[entrada_grasa_g_l]]/1000</f>
        <v>0</v>
      </c>
      <c r="N267">
        <f>Tabla2[[#This Row],[entrada_litros]]*Tabla2[[#This Row],[entrada_prot_g_l]]/1000</f>
        <v>0</v>
      </c>
      <c r="O267">
        <f>Tabla2[[#This Row],[cuba_fab_litros]]*Tabla2[[#This Row],[cuba_fab_grasa_g_l]]/1000</f>
        <v>0</v>
      </c>
      <c r="P267">
        <f>Tabla2[[#This Row],[cuba_fab_litros]]*Tabla2[[#This Row],[cuba_fab_prot_g_l]]/1000</f>
        <v>0</v>
      </c>
      <c r="Q267">
        <f>Tabla2[[#This Row],[queso_kg]]*Tabla2[[#This Row],[queso_est_pct]]/100</f>
        <v>0</v>
      </c>
      <c r="R267">
        <f>Tabla2[[#This Row],[queso_kg]]*Tabla2[[#This Row],[queso_mg_pct]]/100</f>
        <v>0</v>
      </c>
      <c r="S267">
        <f>_xlfn.ISOWEEKNUM(Tabla2[[#This Row],[fecha]])</f>
        <v>38</v>
      </c>
      <c r="T267">
        <v>38</v>
      </c>
    </row>
    <row r="268" spans="1:20" x14ac:dyDescent="0.25">
      <c r="A268" s="1">
        <v>45557</v>
      </c>
      <c r="B268">
        <v>5659</v>
      </c>
      <c r="C268">
        <v>5494</v>
      </c>
      <c r="D268">
        <v>42.94</v>
      </c>
      <c r="E268">
        <v>36.32</v>
      </c>
      <c r="I268">
        <v>5494</v>
      </c>
      <c r="M268">
        <f>Tabla2[[#This Row],[entrada_litros]]*Tabla2[[#This Row],[entrada_grasa_g_l]]/1000</f>
        <v>235.91235999999998</v>
      </c>
      <c r="N268">
        <f>Tabla2[[#This Row],[entrada_litros]]*Tabla2[[#This Row],[entrada_prot_g_l]]/1000</f>
        <v>199.54208</v>
      </c>
      <c r="O268">
        <f>Tabla2[[#This Row],[cuba_fab_litros]]*Tabla2[[#This Row],[cuba_fab_grasa_g_l]]/1000</f>
        <v>0</v>
      </c>
      <c r="P268">
        <f>Tabla2[[#This Row],[cuba_fab_litros]]*Tabla2[[#This Row],[cuba_fab_prot_g_l]]/1000</f>
        <v>0</v>
      </c>
      <c r="Q268">
        <f>Tabla2[[#This Row],[queso_kg]]*Tabla2[[#This Row],[queso_est_pct]]/100</f>
        <v>0</v>
      </c>
      <c r="R268">
        <f>Tabla2[[#This Row],[queso_kg]]*Tabla2[[#This Row],[queso_mg_pct]]/100</f>
        <v>0</v>
      </c>
      <c r="S268">
        <f>_xlfn.ISOWEEKNUM(Tabla2[[#This Row],[fecha]])</f>
        <v>38</v>
      </c>
      <c r="T268">
        <v>39</v>
      </c>
    </row>
    <row r="269" spans="1:20" x14ac:dyDescent="0.25">
      <c r="A269" s="1">
        <v>45558</v>
      </c>
      <c r="B269">
        <v>4985</v>
      </c>
      <c r="C269">
        <v>4840</v>
      </c>
      <c r="D269">
        <v>42.47</v>
      </c>
      <c r="E269">
        <v>35.07</v>
      </c>
      <c r="F269">
        <v>5027</v>
      </c>
      <c r="G269">
        <v>41</v>
      </c>
      <c r="H269">
        <v>33.74</v>
      </c>
      <c r="I269">
        <v>5334</v>
      </c>
      <c r="J269">
        <v>603.30999999999995</v>
      </c>
      <c r="K269">
        <v>52.05</v>
      </c>
      <c r="L269">
        <v>27.44</v>
      </c>
      <c r="M269">
        <f>Tabla2[[#This Row],[entrada_litros]]*Tabla2[[#This Row],[entrada_grasa_g_l]]/1000</f>
        <v>205.5548</v>
      </c>
      <c r="N269">
        <f>Tabla2[[#This Row],[entrada_litros]]*Tabla2[[#This Row],[entrada_prot_g_l]]/1000</f>
        <v>169.7388</v>
      </c>
      <c r="O269">
        <f>Tabla2[[#This Row],[cuba_fab_litros]]*Tabla2[[#This Row],[cuba_fab_grasa_g_l]]/1000</f>
        <v>206.107</v>
      </c>
      <c r="P269">
        <f>Tabla2[[#This Row],[cuba_fab_litros]]*Tabla2[[#This Row],[cuba_fab_prot_g_l]]/1000</f>
        <v>169.61098000000001</v>
      </c>
      <c r="Q269">
        <f>Tabla2[[#This Row],[queso_kg]]*Tabla2[[#This Row],[queso_est_pct]]/100</f>
        <v>314.02285499999994</v>
      </c>
      <c r="R269">
        <f>Tabla2[[#This Row],[queso_kg]]*Tabla2[[#This Row],[queso_mg_pct]]/100</f>
        <v>165.54826399999999</v>
      </c>
      <c r="S269">
        <f>_xlfn.ISOWEEKNUM(Tabla2[[#This Row],[fecha]])</f>
        <v>39</v>
      </c>
      <c r="T269">
        <v>39</v>
      </c>
    </row>
    <row r="270" spans="1:20" x14ac:dyDescent="0.25">
      <c r="A270" s="1">
        <v>45559</v>
      </c>
      <c r="B270">
        <v>4842</v>
      </c>
      <c r="C270">
        <v>4701</v>
      </c>
      <c r="D270">
        <v>45.19</v>
      </c>
      <c r="E270">
        <v>36.01</v>
      </c>
      <c r="F270">
        <v>5017</v>
      </c>
      <c r="G270">
        <v>42.07</v>
      </c>
      <c r="H270">
        <v>34.54</v>
      </c>
      <c r="I270">
        <v>5035</v>
      </c>
      <c r="J270">
        <v>618.54</v>
      </c>
      <c r="K270">
        <v>52.09</v>
      </c>
      <c r="L270">
        <v>26.37</v>
      </c>
      <c r="M270">
        <f>Tabla2[[#This Row],[entrada_litros]]*Tabla2[[#This Row],[entrada_grasa_g_l]]/1000</f>
        <v>212.43818999999999</v>
      </c>
      <c r="N270">
        <f>Tabla2[[#This Row],[entrada_litros]]*Tabla2[[#This Row],[entrada_prot_g_l]]/1000</f>
        <v>169.28300999999999</v>
      </c>
      <c r="O270">
        <f>Tabla2[[#This Row],[cuba_fab_litros]]*Tabla2[[#This Row],[cuba_fab_grasa_g_l]]/1000</f>
        <v>211.06519</v>
      </c>
      <c r="P270">
        <f>Tabla2[[#This Row],[cuba_fab_litros]]*Tabla2[[#This Row],[cuba_fab_prot_g_l]]/1000</f>
        <v>173.28718000000001</v>
      </c>
      <c r="Q270">
        <f>Tabla2[[#This Row],[queso_kg]]*Tabla2[[#This Row],[queso_est_pct]]/100</f>
        <v>322.19748599999997</v>
      </c>
      <c r="R270">
        <f>Tabla2[[#This Row],[queso_kg]]*Tabla2[[#This Row],[queso_mg_pct]]/100</f>
        <v>163.10899799999999</v>
      </c>
      <c r="S270">
        <f>_xlfn.ISOWEEKNUM(Tabla2[[#This Row],[fecha]])</f>
        <v>39</v>
      </c>
      <c r="T270">
        <v>39</v>
      </c>
    </row>
    <row r="271" spans="1:20" x14ac:dyDescent="0.25">
      <c r="A271" s="1">
        <v>45560</v>
      </c>
      <c r="B271">
        <v>5767</v>
      </c>
      <c r="C271">
        <v>5599</v>
      </c>
      <c r="D271">
        <v>43.12</v>
      </c>
      <c r="E271">
        <v>34.86</v>
      </c>
      <c r="F271">
        <v>5024</v>
      </c>
      <c r="G271">
        <v>41.75</v>
      </c>
      <c r="H271">
        <v>33.82</v>
      </c>
      <c r="I271">
        <v>5634</v>
      </c>
      <c r="J271">
        <v>578.82000000000005</v>
      </c>
      <c r="K271">
        <v>52.08</v>
      </c>
      <c r="L271">
        <v>26.9</v>
      </c>
      <c r="M271">
        <f>Tabla2[[#This Row],[entrada_litros]]*Tabla2[[#This Row],[entrada_grasa_g_l]]/1000</f>
        <v>241.42887999999996</v>
      </c>
      <c r="N271">
        <f>Tabla2[[#This Row],[entrada_litros]]*Tabla2[[#This Row],[entrada_prot_g_l]]/1000</f>
        <v>195.18113999999997</v>
      </c>
      <c r="O271">
        <f>Tabla2[[#This Row],[cuba_fab_litros]]*Tabla2[[#This Row],[cuba_fab_grasa_g_l]]/1000</f>
        <v>209.75200000000001</v>
      </c>
      <c r="P271">
        <f>Tabla2[[#This Row],[cuba_fab_litros]]*Tabla2[[#This Row],[cuba_fab_prot_g_l]]/1000</f>
        <v>169.91167999999999</v>
      </c>
      <c r="Q271">
        <f>Tabla2[[#This Row],[queso_kg]]*Tabla2[[#This Row],[queso_est_pct]]/100</f>
        <v>301.44945600000005</v>
      </c>
      <c r="R271">
        <f>Tabla2[[#This Row],[queso_kg]]*Tabla2[[#This Row],[queso_mg_pct]]/100</f>
        <v>155.70258000000001</v>
      </c>
      <c r="S271">
        <f>_xlfn.ISOWEEKNUM(Tabla2[[#This Row],[fecha]])</f>
        <v>39</v>
      </c>
      <c r="T271">
        <v>39</v>
      </c>
    </row>
    <row r="272" spans="1:20" x14ac:dyDescent="0.25">
      <c r="A272" s="1">
        <v>45561</v>
      </c>
      <c r="B272">
        <v>5144</v>
      </c>
      <c r="C272">
        <v>4994</v>
      </c>
      <c r="D272">
        <v>41.91</v>
      </c>
      <c r="E272">
        <v>35.29</v>
      </c>
      <c r="F272">
        <v>5021</v>
      </c>
      <c r="G272">
        <v>40.98</v>
      </c>
      <c r="H272">
        <v>33.729999999999997</v>
      </c>
      <c r="I272">
        <v>5628</v>
      </c>
      <c r="J272">
        <v>605.9</v>
      </c>
      <c r="K272">
        <v>51.8</v>
      </c>
      <c r="L272">
        <v>27.08</v>
      </c>
      <c r="M272">
        <f>Tabla2[[#This Row],[entrada_litros]]*Tabla2[[#This Row],[entrada_grasa_g_l]]/1000</f>
        <v>209.29853999999997</v>
      </c>
      <c r="N272">
        <f>Tabla2[[#This Row],[entrada_litros]]*Tabla2[[#This Row],[entrada_prot_g_l]]/1000</f>
        <v>176.23826</v>
      </c>
      <c r="O272">
        <f>Tabla2[[#This Row],[cuba_fab_litros]]*Tabla2[[#This Row],[cuba_fab_grasa_g_l]]/1000</f>
        <v>205.76057999999998</v>
      </c>
      <c r="P272">
        <f>Tabla2[[#This Row],[cuba_fab_litros]]*Tabla2[[#This Row],[cuba_fab_prot_g_l]]/1000</f>
        <v>169.35833</v>
      </c>
      <c r="Q272">
        <f>Tabla2[[#This Row],[queso_kg]]*Tabla2[[#This Row],[queso_est_pct]]/100</f>
        <v>313.85619999999994</v>
      </c>
      <c r="R272">
        <f>Tabla2[[#This Row],[queso_kg]]*Tabla2[[#This Row],[queso_mg_pct]]/100</f>
        <v>164.07771999999997</v>
      </c>
      <c r="S272">
        <f>_xlfn.ISOWEEKNUM(Tabla2[[#This Row],[fecha]])</f>
        <v>39</v>
      </c>
      <c r="T272">
        <v>39</v>
      </c>
    </row>
    <row r="273" spans="1:20" x14ac:dyDescent="0.25">
      <c r="A273" s="1">
        <v>45562</v>
      </c>
      <c r="F273">
        <v>5655</v>
      </c>
      <c r="G273">
        <v>40.869999999999997</v>
      </c>
      <c r="H273">
        <v>33.880000000000003</v>
      </c>
      <c r="J273">
        <v>678.13</v>
      </c>
      <c r="K273">
        <v>52.65</v>
      </c>
      <c r="L273">
        <v>26.25</v>
      </c>
      <c r="M273">
        <f>Tabla2[[#This Row],[entrada_litros]]*Tabla2[[#This Row],[entrada_grasa_g_l]]/1000</f>
        <v>0</v>
      </c>
      <c r="N273">
        <f>Tabla2[[#This Row],[entrada_litros]]*Tabla2[[#This Row],[entrada_prot_g_l]]/1000</f>
        <v>0</v>
      </c>
      <c r="O273">
        <f>Tabla2[[#This Row],[cuba_fab_litros]]*Tabla2[[#This Row],[cuba_fab_grasa_g_l]]/1000</f>
        <v>231.11984999999999</v>
      </c>
      <c r="P273">
        <f>Tabla2[[#This Row],[cuba_fab_litros]]*Tabla2[[#This Row],[cuba_fab_prot_g_l]]/1000</f>
        <v>191.59140000000002</v>
      </c>
      <c r="Q273">
        <f>Tabla2[[#This Row],[queso_kg]]*Tabla2[[#This Row],[queso_est_pct]]/100</f>
        <v>357.03544499999998</v>
      </c>
      <c r="R273">
        <f>Tabla2[[#This Row],[queso_kg]]*Tabla2[[#This Row],[queso_mg_pct]]/100</f>
        <v>178.00912499999998</v>
      </c>
      <c r="S273">
        <f>_xlfn.ISOWEEKNUM(Tabla2[[#This Row],[fecha]])</f>
        <v>39</v>
      </c>
      <c r="T273">
        <v>39</v>
      </c>
    </row>
    <row r="274" spans="1:20" x14ac:dyDescent="0.25">
      <c r="A274" s="1">
        <v>45563</v>
      </c>
      <c r="M274">
        <f>Tabla2[[#This Row],[entrada_litros]]*Tabla2[[#This Row],[entrada_grasa_g_l]]/1000</f>
        <v>0</v>
      </c>
      <c r="N274">
        <f>Tabla2[[#This Row],[entrada_litros]]*Tabla2[[#This Row],[entrada_prot_g_l]]/1000</f>
        <v>0</v>
      </c>
      <c r="O274">
        <f>Tabla2[[#This Row],[cuba_fab_litros]]*Tabla2[[#This Row],[cuba_fab_grasa_g_l]]/1000</f>
        <v>0</v>
      </c>
      <c r="P274">
        <f>Tabla2[[#This Row],[cuba_fab_litros]]*Tabla2[[#This Row],[cuba_fab_prot_g_l]]/1000</f>
        <v>0</v>
      </c>
      <c r="Q274">
        <f>Tabla2[[#This Row],[queso_kg]]*Tabla2[[#This Row],[queso_est_pct]]/100</f>
        <v>0</v>
      </c>
      <c r="R274">
        <f>Tabla2[[#This Row],[queso_kg]]*Tabla2[[#This Row],[queso_mg_pct]]/100</f>
        <v>0</v>
      </c>
      <c r="S274">
        <f>_xlfn.ISOWEEKNUM(Tabla2[[#This Row],[fecha]])</f>
        <v>39</v>
      </c>
      <c r="T274">
        <v>39</v>
      </c>
    </row>
    <row r="275" spans="1:20" x14ac:dyDescent="0.25">
      <c r="A275" s="1">
        <v>45564</v>
      </c>
      <c r="B275">
        <v>4877</v>
      </c>
      <c r="C275">
        <v>4735</v>
      </c>
      <c r="D275">
        <v>45.44</v>
      </c>
      <c r="E275">
        <v>35.6</v>
      </c>
      <c r="I275">
        <v>4735</v>
      </c>
      <c r="M275">
        <f>Tabla2[[#This Row],[entrada_litros]]*Tabla2[[#This Row],[entrada_grasa_g_l]]/1000</f>
        <v>215.1584</v>
      </c>
      <c r="N275">
        <f>Tabla2[[#This Row],[entrada_litros]]*Tabla2[[#This Row],[entrada_prot_g_l]]/1000</f>
        <v>168.566</v>
      </c>
      <c r="O275">
        <f>Tabla2[[#This Row],[cuba_fab_litros]]*Tabla2[[#This Row],[cuba_fab_grasa_g_l]]/1000</f>
        <v>0</v>
      </c>
      <c r="P275">
        <f>Tabla2[[#This Row],[cuba_fab_litros]]*Tabla2[[#This Row],[cuba_fab_prot_g_l]]/1000</f>
        <v>0</v>
      </c>
      <c r="Q275">
        <f>Tabla2[[#This Row],[queso_kg]]*Tabla2[[#This Row],[queso_est_pct]]/100</f>
        <v>0</v>
      </c>
      <c r="R275">
        <f>Tabla2[[#This Row],[queso_kg]]*Tabla2[[#This Row],[queso_mg_pct]]/100</f>
        <v>0</v>
      </c>
      <c r="S275">
        <f>_xlfn.ISOWEEKNUM(Tabla2[[#This Row],[fecha]])</f>
        <v>39</v>
      </c>
      <c r="T275">
        <v>40</v>
      </c>
    </row>
    <row r="276" spans="1:20" x14ac:dyDescent="0.25">
      <c r="A276" s="1">
        <v>45565</v>
      </c>
      <c r="B276">
        <v>5306</v>
      </c>
      <c r="C276">
        <v>5151</v>
      </c>
      <c r="D276">
        <v>40.21</v>
      </c>
      <c r="E276">
        <v>36.71</v>
      </c>
      <c r="F276">
        <v>5021</v>
      </c>
      <c r="G276">
        <v>41.12</v>
      </c>
      <c r="H276">
        <v>34.6</v>
      </c>
      <c r="I276">
        <v>4886</v>
      </c>
      <c r="J276">
        <v>575.33000000000004</v>
      </c>
      <c r="K276">
        <v>52.51</v>
      </c>
      <c r="L276">
        <v>27.49</v>
      </c>
      <c r="M276">
        <f>Tabla2[[#This Row],[entrada_litros]]*Tabla2[[#This Row],[entrada_grasa_g_l]]/1000</f>
        <v>207.12170999999998</v>
      </c>
      <c r="N276">
        <f>Tabla2[[#This Row],[entrada_litros]]*Tabla2[[#This Row],[entrada_prot_g_l]]/1000</f>
        <v>189.09321</v>
      </c>
      <c r="O276">
        <f>Tabla2[[#This Row],[cuba_fab_litros]]*Tabla2[[#This Row],[cuba_fab_grasa_g_l]]/1000</f>
        <v>206.46351999999999</v>
      </c>
      <c r="P276">
        <f>Tabla2[[#This Row],[cuba_fab_litros]]*Tabla2[[#This Row],[cuba_fab_prot_g_l]]/1000</f>
        <v>173.72660000000002</v>
      </c>
      <c r="Q276">
        <f>Tabla2[[#This Row],[queso_kg]]*Tabla2[[#This Row],[queso_est_pct]]/100</f>
        <v>302.10578300000003</v>
      </c>
      <c r="R276">
        <f>Tabla2[[#This Row],[queso_kg]]*Tabla2[[#This Row],[queso_mg_pct]]/100</f>
        <v>158.15821700000001</v>
      </c>
      <c r="S276">
        <f>_xlfn.ISOWEEKNUM(Tabla2[[#This Row],[fecha]])</f>
        <v>40</v>
      </c>
      <c r="T276">
        <v>40</v>
      </c>
    </row>
    <row r="277" spans="1:20" x14ac:dyDescent="0.25">
      <c r="A277" s="1">
        <v>45566</v>
      </c>
      <c r="B277">
        <v>5336</v>
      </c>
      <c r="C277">
        <v>5181</v>
      </c>
      <c r="D277">
        <v>43.79</v>
      </c>
      <c r="E277">
        <v>34.17</v>
      </c>
      <c r="F277">
        <v>5020</v>
      </c>
      <c r="G277">
        <v>41.47</v>
      </c>
      <c r="H277">
        <v>33.25</v>
      </c>
      <c r="I277">
        <v>5067</v>
      </c>
      <c r="J277">
        <v>558.53</v>
      </c>
      <c r="K277">
        <v>53.26</v>
      </c>
      <c r="L277">
        <v>26.72</v>
      </c>
      <c r="M277">
        <f>Tabla2[[#This Row],[entrada_litros]]*Tabla2[[#This Row],[entrada_grasa_g_l]]/1000</f>
        <v>226.87599</v>
      </c>
      <c r="N277">
        <f>Tabla2[[#This Row],[entrada_litros]]*Tabla2[[#This Row],[entrada_prot_g_l]]/1000</f>
        <v>177.03477000000001</v>
      </c>
      <c r="O277">
        <f>Tabla2[[#This Row],[cuba_fab_litros]]*Tabla2[[#This Row],[cuba_fab_grasa_g_l]]/1000</f>
        <v>208.17939999999999</v>
      </c>
      <c r="P277">
        <f>Tabla2[[#This Row],[cuba_fab_litros]]*Tabla2[[#This Row],[cuba_fab_prot_g_l]]/1000</f>
        <v>166.91499999999999</v>
      </c>
      <c r="Q277">
        <f>Tabla2[[#This Row],[queso_kg]]*Tabla2[[#This Row],[queso_est_pct]]/100</f>
        <v>297.47307799999999</v>
      </c>
      <c r="R277">
        <f>Tabla2[[#This Row],[queso_kg]]*Tabla2[[#This Row],[queso_mg_pct]]/100</f>
        <v>149.23921599999997</v>
      </c>
      <c r="S277">
        <f>_xlfn.ISOWEEKNUM(Tabla2[[#This Row],[fecha]])</f>
        <v>40</v>
      </c>
      <c r="T277">
        <v>40</v>
      </c>
    </row>
    <row r="278" spans="1:20" x14ac:dyDescent="0.25">
      <c r="A278" s="1">
        <v>45567</v>
      </c>
      <c r="B278">
        <v>5034</v>
      </c>
      <c r="C278">
        <v>4887</v>
      </c>
      <c r="D278">
        <v>44.61</v>
      </c>
      <c r="E278">
        <v>35.9</v>
      </c>
      <c r="F278">
        <v>5018</v>
      </c>
      <c r="G278">
        <v>42.04</v>
      </c>
      <c r="H278">
        <v>33.68</v>
      </c>
      <c r="I278">
        <v>4954</v>
      </c>
      <c r="J278">
        <v>582.66999999999996</v>
      </c>
      <c r="K278">
        <v>52.27</v>
      </c>
      <c r="L278">
        <v>28.46</v>
      </c>
      <c r="M278">
        <f>Tabla2[[#This Row],[entrada_litros]]*Tabla2[[#This Row],[entrada_grasa_g_l]]/1000</f>
        <v>218.00907000000001</v>
      </c>
      <c r="N278">
        <f>Tabla2[[#This Row],[entrada_litros]]*Tabla2[[#This Row],[entrada_prot_g_l]]/1000</f>
        <v>175.44329999999999</v>
      </c>
      <c r="O278">
        <f>Tabla2[[#This Row],[cuba_fab_litros]]*Tabla2[[#This Row],[cuba_fab_grasa_g_l]]/1000</f>
        <v>210.95671999999999</v>
      </c>
      <c r="P278">
        <f>Tabla2[[#This Row],[cuba_fab_litros]]*Tabla2[[#This Row],[cuba_fab_prot_g_l]]/1000</f>
        <v>169.00623999999999</v>
      </c>
      <c r="Q278">
        <f>Tabla2[[#This Row],[queso_kg]]*Tabla2[[#This Row],[queso_est_pct]]/100</f>
        <v>304.56160899999998</v>
      </c>
      <c r="R278">
        <f>Tabla2[[#This Row],[queso_kg]]*Tabla2[[#This Row],[queso_mg_pct]]/100</f>
        <v>165.82788199999999</v>
      </c>
      <c r="S278">
        <f>_xlfn.ISOWEEKNUM(Tabla2[[#This Row],[fecha]])</f>
        <v>40</v>
      </c>
      <c r="T278">
        <v>40</v>
      </c>
    </row>
    <row r="279" spans="1:20" x14ac:dyDescent="0.25">
      <c r="A279" s="1">
        <v>45568</v>
      </c>
      <c r="B279">
        <v>5417</v>
      </c>
      <c r="C279">
        <v>5259</v>
      </c>
      <c r="D279">
        <v>44.56</v>
      </c>
      <c r="E279">
        <v>35.340000000000003</v>
      </c>
      <c r="F279">
        <v>5024</v>
      </c>
      <c r="G279">
        <v>41.92</v>
      </c>
      <c r="H279">
        <v>34.01</v>
      </c>
      <c r="I279">
        <v>5213</v>
      </c>
      <c r="J279">
        <v>596.09</v>
      </c>
      <c r="K279">
        <v>52.57</v>
      </c>
      <c r="L279">
        <v>26.88</v>
      </c>
      <c r="M279">
        <f>Tabla2[[#This Row],[entrada_litros]]*Tabla2[[#This Row],[entrada_grasa_g_l]]/1000</f>
        <v>234.34104000000002</v>
      </c>
      <c r="N279">
        <f>Tabla2[[#This Row],[entrada_litros]]*Tabla2[[#This Row],[entrada_prot_g_l]]/1000</f>
        <v>185.85306000000003</v>
      </c>
      <c r="O279">
        <f>Tabla2[[#This Row],[cuba_fab_litros]]*Tabla2[[#This Row],[cuba_fab_grasa_g_l]]/1000</f>
        <v>210.60608000000002</v>
      </c>
      <c r="P279">
        <f>Tabla2[[#This Row],[cuba_fab_litros]]*Tabla2[[#This Row],[cuba_fab_prot_g_l]]/1000</f>
        <v>170.86624</v>
      </c>
      <c r="Q279">
        <f>Tabla2[[#This Row],[queso_kg]]*Tabla2[[#This Row],[queso_est_pct]]/100</f>
        <v>313.36451299999999</v>
      </c>
      <c r="R279">
        <f>Tabla2[[#This Row],[queso_kg]]*Tabla2[[#This Row],[queso_mg_pct]]/100</f>
        <v>160.22899200000001</v>
      </c>
      <c r="S279">
        <f>_xlfn.ISOWEEKNUM(Tabla2[[#This Row],[fecha]])</f>
        <v>40</v>
      </c>
      <c r="T279">
        <v>40</v>
      </c>
    </row>
    <row r="280" spans="1:20" x14ac:dyDescent="0.25">
      <c r="A280" s="1">
        <v>45569</v>
      </c>
      <c r="F280">
        <v>5237</v>
      </c>
      <c r="G280">
        <v>42.34</v>
      </c>
      <c r="H280">
        <v>33.6</v>
      </c>
      <c r="J280">
        <v>636.39</v>
      </c>
      <c r="K280">
        <v>51.25</v>
      </c>
      <c r="L280">
        <v>26.61</v>
      </c>
      <c r="M280">
        <f>Tabla2[[#This Row],[entrada_litros]]*Tabla2[[#This Row],[entrada_grasa_g_l]]/1000</f>
        <v>0</v>
      </c>
      <c r="N280">
        <f>Tabla2[[#This Row],[entrada_litros]]*Tabla2[[#This Row],[entrada_prot_g_l]]/1000</f>
        <v>0</v>
      </c>
      <c r="O280">
        <f>Tabla2[[#This Row],[cuba_fab_litros]]*Tabla2[[#This Row],[cuba_fab_grasa_g_l]]/1000</f>
        <v>221.73458000000002</v>
      </c>
      <c r="P280">
        <f>Tabla2[[#This Row],[cuba_fab_litros]]*Tabla2[[#This Row],[cuba_fab_prot_g_l]]/1000</f>
        <v>175.9632</v>
      </c>
      <c r="Q280">
        <f>Tabla2[[#This Row],[queso_kg]]*Tabla2[[#This Row],[queso_est_pct]]/100</f>
        <v>326.14987500000001</v>
      </c>
      <c r="R280">
        <f>Tabla2[[#This Row],[queso_kg]]*Tabla2[[#This Row],[queso_mg_pct]]/100</f>
        <v>169.343379</v>
      </c>
      <c r="S280">
        <f>_xlfn.ISOWEEKNUM(Tabla2[[#This Row],[fecha]])</f>
        <v>40</v>
      </c>
      <c r="T280">
        <v>40</v>
      </c>
    </row>
    <row r="281" spans="1:20" x14ac:dyDescent="0.25">
      <c r="A281" s="1">
        <v>45570</v>
      </c>
      <c r="M281">
        <f>Tabla2[[#This Row],[entrada_litros]]*Tabla2[[#This Row],[entrada_grasa_g_l]]/1000</f>
        <v>0</v>
      </c>
      <c r="N281">
        <f>Tabla2[[#This Row],[entrada_litros]]*Tabla2[[#This Row],[entrada_prot_g_l]]/1000</f>
        <v>0</v>
      </c>
      <c r="O281">
        <f>Tabla2[[#This Row],[cuba_fab_litros]]*Tabla2[[#This Row],[cuba_fab_grasa_g_l]]/1000</f>
        <v>0</v>
      </c>
      <c r="P281">
        <f>Tabla2[[#This Row],[cuba_fab_litros]]*Tabla2[[#This Row],[cuba_fab_prot_g_l]]/1000</f>
        <v>0</v>
      </c>
      <c r="Q281">
        <f>Tabla2[[#This Row],[queso_kg]]*Tabla2[[#This Row],[queso_est_pct]]/100</f>
        <v>0</v>
      </c>
      <c r="R281">
        <f>Tabla2[[#This Row],[queso_kg]]*Tabla2[[#This Row],[queso_mg_pct]]/100</f>
        <v>0</v>
      </c>
      <c r="S281">
        <f>_xlfn.ISOWEEKNUM(Tabla2[[#This Row],[fecha]])</f>
        <v>40</v>
      </c>
      <c r="T281">
        <v>40</v>
      </c>
    </row>
    <row r="282" spans="1:20" x14ac:dyDescent="0.25">
      <c r="A282" s="1">
        <v>45571</v>
      </c>
      <c r="B282">
        <v>5092</v>
      </c>
      <c r="C282">
        <v>4944</v>
      </c>
      <c r="D282">
        <v>43.01</v>
      </c>
      <c r="E282">
        <v>36.79</v>
      </c>
      <c r="I282">
        <v>4944</v>
      </c>
      <c r="M282">
        <f>Tabla2[[#This Row],[entrada_litros]]*Tabla2[[#This Row],[entrada_grasa_g_l]]/1000</f>
        <v>212.64143999999999</v>
      </c>
      <c r="N282">
        <f>Tabla2[[#This Row],[entrada_litros]]*Tabla2[[#This Row],[entrada_prot_g_l]]/1000</f>
        <v>181.88976</v>
      </c>
      <c r="O282">
        <f>Tabla2[[#This Row],[cuba_fab_litros]]*Tabla2[[#This Row],[cuba_fab_grasa_g_l]]/1000</f>
        <v>0</v>
      </c>
      <c r="P282">
        <f>Tabla2[[#This Row],[cuba_fab_litros]]*Tabla2[[#This Row],[cuba_fab_prot_g_l]]/1000</f>
        <v>0</v>
      </c>
      <c r="Q282">
        <f>Tabla2[[#This Row],[queso_kg]]*Tabla2[[#This Row],[queso_est_pct]]/100</f>
        <v>0</v>
      </c>
      <c r="R282">
        <f>Tabla2[[#This Row],[queso_kg]]*Tabla2[[#This Row],[queso_mg_pct]]/100</f>
        <v>0</v>
      </c>
      <c r="S282">
        <f>_xlfn.ISOWEEKNUM(Tabla2[[#This Row],[fecha]])</f>
        <v>40</v>
      </c>
      <c r="T282">
        <v>41</v>
      </c>
    </row>
    <row r="283" spans="1:20" x14ac:dyDescent="0.25">
      <c r="A283" s="1">
        <v>45572</v>
      </c>
      <c r="B283">
        <v>4971</v>
      </c>
      <c r="C283">
        <v>4826</v>
      </c>
      <c r="D283">
        <v>46.28</v>
      </c>
      <c r="E283">
        <v>34.369999999999997</v>
      </c>
      <c r="F283">
        <v>5027</v>
      </c>
      <c r="G283">
        <v>42.64</v>
      </c>
      <c r="H283">
        <v>33.96</v>
      </c>
      <c r="I283">
        <v>4770</v>
      </c>
      <c r="J283">
        <v>601.77</v>
      </c>
      <c r="K283">
        <v>53.34</v>
      </c>
      <c r="L283">
        <v>27.64</v>
      </c>
      <c r="M283">
        <f>Tabla2[[#This Row],[entrada_litros]]*Tabla2[[#This Row],[entrada_grasa_g_l]]/1000</f>
        <v>223.34728000000001</v>
      </c>
      <c r="N283">
        <f>Tabla2[[#This Row],[entrada_litros]]*Tabla2[[#This Row],[entrada_prot_g_l]]/1000</f>
        <v>165.86962</v>
      </c>
      <c r="O283">
        <f>Tabla2[[#This Row],[cuba_fab_litros]]*Tabla2[[#This Row],[cuba_fab_grasa_g_l]]/1000</f>
        <v>214.35128</v>
      </c>
      <c r="P283">
        <f>Tabla2[[#This Row],[cuba_fab_litros]]*Tabla2[[#This Row],[cuba_fab_prot_g_l]]/1000</f>
        <v>170.71692000000002</v>
      </c>
      <c r="Q283">
        <f>Tabla2[[#This Row],[queso_kg]]*Tabla2[[#This Row],[queso_est_pct]]/100</f>
        <v>320.98411800000002</v>
      </c>
      <c r="R283">
        <f>Tabla2[[#This Row],[queso_kg]]*Tabla2[[#This Row],[queso_mg_pct]]/100</f>
        <v>166.329228</v>
      </c>
      <c r="S283">
        <f>_xlfn.ISOWEEKNUM(Tabla2[[#This Row],[fecha]])</f>
        <v>41</v>
      </c>
      <c r="T283">
        <v>41</v>
      </c>
    </row>
    <row r="284" spans="1:20" x14ac:dyDescent="0.25">
      <c r="A284" s="1">
        <v>45573</v>
      </c>
      <c r="B284">
        <v>5011</v>
      </c>
      <c r="C284">
        <v>4865</v>
      </c>
      <c r="D284">
        <v>41.53</v>
      </c>
      <c r="E284">
        <v>34.520000000000003</v>
      </c>
      <c r="F284">
        <v>5026</v>
      </c>
      <c r="G284">
        <v>41.28</v>
      </c>
      <c r="H284">
        <v>33.53</v>
      </c>
      <c r="I284">
        <v>4635</v>
      </c>
      <c r="J284">
        <v>596.29999999999995</v>
      </c>
      <c r="K284">
        <v>52.07</v>
      </c>
      <c r="L284">
        <v>24.55</v>
      </c>
      <c r="M284">
        <f>Tabla2[[#This Row],[entrada_litros]]*Tabla2[[#This Row],[entrada_grasa_g_l]]/1000</f>
        <v>202.04345000000001</v>
      </c>
      <c r="N284">
        <f>Tabla2[[#This Row],[entrada_litros]]*Tabla2[[#This Row],[entrada_prot_g_l]]/1000</f>
        <v>167.93980000000002</v>
      </c>
      <c r="O284">
        <f>Tabla2[[#This Row],[cuba_fab_litros]]*Tabla2[[#This Row],[cuba_fab_grasa_g_l]]/1000</f>
        <v>207.47327999999999</v>
      </c>
      <c r="P284">
        <f>Tabla2[[#This Row],[cuba_fab_litros]]*Tabla2[[#This Row],[cuba_fab_prot_g_l]]/1000</f>
        <v>168.52178000000001</v>
      </c>
      <c r="Q284">
        <f>Tabla2[[#This Row],[queso_kg]]*Tabla2[[#This Row],[queso_est_pct]]/100</f>
        <v>310.49340999999998</v>
      </c>
      <c r="R284">
        <f>Tabla2[[#This Row],[queso_kg]]*Tabla2[[#This Row],[queso_mg_pct]]/100</f>
        <v>146.39165</v>
      </c>
      <c r="S284">
        <f>_xlfn.ISOWEEKNUM(Tabla2[[#This Row],[fecha]])</f>
        <v>41</v>
      </c>
      <c r="T284">
        <v>41</v>
      </c>
    </row>
    <row r="285" spans="1:20" x14ac:dyDescent="0.25">
      <c r="A285" s="1">
        <v>45574</v>
      </c>
      <c r="B285">
        <v>5169</v>
      </c>
      <c r="C285">
        <v>5018</v>
      </c>
      <c r="D285">
        <v>39.450000000000003</v>
      </c>
      <c r="E285">
        <v>36.659999999999997</v>
      </c>
      <c r="F285">
        <v>5017</v>
      </c>
      <c r="G285">
        <v>39.479999999999997</v>
      </c>
      <c r="H285">
        <v>34.200000000000003</v>
      </c>
      <c r="I285">
        <v>4653</v>
      </c>
      <c r="J285">
        <v>592.04</v>
      </c>
      <c r="K285">
        <v>51.75</v>
      </c>
      <c r="L285">
        <v>26.99</v>
      </c>
      <c r="M285">
        <f>Tabla2[[#This Row],[entrada_litros]]*Tabla2[[#This Row],[entrada_grasa_g_l]]/1000</f>
        <v>197.96010000000001</v>
      </c>
      <c r="N285">
        <f>Tabla2[[#This Row],[entrada_litros]]*Tabla2[[#This Row],[entrada_prot_g_l]]/1000</f>
        <v>183.95987999999997</v>
      </c>
      <c r="O285">
        <f>Tabla2[[#This Row],[cuba_fab_litros]]*Tabla2[[#This Row],[cuba_fab_grasa_g_l]]/1000</f>
        <v>198.07115999999996</v>
      </c>
      <c r="P285">
        <f>Tabla2[[#This Row],[cuba_fab_litros]]*Tabla2[[#This Row],[cuba_fab_prot_g_l]]/1000</f>
        <v>171.58140000000003</v>
      </c>
      <c r="Q285">
        <f>Tabla2[[#This Row],[queso_kg]]*Tabla2[[#This Row],[queso_est_pct]]/100</f>
        <v>306.38069999999999</v>
      </c>
      <c r="R285">
        <f>Tabla2[[#This Row],[queso_kg]]*Tabla2[[#This Row],[queso_mg_pct]]/100</f>
        <v>159.79159599999997</v>
      </c>
      <c r="S285">
        <f>_xlfn.ISOWEEKNUM(Tabla2[[#This Row],[fecha]])</f>
        <v>41</v>
      </c>
      <c r="T285">
        <v>41</v>
      </c>
    </row>
    <row r="286" spans="1:20" x14ac:dyDescent="0.25">
      <c r="A286" s="1">
        <v>45575</v>
      </c>
      <c r="B286">
        <v>5480</v>
      </c>
      <c r="C286">
        <v>5320</v>
      </c>
      <c r="D286">
        <v>44.05</v>
      </c>
      <c r="E286">
        <v>33.119999999999997</v>
      </c>
      <c r="F286">
        <v>5026</v>
      </c>
      <c r="G286">
        <v>40.58</v>
      </c>
      <c r="H286">
        <v>32.76</v>
      </c>
      <c r="I286">
        <v>4973</v>
      </c>
      <c r="J286">
        <v>606.6</v>
      </c>
      <c r="K286">
        <v>50.73</v>
      </c>
      <c r="L286">
        <v>26.48</v>
      </c>
      <c r="M286">
        <f>Tabla2[[#This Row],[entrada_litros]]*Tabla2[[#This Row],[entrada_grasa_g_l]]/1000</f>
        <v>234.34599999999998</v>
      </c>
      <c r="N286">
        <f>Tabla2[[#This Row],[entrada_litros]]*Tabla2[[#This Row],[entrada_prot_g_l]]/1000</f>
        <v>176.19839999999999</v>
      </c>
      <c r="O286">
        <f>Tabla2[[#This Row],[cuba_fab_litros]]*Tabla2[[#This Row],[cuba_fab_grasa_g_l]]/1000</f>
        <v>203.95507999999998</v>
      </c>
      <c r="P286">
        <f>Tabla2[[#This Row],[cuba_fab_litros]]*Tabla2[[#This Row],[cuba_fab_prot_g_l]]/1000</f>
        <v>164.65175999999997</v>
      </c>
      <c r="Q286">
        <f>Tabla2[[#This Row],[queso_kg]]*Tabla2[[#This Row],[queso_est_pct]]/100</f>
        <v>307.72818000000001</v>
      </c>
      <c r="R286">
        <f>Tabla2[[#This Row],[queso_kg]]*Tabla2[[#This Row],[queso_mg_pct]]/100</f>
        <v>160.62768</v>
      </c>
      <c r="S286">
        <f>_xlfn.ISOWEEKNUM(Tabla2[[#This Row],[fecha]])</f>
        <v>41</v>
      </c>
      <c r="T286">
        <v>41</v>
      </c>
    </row>
    <row r="287" spans="1:20" x14ac:dyDescent="0.25">
      <c r="A287" s="1">
        <v>45576</v>
      </c>
      <c r="F287">
        <v>4992</v>
      </c>
      <c r="G287">
        <v>41.12</v>
      </c>
      <c r="H287">
        <v>32.81</v>
      </c>
      <c r="J287">
        <v>583.33000000000004</v>
      </c>
      <c r="K287">
        <v>53.22</v>
      </c>
      <c r="L287">
        <v>27.52</v>
      </c>
      <c r="M287">
        <f>Tabla2[[#This Row],[entrada_litros]]*Tabla2[[#This Row],[entrada_grasa_g_l]]/1000</f>
        <v>0</v>
      </c>
      <c r="N287">
        <f>Tabla2[[#This Row],[entrada_litros]]*Tabla2[[#This Row],[entrada_prot_g_l]]/1000</f>
        <v>0</v>
      </c>
      <c r="O287">
        <f>Tabla2[[#This Row],[cuba_fab_litros]]*Tabla2[[#This Row],[cuba_fab_grasa_g_l]]/1000</f>
        <v>205.27103999999997</v>
      </c>
      <c r="P287">
        <f>Tabla2[[#This Row],[cuba_fab_litros]]*Tabla2[[#This Row],[cuba_fab_prot_g_l]]/1000</f>
        <v>163.78752000000003</v>
      </c>
      <c r="Q287">
        <f>Tabla2[[#This Row],[queso_kg]]*Tabla2[[#This Row],[queso_est_pct]]/100</f>
        <v>310.44822600000003</v>
      </c>
      <c r="R287">
        <f>Tabla2[[#This Row],[queso_kg]]*Tabla2[[#This Row],[queso_mg_pct]]/100</f>
        <v>160.53241600000001</v>
      </c>
      <c r="S287">
        <f>_xlfn.ISOWEEKNUM(Tabla2[[#This Row],[fecha]])</f>
        <v>41</v>
      </c>
      <c r="T287">
        <v>41</v>
      </c>
    </row>
    <row r="288" spans="1:20" x14ac:dyDescent="0.25">
      <c r="A288" s="1">
        <v>45577</v>
      </c>
      <c r="M288">
        <f>Tabla2[[#This Row],[entrada_litros]]*Tabla2[[#This Row],[entrada_grasa_g_l]]/1000</f>
        <v>0</v>
      </c>
      <c r="N288">
        <f>Tabla2[[#This Row],[entrada_litros]]*Tabla2[[#This Row],[entrada_prot_g_l]]/1000</f>
        <v>0</v>
      </c>
      <c r="O288">
        <f>Tabla2[[#This Row],[cuba_fab_litros]]*Tabla2[[#This Row],[cuba_fab_grasa_g_l]]/1000</f>
        <v>0</v>
      </c>
      <c r="P288">
        <f>Tabla2[[#This Row],[cuba_fab_litros]]*Tabla2[[#This Row],[cuba_fab_prot_g_l]]/1000</f>
        <v>0</v>
      </c>
      <c r="Q288">
        <f>Tabla2[[#This Row],[queso_kg]]*Tabla2[[#This Row],[queso_est_pct]]/100</f>
        <v>0</v>
      </c>
      <c r="R288">
        <f>Tabla2[[#This Row],[queso_kg]]*Tabla2[[#This Row],[queso_mg_pct]]/100</f>
        <v>0</v>
      </c>
      <c r="S288">
        <f>_xlfn.ISOWEEKNUM(Tabla2[[#This Row],[fecha]])</f>
        <v>41</v>
      </c>
      <c r="T288">
        <v>41</v>
      </c>
    </row>
    <row r="289" spans="1:20" x14ac:dyDescent="0.25">
      <c r="A289" s="1">
        <v>45578</v>
      </c>
      <c r="B289">
        <v>5034</v>
      </c>
      <c r="C289">
        <v>4887</v>
      </c>
      <c r="D289">
        <v>42.47</v>
      </c>
      <c r="E289">
        <v>36.06</v>
      </c>
      <c r="I289">
        <v>4887</v>
      </c>
      <c r="M289">
        <f>Tabla2[[#This Row],[entrada_litros]]*Tabla2[[#This Row],[entrada_grasa_g_l]]/1000</f>
        <v>207.55088999999998</v>
      </c>
      <c r="N289">
        <f>Tabla2[[#This Row],[entrada_litros]]*Tabla2[[#This Row],[entrada_prot_g_l]]/1000</f>
        <v>176.22522000000001</v>
      </c>
      <c r="O289">
        <f>Tabla2[[#This Row],[cuba_fab_litros]]*Tabla2[[#This Row],[cuba_fab_grasa_g_l]]/1000</f>
        <v>0</v>
      </c>
      <c r="P289">
        <f>Tabla2[[#This Row],[cuba_fab_litros]]*Tabla2[[#This Row],[cuba_fab_prot_g_l]]/1000</f>
        <v>0</v>
      </c>
      <c r="Q289">
        <f>Tabla2[[#This Row],[queso_kg]]*Tabla2[[#This Row],[queso_est_pct]]/100</f>
        <v>0</v>
      </c>
      <c r="R289">
        <f>Tabla2[[#This Row],[queso_kg]]*Tabla2[[#This Row],[queso_mg_pct]]/100</f>
        <v>0</v>
      </c>
      <c r="S289">
        <f>_xlfn.ISOWEEKNUM(Tabla2[[#This Row],[fecha]])</f>
        <v>41</v>
      </c>
      <c r="T289">
        <v>42</v>
      </c>
    </row>
    <row r="290" spans="1:20" x14ac:dyDescent="0.25">
      <c r="A290" s="1">
        <v>45579</v>
      </c>
      <c r="B290">
        <v>5870</v>
      </c>
      <c r="C290">
        <v>5699</v>
      </c>
      <c r="D290">
        <v>43.28</v>
      </c>
      <c r="E290">
        <v>37.08</v>
      </c>
      <c r="F290">
        <v>5037</v>
      </c>
      <c r="G290">
        <v>40.57</v>
      </c>
      <c r="H290">
        <v>34.61</v>
      </c>
      <c r="I290">
        <v>5586</v>
      </c>
      <c r="J290">
        <v>574.71</v>
      </c>
      <c r="K290">
        <v>53.78</v>
      </c>
      <c r="L290">
        <v>27.46</v>
      </c>
      <c r="M290">
        <f>Tabla2[[#This Row],[entrada_litros]]*Tabla2[[#This Row],[entrada_grasa_g_l]]/1000</f>
        <v>246.65271999999999</v>
      </c>
      <c r="N290">
        <f>Tabla2[[#This Row],[entrada_litros]]*Tabla2[[#This Row],[entrada_prot_g_l]]/1000</f>
        <v>211.31891999999999</v>
      </c>
      <c r="O290">
        <f>Tabla2[[#This Row],[cuba_fab_litros]]*Tabla2[[#This Row],[cuba_fab_grasa_g_l]]/1000</f>
        <v>204.35109</v>
      </c>
      <c r="P290">
        <f>Tabla2[[#This Row],[cuba_fab_litros]]*Tabla2[[#This Row],[cuba_fab_prot_g_l]]/1000</f>
        <v>174.33056999999999</v>
      </c>
      <c r="Q290">
        <f>Tabla2[[#This Row],[queso_kg]]*Tabla2[[#This Row],[queso_est_pct]]/100</f>
        <v>309.07903800000003</v>
      </c>
      <c r="R290">
        <f>Tabla2[[#This Row],[queso_kg]]*Tabla2[[#This Row],[queso_mg_pct]]/100</f>
        <v>157.81536600000001</v>
      </c>
      <c r="S290">
        <f>_xlfn.ISOWEEKNUM(Tabla2[[#This Row],[fecha]])</f>
        <v>42</v>
      </c>
      <c r="T290">
        <v>42</v>
      </c>
    </row>
    <row r="291" spans="1:20" x14ac:dyDescent="0.25">
      <c r="A291" s="1">
        <v>45580</v>
      </c>
      <c r="B291">
        <v>5124</v>
      </c>
      <c r="C291">
        <v>4975</v>
      </c>
      <c r="D291">
        <v>39.33</v>
      </c>
      <c r="E291">
        <v>36.49</v>
      </c>
      <c r="F291">
        <v>5024</v>
      </c>
      <c r="G291">
        <v>39.5</v>
      </c>
      <c r="H291">
        <v>35.14</v>
      </c>
      <c r="I291">
        <v>5561</v>
      </c>
      <c r="J291">
        <v>602.29</v>
      </c>
      <c r="K291">
        <v>52</v>
      </c>
      <c r="L291">
        <v>26.91</v>
      </c>
      <c r="M291">
        <f>Tabla2[[#This Row],[entrada_litros]]*Tabla2[[#This Row],[entrada_grasa_g_l]]/1000</f>
        <v>195.66675000000001</v>
      </c>
      <c r="N291">
        <f>Tabla2[[#This Row],[entrada_litros]]*Tabla2[[#This Row],[entrada_prot_g_l]]/1000</f>
        <v>181.53774999999999</v>
      </c>
      <c r="O291">
        <f>Tabla2[[#This Row],[cuba_fab_litros]]*Tabla2[[#This Row],[cuba_fab_grasa_g_l]]/1000</f>
        <v>198.44800000000001</v>
      </c>
      <c r="P291">
        <f>Tabla2[[#This Row],[cuba_fab_litros]]*Tabla2[[#This Row],[cuba_fab_prot_g_l]]/1000</f>
        <v>176.54336000000001</v>
      </c>
      <c r="Q291">
        <f>Tabla2[[#This Row],[queso_kg]]*Tabla2[[#This Row],[queso_est_pct]]/100</f>
        <v>313.19079999999997</v>
      </c>
      <c r="R291">
        <f>Tabla2[[#This Row],[queso_kg]]*Tabla2[[#This Row],[queso_mg_pct]]/100</f>
        <v>162.07623899999999</v>
      </c>
      <c r="S291">
        <f>_xlfn.ISOWEEKNUM(Tabla2[[#This Row],[fecha]])</f>
        <v>42</v>
      </c>
      <c r="T291">
        <v>42</v>
      </c>
    </row>
    <row r="292" spans="1:20" x14ac:dyDescent="0.25">
      <c r="A292" s="1">
        <v>45581</v>
      </c>
      <c r="B292">
        <v>4905</v>
      </c>
      <c r="C292">
        <v>4762</v>
      </c>
      <c r="D292">
        <v>43.02</v>
      </c>
      <c r="E292">
        <v>34.229999999999997</v>
      </c>
      <c r="F292">
        <v>5028</v>
      </c>
      <c r="G292">
        <v>40.26</v>
      </c>
      <c r="H292">
        <v>34.020000000000003</v>
      </c>
      <c r="I292">
        <v>5323</v>
      </c>
      <c r="J292">
        <v>589.85</v>
      </c>
      <c r="K292">
        <v>52.64</v>
      </c>
      <c r="L292">
        <v>28.03</v>
      </c>
      <c r="M292">
        <f>Tabla2[[#This Row],[entrada_litros]]*Tabla2[[#This Row],[entrada_grasa_g_l]]/1000</f>
        <v>204.86124000000001</v>
      </c>
      <c r="N292">
        <f>Tabla2[[#This Row],[entrada_litros]]*Tabla2[[#This Row],[entrada_prot_g_l]]/1000</f>
        <v>163.00325999999998</v>
      </c>
      <c r="O292">
        <f>Tabla2[[#This Row],[cuba_fab_litros]]*Tabla2[[#This Row],[cuba_fab_grasa_g_l]]/1000</f>
        <v>202.42728</v>
      </c>
      <c r="P292">
        <f>Tabla2[[#This Row],[cuba_fab_litros]]*Tabla2[[#This Row],[cuba_fab_prot_g_l]]/1000</f>
        <v>171.05256000000003</v>
      </c>
      <c r="Q292">
        <f>Tabla2[[#This Row],[queso_kg]]*Tabla2[[#This Row],[queso_est_pct]]/100</f>
        <v>310.49704000000003</v>
      </c>
      <c r="R292">
        <f>Tabla2[[#This Row],[queso_kg]]*Tabla2[[#This Row],[queso_mg_pct]]/100</f>
        <v>165.33495500000001</v>
      </c>
      <c r="S292">
        <f>_xlfn.ISOWEEKNUM(Tabla2[[#This Row],[fecha]])</f>
        <v>42</v>
      </c>
      <c r="T292">
        <v>42</v>
      </c>
    </row>
    <row r="293" spans="1:20" x14ac:dyDescent="0.25">
      <c r="A293" s="1">
        <v>45582</v>
      </c>
      <c r="B293">
        <v>5191</v>
      </c>
      <c r="C293">
        <v>5040</v>
      </c>
      <c r="D293">
        <v>41.63</v>
      </c>
      <c r="E293">
        <v>37.42</v>
      </c>
      <c r="F293">
        <v>5025</v>
      </c>
      <c r="G293">
        <v>39.57</v>
      </c>
      <c r="H293">
        <v>35.049999999999997</v>
      </c>
      <c r="I293">
        <v>5363</v>
      </c>
      <c r="J293">
        <v>595.24</v>
      </c>
      <c r="K293">
        <v>53.96</v>
      </c>
      <c r="L293">
        <v>28.67</v>
      </c>
      <c r="M293">
        <f>Tabla2[[#This Row],[entrada_litros]]*Tabla2[[#This Row],[entrada_grasa_g_l]]/1000</f>
        <v>209.8152</v>
      </c>
      <c r="N293">
        <f>Tabla2[[#This Row],[entrada_litros]]*Tabla2[[#This Row],[entrada_prot_g_l]]/1000</f>
        <v>188.59680000000003</v>
      </c>
      <c r="O293">
        <f>Tabla2[[#This Row],[cuba_fab_litros]]*Tabla2[[#This Row],[cuba_fab_grasa_g_l]]/1000</f>
        <v>198.83924999999999</v>
      </c>
      <c r="P293">
        <f>Tabla2[[#This Row],[cuba_fab_litros]]*Tabla2[[#This Row],[cuba_fab_prot_g_l]]/1000</f>
        <v>176.12625</v>
      </c>
      <c r="Q293">
        <f>Tabla2[[#This Row],[queso_kg]]*Tabla2[[#This Row],[queso_est_pct]]/100</f>
        <v>321.19150400000001</v>
      </c>
      <c r="R293">
        <f>Tabla2[[#This Row],[queso_kg]]*Tabla2[[#This Row],[queso_mg_pct]]/100</f>
        <v>170.65530799999999</v>
      </c>
      <c r="S293">
        <f>_xlfn.ISOWEEKNUM(Tabla2[[#This Row],[fecha]])</f>
        <v>42</v>
      </c>
      <c r="T293">
        <v>42</v>
      </c>
    </row>
    <row r="294" spans="1:20" x14ac:dyDescent="0.25">
      <c r="A294" s="1">
        <v>45583</v>
      </c>
      <c r="F294">
        <v>5386</v>
      </c>
      <c r="G294">
        <v>40.380000000000003</v>
      </c>
      <c r="H294">
        <v>34.86</v>
      </c>
      <c r="J294">
        <v>623.86</v>
      </c>
      <c r="K294">
        <v>53.47</v>
      </c>
      <c r="L294">
        <v>25.73</v>
      </c>
      <c r="M294">
        <f>Tabla2[[#This Row],[entrada_litros]]*Tabla2[[#This Row],[entrada_grasa_g_l]]/1000</f>
        <v>0</v>
      </c>
      <c r="N294">
        <f>Tabla2[[#This Row],[entrada_litros]]*Tabla2[[#This Row],[entrada_prot_g_l]]/1000</f>
        <v>0</v>
      </c>
      <c r="O294">
        <f>Tabla2[[#This Row],[cuba_fab_litros]]*Tabla2[[#This Row],[cuba_fab_grasa_g_l]]/1000</f>
        <v>217.48668000000004</v>
      </c>
      <c r="P294">
        <f>Tabla2[[#This Row],[cuba_fab_litros]]*Tabla2[[#This Row],[cuba_fab_prot_g_l]]/1000</f>
        <v>187.75595999999999</v>
      </c>
      <c r="Q294">
        <f>Tabla2[[#This Row],[queso_kg]]*Tabla2[[#This Row],[queso_est_pct]]/100</f>
        <v>333.57794199999995</v>
      </c>
      <c r="R294">
        <f>Tabla2[[#This Row],[queso_kg]]*Tabla2[[#This Row],[queso_mg_pct]]/100</f>
        <v>160.51917800000001</v>
      </c>
      <c r="S294">
        <f>_xlfn.ISOWEEKNUM(Tabla2[[#This Row],[fecha]])</f>
        <v>42</v>
      </c>
      <c r="T294">
        <v>42</v>
      </c>
    </row>
    <row r="295" spans="1:20" x14ac:dyDescent="0.25">
      <c r="A295" s="1">
        <v>45584</v>
      </c>
      <c r="M295">
        <f>Tabla2[[#This Row],[entrada_litros]]*Tabla2[[#This Row],[entrada_grasa_g_l]]/1000</f>
        <v>0</v>
      </c>
      <c r="N295">
        <f>Tabla2[[#This Row],[entrada_litros]]*Tabla2[[#This Row],[entrada_prot_g_l]]/1000</f>
        <v>0</v>
      </c>
      <c r="O295">
        <f>Tabla2[[#This Row],[cuba_fab_litros]]*Tabla2[[#This Row],[cuba_fab_grasa_g_l]]/1000</f>
        <v>0</v>
      </c>
      <c r="P295">
        <f>Tabla2[[#This Row],[cuba_fab_litros]]*Tabla2[[#This Row],[cuba_fab_prot_g_l]]/1000</f>
        <v>0</v>
      </c>
      <c r="Q295">
        <f>Tabla2[[#This Row],[queso_kg]]*Tabla2[[#This Row],[queso_est_pct]]/100</f>
        <v>0</v>
      </c>
      <c r="R295">
        <f>Tabla2[[#This Row],[queso_kg]]*Tabla2[[#This Row],[queso_mg_pct]]/100</f>
        <v>0</v>
      </c>
      <c r="S295">
        <f>_xlfn.ISOWEEKNUM(Tabla2[[#This Row],[fecha]])</f>
        <v>42</v>
      </c>
      <c r="T295">
        <v>42</v>
      </c>
    </row>
    <row r="296" spans="1:20" x14ac:dyDescent="0.25">
      <c r="A296" s="1">
        <v>45585</v>
      </c>
      <c r="B296">
        <v>5390</v>
      </c>
      <c r="C296">
        <v>5233</v>
      </c>
      <c r="D296">
        <v>42.97</v>
      </c>
      <c r="E296">
        <v>34.229999999999997</v>
      </c>
      <c r="I296">
        <v>5233</v>
      </c>
      <c r="M296">
        <f>Tabla2[[#This Row],[entrada_litros]]*Tabla2[[#This Row],[entrada_grasa_g_l]]/1000</f>
        <v>224.86200999999997</v>
      </c>
      <c r="N296">
        <f>Tabla2[[#This Row],[entrada_litros]]*Tabla2[[#This Row],[entrada_prot_g_l]]/1000</f>
        <v>179.12558999999999</v>
      </c>
      <c r="O296">
        <f>Tabla2[[#This Row],[cuba_fab_litros]]*Tabla2[[#This Row],[cuba_fab_grasa_g_l]]/1000</f>
        <v>0</v>
      </c>
      <c r="P296">
        <f>Tabla2[[#This Row],[cuba_fab_litros]]*Tabla2[[#This Row],[cuba_fab_prot_g_l]]/1000</f>
        <v>0</v>
      </c>
      <c r="Q296">
        <f>Tabla2[[#This Row],[queso_kg]]*Tabla2[[#This Row],[queso_est_pct]]/100</f>
        <v>0</v>
      </c>
      <c r="R296">
        <f>Tabla2[[#This Row],[queso_kg]]*Tabla2[[#This Row],[queso_mg_pct]]/100</f>
        <v>0</v>
      </c>
      <c r="S296">
        <f>_xlfn.ISOWEEKNUM(Tabla2[[#This Row],[fecha]])</f>
        <v>42</v>
      </c>
      <c r="T296">
        <v>43</v>
      </c>
    </row>
    <row r="297" spans="1:20" x14ac:dyDescent="0.25">
      <c r="A297" s="1">
        <v>45586</v>
      </c>
      <c r="B297">
        <v>4671</v>
      </c>
      <c r="C297">
        <v>4535</v>
      </c>
      <c r="D297">
        <v>44.72</v>
      </c>
      <c r="E297">
        <v>35.659999999999997</v>
      </c>
      <c r="F297">
        <v>5026</v>
      </c>
      <c r="G297">
        <v>42.08</v>
      </c>
      <c r="H297">
        <v>33.28</v>
      </c>
      <c r="I297">
        <v>4768</v>
      </c>
      <c r="J297">
        <v>589.05999999999995</v>
      </c>
      <c r="K297">
        <v>54.56</v>
      </c>
      <c r="L297">
        <v>27.41</v>
      </c>
      <c r="M297">
        <f>Tabla2[[#This Row],[entrada_litros]]*Tabla2[[#This Row],[entrada_grasa_g_l]]/1000</f>
        <v>202.80519999999999</v>
      </c>
      <c r="N297">
        <f>Tabla2[[#This Row],[entrada_litros]]*Tabla2[[#This Row],[entrada_prot_g_l]]/1000</f>
        <v>161.71809999999996</v>
      </c>
      <c r="O297">
        <f>Tabla2[[#This Row],[cuba_fab_litros]]*Tabla2[[#This Row],[cuba_fab_grasa_g_l]]/1000</f>
        <v>211.49408</v>
      </c>
      <c r="P297">
        <f>Tabla2[[#This Row],[cuba_fab_litros]]*Tabla2[[#This Row],[cuba_fab_prot_g_l]]/1000</f>
        <v>167.26527999999999</v>
      </c>
      <c r="Q297">
        <f>Tabla2[[#This Row],[queso_kg]]*Tabla2[[#This Row],[queso_est_pct]]/100</f>
        <v>321.39113599999996</v>
      </c>
      <c r="R297">
        <f>Tabla2[[#This Row],[queso_kg]]*Tabla2[[#This Row],[queso_mg_pct]]/100</f>
        <v>161.46134599999999</v>
      </c>
      <c r="S297">
        <f>_xlfn.ISOWEEKNUM(Tabla2[[#This Row],[fecha]])</f>
        <v>43</v>
      </c>
      <c r="T297">
        <v>43</v>
      </c>
    </row>
    <row r="298" spans="1:20" x14ac:dyDescent="0.25">
      <c r="A298" s="1">
        <v>45587</v>
      </c>
      <c r="B298">
        <v>4885</v>
      </c>
      <c r="C298">
        <v>4743</v>
      </c>
      <c r="D298">
        <v>45.24</v>
      </c>
      <c r="E298">
        <v>36.04</v>
      </c>
      <c r="F298">
        <v>5025</v>
      </c>
      <c r="G298">
        <v>42.71</v>
      </c>
      <c r="H298">
        <v>33.97</v>
      </c>
      <c r="I298">
        <v>4511</v>
      </c>
      <c r="J298">
        <v>585.01</v>
      </c>
      <c r="K298">
        <v>50.54</v>
      </c>
      <c r="L298">
        <v>27.33</v>
      </c>
      <c r="M298">
        <f>Tabla2[[#This Row],[entrada_litros]]*Tabla2[[#This Row],[entrada_grasa_g_l]]/1000</f>
        <v>214.57332</v>
      </c>
      <c r="N298">
        <f>Tabla2[[#This Row],[entrada_litros]]*Tabla2[[#This Row],[entrada_prot_g_l]]/1000</f>
        <v>170.93772000000001</v>
      </c>
      <c r="O298">
        <f>Tabla2[[#This Row],[cuba_fab_litros]]*Tabla2[[#This Row],[cuba_fab_grasa_g_l]]/1000</f>
        <v>214.61775</v>
      </c>
      <c r="P298">
        <f>Tabla2[[#This Row],[cuba_fab_litros]]*Tabla2[[#This Row],[cuba_fab_prot_g_l]]/1000</f>
        <v>170.69925000000001</v>
      </c>
      <c r="Q298">
        <f>Tabla2[[#This Row],[queso_kg]]*Tabla2[[#This Row],[queso_est_pct]]/100</f>
        <v>295.66405400000002</v>
      </c>
      <c r="R298">
        <f>Tabla2[[#This Row],[queso_kg]]*Tabla2[[#This Row],[queso_mg_pct]]/100</f>
        <v>159.88323299999999</v>
      </c>
      <c r="S298">
        <f>_xlfn.ISOWEEKNUM(Tabla2[[#This Row],[fecha]])</f>
        <v>43</v>
      </c>
      <c r="T298">
        <v>43</v>
      </c>
    </row>
    <row r="299" spans="1:20" x14ac:dyDescent="0.25">
      <c r="A299" s="1">
        <v>45588</v>
      </c>
      <c r="B299">
        <v>5542</v>
      </c>
      <c r="C299">
        <v>5381</v>
      </c>
      <c r="D299">
        <v>41.13</v>
      </c>
      <c r="E299">
        <v>34.020000000000003</v>
      </c>
      <c r="F299">
        <v>5032</v>
      </c>
      <c r="G299">
        <v>40.65</v>
      </c>
      <c r="H299">
        <v>33.36</v>
      </c>
      <c r="I299">
        <v>4892</v>
      </c>
      <c r="J299">
        <v>594.49</v>
      </c>
      <c r="K299">
        <v>52.75</v>
      </c>
      <c r="L299">
        <v>26.96</v>
      </c>
      <c r="M299">
        <f>Tabla2[[#This Row],[entrada_litros]]*Tabla2[[#This Row],[entrada_grasa_g_l]]/1000</f>
        <v>221.32053000000002</v>
      </c>
      <c r="N299">
        <f>Tabla2[[#This Row],[entrada_litros]]*Tabla2[[#This Row],[entrada_prot_g_l]]/1000</f>
        <v>183.06162000000003</v>
      </c>
      <c r="O299">
        <f>Tabla2[[#This Row],[cuba_fab_litros]]*Tabla2[[#This Row],[cuba_fab_grasa_g_l]]/1000</f>
        <v>204.55079999999998</v>
      </c>
      <c r="P299">
        <f>Tabla2[[#This Row],[cuba_fab_litros]]*Tabla2[[#This Row],[cuba_fab_prot_g_l]]/1000</f>
        <v>167.86751999999998</v>
      </c>
      <c r="Q299">
        <f>Tabla2[[#This Row],[queso_kg]]*Tabla2[[#This Row],[queso_est_pct]]/100</f>
        <v>313.59347500000001</v>
      </c>
      <c r="R299">
        <f>Tabla2[[#This Row],[queso_kg]]*Tabla2[[#This Row],[queso_mg_pct]]/100</f>
        <v>160.27450400000001</v>
      </c>
      <c r="S299">
        <f>_xlfn.ISOWEEKNUM(Tabla2[[#This Row],[fecha]])</f>
        <v>43</v>
      </c>
      <c r="T299">
        <v>43</v>
      </c>
    </row>
    <row r="300" spans="1:20" x14ac:dyDescent="0.25">
      <c r="A300" s="1">
        <v>45589</v>
      </c>
      <c r="B300">
        <v>5078</v>
      </c>
      <c r="C300">
        <v>4930</v>
      </c>
      <c r="D300">
        <v>42</v>
      </c>
      <c r="E300">
        <v>34.75</v>
      </c>
      <c r="F300">
        <v>5018</v>
      </c>
      <c r="G300">
        <v>40.590000000000003</v>
      </c>
      <c r="H300">
        <v>33.270000000000003</v>
      </c>
      <c r="I300">
        <v>4822</v>
      </c>
      <c r="J300">
        <v>604.26</v>
      </c>
      <c r="K300">
        <v>51.72</v>
      </c>
      <c r="L300">
        <v>27.8</v>
      </c>
      <c r="M300">
        <f>Tabla2[[#This Row],[entrada_litros]]*Tabla2[[#This Row],[entrada_grasa_g_l]]/1000</f>
        <v>207.06</v>
      </c>
      <c r="N300">
        <f>Tabla2[[#This Row],[entrada_litros]]*Tabla2[[#This Row],[entrada_prot_g_l]]/1000</f>
        <v>171.3175</v>
      </c>
      <c r="O300">
        <f>Tabla2[[#This Row],[cuba_fab_litros]]*Tabla2[[#This Row],[cuba_fab_grasa_g_l]]/1000</f>
        <v>203.68062000000003</v>
      </c>
      <c r="P300">
        <f>Tabla2[[#This Row],[cuba_fab_litros]]*Tabla2[[#This Row],[cuba_fab_prot_g_l]]/1000</f>
        <v>166.94886000000002</v>
      </c>
      <c r="Q300">
        <f>Tabla2[[#This Row],[queso_kg]]*Tabla2[[#This Row],[queso_est_pct]]/100</f>
        <v>312.52327200000002</v>
      </c>
      <c r="R300">
        <f>Tabla2[[#This Row],[queso_kg]]*Tabla2[[#This Row],[queso_mg_pct]]/100</f>
        <v>167.98428000000001</v>
      </c>
      <c r="S300">
        <f>_xlfn.ISOWEEKNUM(Tabla2[[#This Row],[fecha]])</f>
        <v>43</v>
      </c>
      <c r="T300">
        <v>43</v>
      </c>
    </row>
    <row r="301" spans="1:20" x14ac:dyDescent="0.25">
      <c r="A301" s="1">
        <v>45590</v>
      </c>
      <c r="F301">
        <v>4847</v>
      </c>
      <c r="G301">
        <v>40.65</v>
      </c>
      <c r="H301">
        <v>33.24</v>
      </c>
      <c r="J301">
        <v>574.14</v>
      </c>
      <c r="K301">
        <v>51.61</v>
      </c>
      <c r="L301">
        <v>26.21</v>
      </c>
      <c r="M301">
        <f>Tabla2[[#This Row],[entrada_litros]]*Tabla2[[#This Row],[entrada_grasa_g_l]]/1000</f>
        <v>0</v>
      </c>
      <c r="N301">
        <f>Tabla2[[#This Row],[entrada_litros]]*Tabla2[[#This Row],[entrada_prot_g_l]]/1000</f>
        <v>0</v>
      </c>
      <c r="O301">
        <f>Tabla2[[#This Row],[cuba_fab_litros]]*Tabla2[[#This Row],[cuba_fab_grasa_g_l]]/1000</f>
        <v>197.03054999999998</v>
      </c>
      <c r="P301">
        <f>Tabla2[[#This Row],[cuba_fab_litros]]*Tabla2[[#This Row],[cuba_fab_prot_g_l]]/1000</f>
        <v>161.11428000000001</v>
      </c>
      <c r="Q301">
        <f>Tabla2[[#This Row],[queso_kg]]*Tabla2[[#This Row],[queso_est_pct]]/100</f>
        <v>296.31365399999999</v>
      </c>
      <c r="R301">
        <f>Tabla2[[#This Row],[queso_kg]]*Tabla2[[#This Row],[queso_mg_pct]]/100</f>
        <v>150.48209399999999</v>
      </c>
      <c r="S301">
        <f>_xlfn.ISOWEEKNUM(Tabla2[[#This Row],[fecha]])</f>
        <v>43</v>
      </c>
      <c r="T301">
        <v>43</v>
      </c>
    </row>
    <row r="302" spans="1:20" x14ac:dyDescent="0.25">
      <c r="A302" s="1">
        <v>45591</v>
      </c>
      <c r="M302">
        <f>Tabla2[[#This Row],[entrada_litros]]*Tabla2[[#This Row],[entrada_grasa_g_l]]/1000</f>
        <v>0</v>
      </c>
      <c r="N302">
        <f>Tabla2[[#This Row],[entrada_litros]]*Tabla2[[#This Row],[entrada_prot_g_l]]/1000</f>
        <v>0</v>
      </c>
      <c r="O302">
        <f>Tabla2[[#This Row],[cuba_fab_litros]]*Tabla2[[#This Row],[cuba_fab_grasa_g_l]]/1000</f>
        <v>0</v>
      </c>
      <c r="P302">
        <f>Tabla2[[#This Row],[cuba_fab_litros]]*Tabla2[[#This Row],[cuba_fab_prot_g_l]]/1000</f>
        <v>0</v>
      </c>
      <c r="Q302">
        <f>Tabla2[[#This Row],[queso_kg]]*Tabla2[[#This Row],[queso_est_pct]]/100</f>
        <v>0</v>
      </c>
      <c r="R302">
        <f>Tabla2[[#This Row],[queso_kg]]*Tabla2[[#This Row],[queso_mg_pct]]/100</f>
        <v>0</v>
      </c>
      <c r="S302">
        <f>_xlfn.ISOWEEKNUM(Tabla2[[#This Row],[fecha]])</f>
        <v>43</v>
      </c>
      <c r="T302">
        <v>43</v>
      </c>
    </row>
    <row r="303" spans="1:20" x14ac:dyDescent="0.25">
      <c r="A303" s="1">
        <v>45592</v>
      </c>
      <c r="B303">
        <v>5422</v>
      </c>
      <c r="C303">
        <v>5264</v>
      </c>
      <c r="D303">
        <v>43.29</v>
      </c>
      <c r="E303">
        <v>34.729999999999997</v>
      </c>
      <c r="I303">
        <v>5264</v>
      </c>
      <c r="M303">
        <f>Tabla2[[#This Row],[entrada_litros]]*Tabla2[[#This Row],[entrada_grasa_g_l]]/1000</f>
        <v>227.87855999999999</v>
      </c>
      <c r="N303">
        <f>Tabla2[[#This Row],[entrada_litros]]*Tabla2[[#This Row],[entrada_prot_g_l]]/1000</f>
        <v>182.81871999999998</v>
      </c>
      <c r="O303">
        <f>Tabla2[[#This Row],[cuba_fab_litros]]*Tabla2[[#This Row],[cuba_fab_grasa_g_l]]/1000</f>
        <v>0</v>
      </c>
      <c r="P303">
        <f>Tabla2[[#This Row],[cuba_fab_litros]]*Tabla2[[#This Row],[cuba_fab_prot_g_l]]/1000</f>
        <v>0</v>
      </c>
      <c r="Q303">
        <f>Tabla2[[#This Row],[queso_kg]]*Tabla2[[#This Row],[queso_est_pct]]/100</f>
        <v>0</v>
      </c>
      <c r="R303">
        <f>Tabla2[[#This Row],[queso_kg]]*Tabla2[[#This Row],[queso_mg_pct]]/100</f>
        <v>0</v>
      </c>
      <c r="S303">
        <f>_xlfn.ISOWEEKNUM(Tabla2[[#This Row],[fecha]])</f>
        <v>43</v>
      </c>
      <c r="T303">
        <v>44</v>
      </c>
    </row>
    <row r="304" spans="1:20" x14ac:dyDescent="0.25">
      <c r="A304" s="1">
        <v>45593</v>
      </c>
      <c r="B304">
        <v>4983</v>
      </c>
      <c r="C304">
        <v>4838</v>
      </c>
      <c r="D304">
        <v>41.68</v>
      </c>
      <c r="E304">
        <v>34.630000000000003</v>
      </c>
      <c r="F304">
        <v>5024</v>
      </c>
      <c r="G304">
        <v>40.75</v>
      </c>
      <c r="H304">
        <v>33.21</v>
      </c>
      <c r="I304">
        <v>5102</v>
      </c>
      <c r="J304">
        <v>587.21</v>
      </c>
      <c r="K304">
        <v>48.68</v>
      </c>
      <c r="L304">
        <v>27.18</v>
      </c>
      <c r="M304">
        <f>Tabla2[[#This Row],[entrada_litros]]*Tabla2[[#This Row],[entrada_grasa_g_l]]/1000</f>
        <v>201.64784</v>
      </c>
      <c r="N304">
        <f>Tabla2[[#This Row],[entrada_litros]]*Tabla2[[#This Row],[entrada_prot_g_l]]/1000</f>
        <v>167.53994</v>
      </c>
      <c r="O304">
        <f>Tabla2[[#This Row],[cuba_fab_litros]]*Tabla2[[#This Row],[cuba_fab_grasa_g_l]]/1000</f>
        <v>204.72800000000001</v>
      </c>
      <c r="P304">
        <f>Tabla2[[#This Row],[cuba_fab_litros]]*Tabla2[[#This Row],[cuba_fab_prot_g_l]]/1000</f>
        <v>166.84704000000002</v>
      </c>
      <c r="Q304">
        <f>Tabla2[[#This Row],[queso_kg]]*Tabla2[[#This Row],[queso_est_pct]]/100</f>
        <v>285.85382800000002</v>
      </c>
      <c r="R304">
        <f>Tabla2[[#This Row],[queso_kg]]*Tabla2[[#This Row],[queso_mg_pct]]/100</f>
        <v>159.603678</v>
      </c>
      <c r="S304">
        <f>_xlfn.ISOWEEKNUM(Tabla2[[#This Row],[fecha]])</f>
        <v>44</v>
      </c>
      <c r="T304">
        <v>44</v>
      </c>
    </row>
    <row r="305" spans="1:20" x14ac:dyDescent="0.25">
      <c r="A305" s="1">
        <v>45594</v>
      </c>
      <c r="B305">
        <v>5238</v>
      </c>
      <c r="C305">
        <v>5085</v>
      </c>
      <c r="D305">
        <v>44.38</v>
      </c>
      <c r="E305">
        <v>34.04</v>
      </c>
      <c r="F305">
        <v>5022</v>
      </c>
      <c r="G305">
        <v>41.39</v>
      </c>
      <c r="H305">
        <v>32.44</v>
      </c>
      <c r="I305">
        <v>5187</v>
      </c>
      <c r="J305">
        <v>589.74</v>
      </c>
      <c r="K305">
        <v>51.7</v>
      </c>
      <c r="L305">
        <v>26.7</v>
      </c>
      <c r="M305">
        <f>Tabla2[[#This Row],[entrada_litros]]*Tabla2[[#This Row],[entrada_grasa_g_l]]/1000</f>
        <v>225.67230000000001</v>
      </c>
      <c r="N305">
        <f>Tabla2[[#This Row],[entrada_litros]]*Tabla2[[#This Row],[entrada_prot_g_l]]/1000</f>
        <v>173.0934</v>
      </c>
      <c r="O305">
        <f>Tabla2[[#This Row],[cuba_fab_litros]]*Tabla2[[#This Row],[cuba_fab_grasa_g_l]]/1000</f>
        <v>207.86058000000003</v>
      </c>
      <c r="P305">
        <f>Tabla2[[#This Row],[cuba_fab_litros]]*Tabla2[[#This Row],[cuba_fab_prot_g_l]]/1000</f>
        <v>162.91368</v>
      </c>
      <c r="Q305">
        <f>Tabla2[[#This Row],[queso_kg]]*Tabla2[[#This Row],[queso_est_pct]]/100</f>
        <v>304.89558</v>
      </c>
      <c r="R305">
        <f>Tabla2[[#This Row],[queso_kg]]*Tabla2[[#This Row],[queso_mg_pct]]/100</f>
        <v>157.46057999999999</v>
      </c>
      <c r="S305">
        <f>_xlfn.ISOWEEKNUM(Tabla2[[#This Row],[fecha]])</f>
        <v>44</v>
      </c>
      <c r="T305">
        <v>44</v>
      </c>
    </row>
    <row r="306" spans="1:20" x14ac:dyDescent="0.25">
      <c r="A306" s="1">
        <v>45595</v>
      </c>
      <c r="B306">
        <v>5013</v>
      </c>
      <c r="C306">
        <v>4867</v>
      </c>
      <c r="D306">
        <v>43.1</v>
      </c>
      <c r="E306">
        <v>36.36</v>
      </c>
      <c r="F306">
        <v>5027</v>
      </c>
      <c r="G306">
        <v>41.24</v>
      </c>
      <c r="H306">
        <v>33.979999999999997</v>
      </c>
      <c r="I306">
        <v>5054</v>
      </c>
      <c r="J306">
        <v>597.32000000000005</v>
      </c>
      <c r="K306">
        <v>54.15</v>
      </c>
      <c r="L306">
        <v>25.85</v>
      </c>
      <c r="M306">
        <f>Tabla2[[#This Row],[entrada_litros]]*Tabla2[[#This Row],[entrada_grasa_g_l]]/1000</f>
        <v>209.76770000000002</v>
      </c>
      <c r="N306">
        <f>Tabla2[[#This Row],[entrada_litros]]*Tabla2[[#This Row],[entrada_prot_g_l]]/1000</f>
        <v>176.96412000000001</v>
      </c>
      <c r="O306">
        <f>Tabla2[[#This Row],[cuba_fab_litros]]*Tabla2[[#This Row],[cuba_fab_grasa_g_l]]/1000</f>
        <v>207.31348</v>
      </c>
      <c r="P306">
        <f>Tabla2[[#This Row],[cuba_fab_litros]]*Tabla2[[#This Row],[cuba_fab_prot_g_l]]/1000</f>
        <v>170.81745999999998</v>
      </c>
      <c r="Q306">
        <f>Tabla2[[#This Row],[queso_kg]]*Tabla2[[#This Row],[queso_est_pct]]/100</f>
        <v>323.44878</v>
      </c>
      <c r="R306">
        <f>Tabla2[[#This Row],[queso_kg]]*Tabla2[[#This Row],[queso_mg_pct]]/100</f>
        <v>154.40722000000002</v>
      </c>
      <c r="S306">
        <f>_xlfn.ISOWEEKNUM(Tabla2[[#This Row],[fecha]])</f>
        <v>44</v>
      </c>
      <c r="T306">
        <v>44</v>
      </c>
    </row>
    <row r="307" spans="1:20" x14ac:dyDescent="0.25">
      <c r="A307" s="1">
        <v>45596</v>
      </c>
      <c r="B307">
        <v>5438</v>
      </c>
      <c r="C307">
        <v>5280</v>
      </c>
      <c r="D307">
        <v>44.04</v>
      </c>
      <c r="E307">
        <v>34.04</v>
      </c>
      <c r="F307">
        <v>5030</v>
      </c>
      <c r="G307">
        <v>41.69</v>
      </c>
      <c r="H307">
        <v>33.049999999999997</v>
      </c>
      <c r="I307">
        <v>5334</v>
      </c>
      <c r="J307">
        <v>587.30999999999995</v>
      </c>
      <c r="K307">
        <v>53.46</v>
      </c>
      <c r="L307">
        <v>27.63</v>
      </c>
      <c r="M307">
        <f>Tabla2[[#This Row],[entrada_litros]]*Tabla2[[#This Row],[entrada_grasa_g_l]]/1000</f>
        <v>232.53119999999998</v>
      </c>
      <c r="N307">
        <f>Tabla2[[#This Row],[entrada_litros]]*Tabla2[[#This Row],[entrada_prot_g_l]]/1000</f>
        <v>179.73119999999997</v>
      </c>
      <c r="O307">
        <f>Tabla2[[#This Row],[cuba_fab_litros]]*Tabla2[[#This Row],[cuba_fab_grasa_g_l]]/1000</f>
        <v>209.70069999999998</v>
      </c>
      <c r="P307">
        <f>Tabla2[[#This Row],[cuba_fab_litros]]*Tabla2[[#This Row],[cuba_fab_prot_g_l]]/1000</f>
        <v>166.2415</v>
      </c>
      <c r="Q307">
        <f>Tabla2[[#This Row],[queso_kg]]*Tabla2[[#This Row],[queso_est_pct]]/100</f>
        <v>313.97592599999996</v>
      </c>
      <c r="R307">
        <f>Tabla2[[#This Row],[queso_kg]]*Tabla2[[#This Row],[queso_mg_pct]]/100</f>
        <v>162.27375299999997</v>
      </c>
      <c r="S307">
        <f>_xlfn.ISOWEEKNUM(Tabla2[[#This Row],[fecha]])</f>
        <v>44</v>
      </c>
      <c r="T307">
        <v>44</v>
      </c>
    </row>
    <row r="308" spans="1:20" x14ac:dyDescent="0.25">
      <c r="A308" s="1">
        <v>45597</v>
      </c>
      <c r="F308">
        <v>5367</v>
      </c>
      <c r="G308">
        <v>41.82</v>
      </c>
      <c r="H308">
        <v>33.33</v>
      </c>
      <c r="J308">
        <v>646.20000000000005</v>
      </c>
      <c r="K308">
        <v>49.88</v>
      </c>
      <c r="L308">
        <v>26.05</v>
      </c>
      <c r="M308">
        <f>Tabla2[[#This Row],[entrada_litros]]*Tabla2[[#This Row],[entrada_grasa_g_l]]/1000</f>
        <v>0</v>
      </c>
      <c r="N308">
        <f>Tabla2[[#This Row],[entrada_litros]]*Tabla2[[#This Row],[entrada_prot_g_l]]/1000</f>
        <v>0</v>
      </c>
      <c r="O308">
        <f>Tabla2[[#This Row],[cuba_fab_litros]]*Tabla2[[#This Row],[cuba_fab_grasa_g_l]]/1000</f>
        <v>224.44793999999999</v>
      </c>
      <c r="P308">
        <f>Tabla2[[#This Row],[cuba_fab_litros]]*Tabla2[[#This Row],[cuba_fab_prot_g_l]]/1000</f>
        <v>178.88210999999998</v>
      </c>
      <c r="Q308">
        <f>Tabla2[[#This Row],[queso_kg]]*Tabla2[[#This Row],[queso_est_pct]]/100</f>
        <v>322.32456000000008</v>
      </c>
      <c r="R308">
        <f>Tabla2[[#This Row],[queso_kg]]*Tabla2[[#This Row],[queso_mg_pct]]/100</f>
        <v>168.33510000000001</v>
      </c>
      <c r="S308">
        <f>_xlfn.ISOWEEKNUM(Tabla2[[#This Row],[fecha]])</f>
        <v>44</v>
      </c>
      <c r="T308">
        <v>44</v>
      </c>
    </row>
    <row r="309" spans="1:20" x14ac:dyDescent="0.25">
      <c r="A309" s="1">
        <v>45598</v>
      </c>
      <c r="M309">
        <f>Tabla2[[#This Row],[entrada_litros]]*Tabla2[[#This Row],[entrada_grasa_g_l]]/1000</f>
        <v>0</v>
      </c>
      <c r="N309">
        <f>Tabla2[[#This Row],[entrada_litros]]*Tabla2[[#This Row],[entrada_prot_g_l]]/1000</f>
        <v>0</v>
      </c>
      <c r="O309">
        <f>Tabla2[[#This Row],[cuba_fab_litros]]*Tabla2[[#This Row],[cuba_fab_grasa_g_l]]/1000</f>
        <v>0</v>
      </c>
      <c r="P309">
        <f>Tabla2[[#This Row],[cuba_fab_litros]]*Tabla2[[#This Row],[cuba_fab_prot_g_l]]/1000</f>
        <v>0</v>
      </c>
      <c r="Q309">
        <f>Tabla2[[#This Row],[queso_kg]]*Tabla2[[#This Row],[queso_est_pct]]/100</f>
        <v>0</v>
      </c>
      <c r="R309">
        <f>Tabla2[[#This Row],[queso_kg]]*Tabla2[[#This Row],[queso_mg_pct]]/100</f>
        <v>0</v>
      </c>
      <c r="S309">
        <f>_xlfn.ISOWEEKNUM(Tabla2[[#This Row],[fecha]])</f>
        <v>44</v>
      </c>
      <c r="T309">
        <v>44</v>
      </c>
    </row>
    <row r="310" spans="1:20" x14ac:dyDescent="0.25">
      <c r="A310" s="1">
        <v>45599</v>
      </c>
      <c r="B310">
        <v>5021</v>
      </c>
      <c r="C310">
        <v>4875</v>
      </c>
      <c r="D310">
        <v>43.9</v>
      </c>
      <c r="E310">
        <v>33.83</v>
      </c>
      <c r="I310">
        <v>4875</v>
      </c>
      <c r="M310">
        <f>Tabla2[[#This Row],[entrada_litros]]*Tabla2[[#This Row],[entrada_grasa_g_l]]/1000</f>
        <v>214.01249999999999</v>
      </c>
      <c r="N310">
        <f>Tabla2[[#This Row],[entrada_litros]]*Tabla2[[#This Row],[entrada_prot_g_l]]/1000</f>
        <v>164.92124999999999</v>
      </c>
      <c r="O310">
        <f>Tabla2[[#This Row],[cuba_fab_litros]]*Tabla2[[#This Row],[cuba_fab_grasa_g_l]]/1000</f>
        <v>0</v>
      </c>
      <c r="P310">
        <f>Tabla2[[#This Row],[cuba_fab_litros]]*Tabla2[[#This Row],[cuba_fab_prot_g_l]]/1000</f>
        <v>0</v>
      </c>
      <c r="Q310">
        <f>Tabla2[[#This Row],[queso_kg]]*Tabla2[[#This Row],[queso_est_pct]]/100</f>
        <v>0</v>
      </c>
      <c r="R310">
        <f>Tabla2[[#This Row],[queso_kg]]*Tabla2[[#This Row],[queso_mg_pct]]/100</f>
        <v>0</v>
      </c>
      <c r="S310">
        <f>_xlfn.ISOWEEKNUM(Tabla2[[#This Row],[fecha]])</f>
        <v>44</v>
      </c>
      <c r="T310">
        <v>45</v>
      </c>
    </row>
    <row r="311" spans="1:20" x14ac:dyDescent="0.25">
      <c r="A311" s="1">
        <v>45600</v>
      </c>
      <c r="B311">
        <v>4887</v>
      </c>
      <c r="C311">
        <v>4745</v>
      </c>
      <c r="D311">
        <v>45.06</v>
      </c>
      <c r="E311">
        <v>36.369999999999997</v>
      </c>
      <c r="F311">
        <v>5026</v>
      </c>
      <c r="G311">
        <v>42.17</v>
      </c>
      <c r="H311">
        <v>33.840000000000003</v>
      </c>
      <c r="I311">
        <v>4620</v>
      </c>
      <c r="J311">
        <v>578.48</v>
      </c>
      <c r="K311">
        <v>52.58</v>
      </c>
      <c r="L311">
        <v>25.98</v>
      </c>
      <c r="M311">
        <f>Tabla2[[#This Row],[entrada_litros]]*Tabla2[[#This Row],[entrada_grasa_g_l]]/1000</f>
        <v>213.80970000000002</v>
      </c>
      <c r="N311">
        <f>Tabla2[[#This Row],[entrada_litros]]*Tabla2[[#This Row],[entrada_prot_g_l]]/1000</f>
        <v>172.57565</v>
      </c>
      <c r="O311">
        <f>Tabla2[[#This Row],[cuba_fab_litros]]*Tabla2[[#This Row],[cuba_fab_grasa_g_l]]/1000</f>
        <v>211.94642000000002</v>
      </c>
      <c r="P311">
        <f>Tabla2[[#This Row],[cuba_fab_litros]]*Tabla2[[#This Row],[cuba_fab_prot_g_l]]/1000</f>
        <v>170.07984000000002</v>
      </c>
      <c r="Q311">
        <f>Tabla2[[#This Row],[queso_kg]]*Tabla2[[#This Row],[queso_est_pct]]/100</f>
        <v>304.164784</v>
      </c>
      <c r="R311">
        <f>Tabla2[[#This Row],[queso_kg]]*Tabla2[[#This Row],[queso_mg_pct]]/100</f>
        <v>150.28910400000001</v>
      </c>
      <c r="S311">
        <f>_xlfn.ISOWEEKNUM(Tabla2[[#This Row],[fecha]])</f>
        <v>45</v>
      </c>
      <c r="T311">
        <v>45</v>
      </c>
    </row>
    <row r="312" spans="1:20" x14ac:dyDescent="0.25">
      <c r="A312" s="1">
        <v>45601</v>
      </c>
      <c r="B312">
        <v>5038</v>
      </c>
      <c r="C312">
        <v>4891</v>
      </c>
      <c r="D312">
        <v>42.47</v>
      </c>
      <c r="E312">
        <v>35.1</v>
      </c>
      <c r="F312">
        <v>5027</v>
      </c>
      <c r="G312">
        <v>41.36</v>
      </c>
      <c r="H312">
        <v>33.19</v>
      </c>
      <c r="I312">
        <v>4511</v>
      </c>
      <c r="J312">
        <v>574.69000000000005</v>
      </c>
      <c r="K312">
        <v>52.5</v>
      </c>
      <c r="L312">
        <v>27.09</v>
      </c>
      <c r="M312">
        <f>Tabla2[[#This Row],[entrada_litros]]*Tabla2[[#This Row],[entrada_grasa_g_l]]/1000</f>
        <v>207.72076999999999</v>
      </c>
      <c r="N312">
        <f>Tabla2[[#This Row],[entrada_litros]]*Tabla2[[#This Row],[entrada_prot_g_l]]/1000</f>
        <v>171.67410000000001</v>
      </c>
      <c r="O312">
        <f>Tabla2[[#This Row],[cuba_fab_litros]]*Tabla2[[#This Row],[cuba_fab_grasa_g_l]]/1000</f>
        <v>207.91672</v>
      </c>
      <c r="P312">
        <f>Tabla2[[#This Row],[cuba_fab_litros]]*Tabla2[[#This Row],[cuba_fab_prot_g_l]]/1000</f>
        <v>166.84612999999999</v>
      </c>
      <c r="Q312">
        <f>Tabla2[[#This Row],[queso_kg]]*Tabla2[[#This Row],[queso_est_pct]]/100</f>
        <v>301.71225000000004</v>
      </c>
      <c r="R312">
        <f>Tabla2[[#This Row],[queso_kg]]*Tabla2[[#This Row],[queso_mg_pct]]/100</f>
        <v>155.68352100000001</v>
      </c>
      <c r="S312">
        <f>_xlfn.ISOWEEKNUM(Tabla2[[#This Row],[fecha]])</f>
        <v>45</v>
      </c>
      <c r="T312">
        <v>45</v>
      </c>
    </row>
    <row r="313" spans="1:20" x14ac:dyDescent="0.25">
      <c r="A313" s="1">
        <v>45602</v>
      </c>
      <c r="B313">
        <v>5303</v>
      </c>
      <c r="C313">
        <v>5149</v>
      </c>
      <c r="D313">
        <v>40.619999999999997</v>
      </c>
      <c r="E313">
        <v>34.76</v>
      </c>
      <c r="F313">
        <v>5025</v>
      </c>
      <c r="G313">
        <v>39.950000000000003</v>
      </c>
      <c r="H313">
        <v>33.53</v>
      </c>
      <c r="I313">
        <v>4660</v>
      </c>
      <c r="J313">
        <v>579.13</v>
      </c>
      <c r="K313">
        <v>52.81</v>
      </c>
      <c r="L313">
        <v>24.84</v>
      </c>
      <c r="M313">
        <f>Tabla2[[#This Row],[entrada_litros]]*Tabla2[[#This Row],[entrada_grasa_g_l]]/1000</f>
        <v>209.15237999999997</v>
      </c>
      <c r="N313">
        <f>Tabla2[[#This Row],[entrada_litros]]*Tabla2[[#This Row],[entrada_prot_g_l]]/1000</f>
        <v>178.97924</v>
      </c>
      <c r="O313">
        <f>Tabla2[[#This Row],[cuba_fab_litros]]*Tabla2[[#This Row],[cuba_fab_grasa_g_l]]/1000</f>
        <v>200.74875</v>
      </c>
      <c r="P313">
        <f>Tabla2[[#This Row],[cuba_fab_litros]]*Tabla2[[#This Row],[cuba_fab_prot_g_l]]/1000</f>
        <v>168.48824999999999</v>
      </c>
      <c r="Q313">
        <f>Tabla2[[#This Row],[queso_kg]]*Tabla2[[#This Row],[queso_est_pct]]/100</f>
        <v>305.83855299999999</v>
      </c>
      <c r="R313">
        <f>Tabla2[[#This Row],[queso_kg]]*Tabla2[[#This Row],[queso_mg_pct]]/100</f>
        <v>143.85589200000001</v>
      </c>
      <c r="S313">
        <f>_xlfn.ISOWEEKNUM(Tabla2[[#This Row],[fecha]])</f>
        <v>45</v>
      </c>
      <c r="T313">
        <v>45</v>
      </c>
    </row>
    <row r="314" spans="1:20" x14ac:dyDescent="0.25">
      <c r="A314" s="1">
        <v>45603</v>
      </c>
      <c r="B314">
        <v>5306</v>
      </c>
      <c r="C314">
        <v>5151</v>
      </c>
      <c r="D314">
        <v>39.92</v>
      </c>
      <c r="E314">
        <v>35.29</v>
      </c>
      <c r="F314">
        <v>5025</v>
      </c>
      <c r="G314">
        <v>39.020000000000003</v>
      </c>
      <c r="H314">
        <v>33.28</v>
      </c>
      <c r="I314">
        <v>4811</v>
      </c>
      <c r="J314">
        <v>609.04</v>
      </c>
      <c r="K314">
        <v>51.99</v>
      </c>
      <c r="L314">
        <v>27.36</v>
      </c>
      <c r="M314">
        <f>Tabla2[[#This Row],[entrada_litros]]*Tabla2[[#This Row],[entrada_grasa_g_l]]/1000</f>
        <v>205.62792000000002</v>
      </c>
      <c r="N314">
        <f>Tabla2[[#This Row],[entrada_litros]]*Tabla2[[#This Row],[entrada_prot_g_l]]/1000</f>
        <v>181.77879000000001</v>
      </c>
      <c r="O314">
        <f>Tabla2[[#This Row],[cuba_fab_litros]]*Tabla2[[#This Row],[cuba_fab_grasa_g_l]]/1000</f>
        <v>196.07550000000003</v>
      </c>
      <c r="P314">
        <f>Tabla2[[#This Row],[cuba_fab_litros]]*Tabla2[[#This Row],[cuba_fab_prot_g_l]]/1000</f>
        <v>167.232</v>
      </c>
      <c r="Q314">
        <f>Tabla2[[#This Row],[queso_kg]]*Tabla2[[#This Row],[queso_est_pct]]/100</f>
        <v>316.63989600000002</v>
      </c>
      <c r="R314">
        <f>Tabla2[[#This Row],[queso_kg]]*Tabla2[[#This Row],[queso_mg_pct]]/100</f>
        <v>166.63334399999999</v>
      </c>
      <c r="S314">
        <f>_xlfn.ISOWEEKNUM(Tabla2[[#This Row],[fecha]])</f>
        <v>45</v>
      </c>
      <c r="T314">
        <v>45</v>
      </c>
    </row>
    <row r="315" spans="1:20" x14ac:dyDescent="0.25">
      <c r="A315" s="1">
        <v>45604</v>
      </c>
      <c r="F315">
        <v>4835</v>
      </c>
      <c r="G315">
        <v>39.130000000000003</v>
      </c>
      <c r="H315">
        <v>33.58</v>
      </c>
      <c r="J315">
        <v>569.59</v>
      </c>
      <c r="K315">
        <v>53.56</v>
      </c>
      <c r="L315">
        <v>26.87</v>
      </c>
      <c r="M315">
        <f>Tabla2[[#This Row],[entrada_litros]]*Tabla2[[#This Row],[entrada_grasa_g_l]]/1000</f>
        <v>0</v>
      </c>
      <c r="N315">
        <f>Tabla2[[#This Row],[entrada_litros]]*Tabla2[[#This Row],[entrada_prot_g_l]]/1000</f>
        <v>0</v>
      </c>
      <c r="O315">
        <f>Tabla2[[#This Row],[cuba_fab_litros]]*Tabla2[[#This Row],[cuba_fab_grasa_g_l]]/1000</f>
        <v>189.19355000000002</v>
      </c>
      <c r="P315">
        <f>Tabla2[[#This Row],[cuba_fab_litros]]*Tabla2[[#This Row],[cuba_fab_prot_g_l]]/1000</f>
        <v>162.35929999999999</v>
      </c>
      <c r="Q315">
        <f>Tabla2[[#This Row],[queso_kg]]*Tabla2[[#This Row],[queso_est_pct]]/100</f>
        <v>305.07240400000001</v>
      </c>
      <c r="R315">
        <f>Tabla2[[#This Row],[queso_kg]]*Tabla2[[#This Row],[queso_mg_pct]]/100</f>
        <v>153.048833</v>
      </c>
      <c r="S315">
        <f>_xlfn.ISOWEEKNUM(Tabla2[[#This Row],[fecha]])</f>
        <v>45</v>
      </c>
      <c r="T315">
        <v>45</v>
      </c>
    </row>
    <row r="316" spans="1:20" x14ac:dyDescent="0.25">
      <c r="A316" s="1">
        <v>45605</v>
      </c>
      <c r="M316">
        <f>Tabla2[[#This Row],[entrada_litros]]*Tabla2[[#This Row],[entrada_grasa_g_l]]/1000</f>
        <v>0</v>
      </c>
      <c r="N316">
        <f>Tabla2[[#This Row],[entrada_litros]]*Tabla2[[#This Row],[entrada_prot_g_l]]/1000</f>
        <v>0</v>
      </c>
      <c r="O316">
        <f>Tabla2[[#This Row],[cuba_fab_litros]]*Tabla2[[#This Row],[cuba_fab_grasa_g_l]]/1000</f>
        <v>0</v>
      </c>
      <c r="P316">
        <f>Tabla2[[#This Row],[cuba_fab_litros]]*Tabla2[[#This Row],[cuba_fab_prot_g_l]]/1000</f>
        <v>0</v>
      </c>
      <c r="Q316">
        <f>Tabla2[[#This Row],[queso_kg]]*Tabla2[[#This Row],[queso_est_pct]]/100</f>
        <v>0</v>
      </c>
      <c r="R316">
        <f>Tabla2[[#This Row],[queso_kg]]*Tabla2[[#This Row],[queso_mg_pct]]/100</f>
        <v>0</v>
      </c>
      <c r="S316">
        <f>_xlfn.ISOWEEKNUM(Tabla2[[#This Row],[fecha]])</f>
        <v>45</v>
      </c>
      <c r="T316">
        <v>45</v>
      </c>
    </row>
    <row r="317" spans="1:20" x14ac:dyDescent="0.25">
      <c r="A317" s="1">
        <v>45606</v>
      </c>
      <c r="B317">
        <v>5222</v>
      </c>
      <c r="C317">
        <v>5070</v>
      </c>
      <c r="D317">
        <v>41.32</v>
      </c>
      <c r="E317">
        <v>34.380000000000003</v>
      </c>
      <c r="I317">
        <v>5070</v>
      </c>
      <c r="M317">
        <f>Tabla2[[#This Row],[entrada_litros]]*Tabla2[[#This Row],[entrada_grasa_g_l]]/1000</f>
        <v>209.4924</v>
      </c>
      <c r="N317">
        <f>Tabla2[[#This Row],[entrada_litros]]*Tabla2[[#This Row],[entrada_prot_g_l]]/1000</f>
        <v>174.3066</v>
      </c>
      <c r="O317">
        <f>Tabla2[[#This Row],[cuba_fab_litros]]*Tabla2[[#This Row],[cuba_fab_grasa_g_l]]/1000</f>
        <v>0</v>
      </c>
      <c r="P317">
        <f>Tabla2[[#This Row],[cuba_fab_litros]]*Tabla2[[#This Row],[cuba_fab_prot_g_l]]/1000</f>
        <v>0</v>
      </c>
      <c r="Q317">
        <f>Tabla2[[#This Row],[queso_kg]]*Tabla2[[#This Row],[queso_est_pct]]/100</f>
        <v>0</v>
      </c>
      <c r="R317">
        <f>Tabla2[[#This Row],[queso_kg]]*Tabla2[[#This Row],[queso_mg_pct]]/100</f>
        <v>0</v>
      </c>
      <c r="S317">
        <f>_xlfn.ISOWEEKNUM(Tabla2[[#This Row],[fecha]])</f>
        <v>45</v>
      </c>
      <c r="T317">
        <v>46</v>
      </c>
    </row>
    <row r="318" spans="1:20" x14ac:dyDescent="0.25">
      <c r="A318" s="1">
        <v>45607</v>
      </c>
      <c r="B318">
        <v>5775</v>
      </c>
      <c r="C318">
        <v>5607</v>
      </c>
      <c r="D318">
        <v>41.69</v>
      </c>
      <c r="E318">
        <v>36.25</v>
      </c>
      <c r="F318">
        <v>5027</v>
      </c>
      <c r="G318">
        <v>39.51</v>
      </c>
      <c r="H318">
        <v>33.67</v>
      </c>
      <c r="I318">
        <v>5677</v>
      </c>
      <c r="J318">
        <v>585.87</v>
      </c>
      <c r="K318">
        <v>50.91</v>
      </c>
      <c r="L318">
        <v>27.57</v>
      </c>
      <c r="M318">
        <f>Tabla2[[#This Row],[entrada_litros]]*Tabla2[[#This Row],[entrada_grasa_g_l]]/1000</f>
        <v>233.75582999999997</v>
      </c>
      <c r="N318">
        <f>Tabla2[[#This Row],[entrada_litros]]*Tabla2[[#This Row],[entrada_prot_g_l]]/1000</f>
        <v>203.25375</v>
      </c>
      <c r="O318">
        <f>Tabla2[[#This Row],[cuba_fab_litros]]*Tabla2[[#This Row],[cuba_fab_grasa_g_l]]/1000</f>
        <v>198.61677</v>
      </c>
      <c r="P318">
        <f>Tabla2[[#This Row],[cuba_fab_litros]]*Tabla2[[#This Row],[cuba_fab_prot_g_l]]/1000</f>
        <v>169.25908999999999</v>
      </c>
      <c r="Q318">
        <f>Tabla2[[#This Row],[queso_kg]]*Tabla2[[#This Row],[queso_est_pct]]/100</f>
        <v>298.26641699999999</v>
      </c>
      <c r="R318">
        <f>Tabla2[[#This Row],[queso_kg]]*Tabla2[[#This Row],[queso_mg_pct]]/100</f>
        <v>161.524359</v>
      </c>
      <c r="S318">
        <f>_xlfn.ISOWEEKNUM(Tabla2[[#This Row],[fecha]])</f>
        <v>46</v>
      </c>
      <c r="T318">
        <v>46</v>
      </c>
    </row>
    <row r="319" spans="1:20" x14ac:dyDescent="0.25">
      <c r="A319" s="1">
        <v>45608</v>
      </c>
      <c r="B319">
        <v>5280</v>
      </c>
      <c r="C319">
        <v>5126</v>
      </c>
      <c r="D319">
        <v>40.54</v>
      </c>
      <c r="E319">
        <v>35.75</v>
      </c>
      <c r="F319">
        <v>5023</v>
      </c>
      <c r="G319">
        <v>39.090000000000003</v>
      </c>
      <c r="H319">
        <v>34.17</v>
      </c>
      <c r="I319">
        <v>5803</v>
      </c>
      <c r="J319">
        <v>610.33000000000004</v>
      </c>
      <c r="K319">
        <v>52.76</v>
      </c>
      <c r="L319">
        <v>26.1</v>
      </c>
      <c r="M319">
        <f>Tabla2[[#This Row],[entrada_litros]]*Tabla2[[#This Row],[entrada_grasa_g_l]]/1000</f>
        <v>207.80804000000001</v>
      </c>
      <c r="N319">
        <f>Tabla2[[#This Row],[entrada_litros]]*Tabla2[[#This Row],[entrada_prot_g_l]]/1000</f>
        <v>183.25450000000001</v>
      </c>
      <c r="O319">
        <f>Tabla2[[#This Row],[cuba_fab_litros]]*Tabla2[[#This Row],[cuba_fab_grasa_g_l]]/1000</f>
        <v>196.34907000000001</v>
      </c>
      <c r="P319">
        <f>Tabla2[[#This Row],[cuba_fab_litros]]*Tabla2[[#This Row],[cuba_fab_prot_g_l]]/1000</f>
        <v>171.63591</v>
      </c>
      <c r="Q319">
        <f>Tabla2[[#This Row],[queso_kg]]*Tabla2[[#This Row],[queso_est_pct]]/100</f>
        <v>322.010108</v>
      </c>
      <c r="R319">
        <f>Tabla2[[#This Row],[queso_kg]]*Tabla2[[#This Row],[queso_mg_pct]]/100</f>
        <v>159.29613000000001</v>
      </c>
      <c r="S319">
        <f>_xlfn.ISOWEEKNUM(Tabla2[[#This Row],[fecha]])</f>
        <v>46</v>
      </c>
      <c r="T319">
        <v>46</v>
      </c>
    </row>
    <row r="320" spans="1:20" x14ac:dyDescent="0.25">
      <c r="A320" s="1">
        <v>45609</v>
      </c>
      <c r="B320">
        <v>5002</v>
      </c>
      <c r="C320">
        <v>4856</v>
      </c>
      <c r="D320">
        <v>41.28</v>
      </c>
      <c r="E320">
        <v>33.99</v>
      </c>
      <c r="F320">
        <v>5023</v>
      </c>
      <c r="G320">
        <v>39.53</v>
      </c>
      <c r="H320">
        <v>33.18</v>
      </c>
      <c r="I320">
        <v>5659</v>
      </c>
      <c r="J320">
        <v>583.13</v>
      </c>
      <c r="K320">
        <v>53.64</v>
      </c>
      <c r="L320">
        <v>26.29</v>
      </c>
      <c r="M320">
        <f>Tabla2[[#This Row],[entrada_litros]]*Tabla2[[#This Row],[entrada_grasa_g_l]]/1000</f>
        <v>200.45568</v>
      </c>
      <c r="N320">
        <f>Tabla2[[#This Row],[entrada_litros]]*Tabla2[[#This Row],[entrada_prot_g_l]]/1000</f>
        <v>165.05544</v>
      </c>
      <c r="O320">
        <f>Tabla2[[#This Row],[cuba_fab_litros]]*Tabla2[[#This Row],[cuba_fab_grasa_g_l]]/1000</f>
        <v>198.55919</v>
      </c>
      <c r="P320">
        <f>Tabla2[[#This Row],[cuba_fab_litros]]*Tabla2[[#This Row],[cuba_fab_prot_g_l]]/1000</f>
        <v>166.66314</v>
      </c>
      <c r="Q320">
        <f>Tabla2[[#This Row],[queso_kg]]*Tabla2[[#This Row],[queso_est_pct]]/100</f>
        <v>312.790932</v>
      </c>
      <c r="R320">
        <f>Tabla2[[#This Row],[queso_kg]]*Tabla2[[#This Row],[queso_mg_pct]]/100</f>
        <v>153.304877</v>
      </c>
      <c r="S320">
        <f>_xlfn.ISOWEEKNUM(Tabla2[[#This Row],[fecha]])</f>
        <v>46</v>
      </c>
      <c r="T320">
        <v>46</v>
      </c>
    </row>
    <row r="321" spans="1:20" x14ac:dyDescent="0.25">
      <c r="A321" s="1">
        <v>45610</v>
      </c>
      <c r="B321">
        <v>4765</v>
      </c>
      <c r="C321">
        <v>4626</v>
      </c>
      <c r="D321">
        <v>42.54</v>
      </c>
      <c r="E321">
        <v>35.18</v>
      </c>
      <c r="F321">
        <v>5026</v>
      </c>
      <c r="G321">
        <v>39.42</v>
      </c>
      <c r="H321">
        <v>33.369999999999997</v>
      </c>
      <c r="I321">
        <v>5285</v>
      </c>
      <c r="J321">
        <v>580.09</v>
      </c>
      <c r="K321">
        <v>50.18</v>
      </c>
      <c r="L321">
        <v>28.33</v>
      </c>
      <c r="M321">
        <f>Tabla2[[#This Row],[entrada_litros]]*Tabla2[[#This Row],[entrada_grasa_g_l]]/1000</f>
        <v>196.79004</v>
      </c>
      <c r="N321">
        <f>Tabla2[[#This Row],[entrada_litros]]*Tabla2[[#This Row],[entrada_prot_g_l]]/1000</f>
        <v>162.74268000000001</v>
      </c>
      <c r="O321">
        <f>Tabla2[[#This Row],[cuba_fab_litros]]*Tabla2[[#This Row],[cuba_fab_grasa_g_l]]/1000</f>
        <v>198.12492</v>
      </c>
      <c r="P321">
        <f>Tabla2[[#This Row],[cuba_fab_litros]]*Tabla2[[#This Row],[cuba_fab_prot_g_l]]/1000</f>
        <v>167.71761999999998</v>
      </c>
      <c r="Q321">
        <f>Tabla2[[#This Row],[queso_kg]]*Tabla2[[#This Row],[queso_est_pct]]/100</f>
        <v>291.08916199999999</v>
      </c>
      <c r="R321">
        <f>Tabla2[[#This Row],[queso_kg]]*Tabla2[[#This Row],[queso_mg_pct]]/100</f>
        <v>164.33949700000002</v>
      </c>
      <c r="S321">
        <f>_xlfn.ISOWEEKNUM(Tabla2[[#This Row],[fecha]])</f>
        <v>46</v>
      </c>
      <c r="T321">
        <v>46</v>
      </c>
    </row>
    <row r="322" spans="1:20" x14ac:dyDescent="0.25">
      <c r="A322" s="1">
        <v>45611</v>
      </c>
      <c r="F322">
        <v>5316</v>
      </c>
      <c r="G322">
        <v>40.130000000000003</v>
      </c>
      <c r="H322">
        <v>33.35</v>
      </c>
      <c r="J322">
        <v>629.38</v>
      </c>
      <c r="K322">
        <v>51.36</v>
      </c>
      <c r="L322">
        <v>25.97</v>
      </c>
      <c r="M322">
        <f>Tabla2[[#This Row],[entrada_litros]]*Tabla2[[#This Row],[entrada_grasa_g_l]]/1000</f>
        <v>0</v>
      </c>
      <c r="N322">
        <f>Tabla2[[#This Row],[entrada_litros]]*Tabla2[[#This Row],[entrada_prot_g_l]]/1000</f>
        <v>0</v>
      </c>
      <c r="O322">
        <f>Tabla2[[#This Row],[cuba_fab_litros]]*Tabla2[[#This Row],[cuba_fab_grasa_g_l]]/1000</f>
        <v>213.33108000000001</v>
      </c>
      <c r="P322">
        <f>Tabla2[[#This Row],[cuba_fab_litros]]*Tabla2[[#This Row],[cuba_fab_prot_g_l]]/1000</f>
        <v>177.2886</v>
      </c>
      <c r="Q322">
        <f>Tabla2[[#This Row],[queso_kg]]*Tabla2[[#This Row],[queso_est_pct]]/100</f>
        <v>323.24956800000001</v>
      </c>
      <c r="R322">
        <f>Tabla2[[#This Row],[queso_kg]]*Tabla2[[#This Row],[queso_mg_pct]]/100</f>
        <v>163.449986</v>
      </c>
      <c r="S322">
        <f>_xlfn.ISOWEEKNUM(Tabla2[[#This Row],[fecha]])</f>
        <v>46</v>
      </c>
      <c r="T322">
        <v>46</v>
      </c>
    </row>
    <row r="323" spans="1:20" x14ac:dyDescent="0.25">
      <c r="A323" s="1">
        <v>45612</v>
      </c>
      <c r="M323">
        <f>Tabla2[[#This Row],[entrada_litros]]*Tabla2[[#This Row],[entrada_grasa_g_l]]/1000</f>
        <v>0</v>
      </c>
      <c r="N323">
        <f>Tabla2[[#This Row],[entrada_litros]]*Tabla2[[#This Row],[entrada_prot_g_l]]/1000</f>
        <v>0</v>
      </c>
      <c r="O323">
        <f>Tabla2[[#This Row],[cuba_fab_litros]]*Tabla2[[#This Row],[cuba_fab_grasa_g_l]]/1000</f>
        <v>0</v>
      </c>
      <c r="P323">
        <f>Tabla2[[#This Row],[cuba_fab_litros]]*Tabla2[[#This Row],[cuba_fab_prot_g_l]]/1000</f>
        <v>0</v>
      </c>
      <c r="Q323">
        <f>Tabla2[[#This Row],[queso_kg]]*Tabla2[[#This Row],[queso_est_pct]]/100</f>
        <v>0</v>
      </c>
      <c r="R323">
        <f>Tabla2[[#This Row],[queso_kg]]*Tabla2[[#This Row],[queso_mg_pct]]/100</f>
        <v>0</v>
      </c>
      <c r="S323">
        <f>_xlfn.ISOWEEKNUM(Tabla2[[#This Row],[fecha]])</f>
        <v>46</v>
      </c>
      <c r="T323">
        <v>46</v>
      </c>
    </row>
    <row r="324" spans="1:20" x14ac:dyDescent="0.25">
      <c r="A324" s="1">
        <v>45613</v>
      </c>
      <c r="B324">
        <v>5366</v>
      </c>
      <c r="C324">
        <v>5210</v>
      </c>
      <c r="D324">
        <v>42.53</v>
      </c>
      <c r="E324">
        <v>37.08</v>
      </c>
      <c r="I324">
        <v>5210</v>
      </c>
      <c r="M324">
        <f>Tabla2[[#This Row],[entrada_litros]]*Tabla2[[#This Row],[entrada_grasa_g_l]]/1000</f>
        <v>221.58130000000003</v>
      </c>
      <c r="N324">
        <f>Tabla2[[#This Row],[entrada_litros]]*Tabla2[[#This Row],[entrada_prot_g_l]]/1000</f>
        <v>193.18679999999998</v>
      </c>
      <c r="O324">
        <f>Tabla2[[#This Row],[cuba_fab_litros]]*Tabla2[[#This Row],[cuba_fab_grasa_g_l]]/1000</f>
        <v>0</v>
      </c>
      <c r="P324">
        <f>Tabla2[[#This Row],[cuba_fab_litros]]*Tabla2[[#This Row],[cuba_fab_prot_g_l]]/1000</f>
        <v>0</v>
      </c>
      <c r="Q324">
        <f>Tabla2[[#This Row],[queso_kg]]*Tabla2[[#This Row],[queso_est_pct]]/100</f>
        <v>0</v>
      </c>
      <c r="R324">
        <f>Tabla2[[#This Row],[queso_kg]]*Tabla2[[#This Row],[queso_mg_pct]]/100</f>
        <v>0</v>
      </c>
      <c r="S324">
        <f>_xlfn.ISOWEEKNUM(Tabla2[[#This Row],[fecha]])</f>
        <v>46</v>
      </c>
      <c r="T324">
        <v>47</v>
      </c>
    </row>
    <row r="325" spans="1:20" x14ac:dyDescent="0.25">
      <c r="A325" s="1">
        <v>45614</v>
      </c>
      <c r="B325">
        <v>4825</v>
      </c>
      <c r="C325">
        <v>4684</v>
      </c>
      <c r="D325">
        <v>45.05</v>
      </c>
      <c r="E325">
        <v>37.1</v>
      </c>
      <c r="F325">
        <v>5026</v>
      </c>
      <c r="G325">
        <v>41.73</v>
      </c>
      <c r="H325">
        <v>35.74</v>
      </c>
      <c r="I325">
        <v>4894</v>
      </c>
      <c r="J325">
        <v>593.80999999999995</v>
      </c>
      <c r="K325">
        <v>50.87</v>
      </c>
      <c r="L325">
        <v>27.29</v>
      </c>
      <c r="M325">
        <f>Tabla2[[#This Row],[entrada_litros]]*Tabla2[[#This Row],[entrada_grasa_g_l]]/1000</f>
        <v>211.01419999999999</v>
      </c>
      <c r="N325">
        <f>Tabla2[[#This Row],[entrada_litros]]*Tabla2[[#This Row],[entrada_prot_g_l]]/1000</f>
        <v>173.7764</v>
      </c>
      <c r="O325">
        <f>Tabla2[[#This Row],[cuba_fab_litros]]*Tabla2[[#This Row],[cuba_fab_grasa_g_l]]/1000</f>
        <v>209.73497999999998</v>
      </c>
      <c r="P325">
        <f>Tabla2[[#This Row],[cuba_fab_litros]]*Tabla2[[#This Row],[cuba_fab_prot_g_l]]/1000</f>
        <v>179.62924000000001</v>
      </c>
      <c r="Q325">
        <f>Tabla2[[#This Row],[queso_kg]]*Tabla2[[#This Row],[queso_est_pct]]/100</f>
        <v>302.07114699999994</v>
      </c>
      <c r="R325">
        <f>Tabla2[[#This Row],[queso_kg]]*Tabla2[[#This Row],[queso_mg_pct]]/100</f>
        <v>162.05074899999997</v>
      </c>
      <c r="S325">
        <f>_xlfn.ISOWEEKNUM(Tabla2[[#This Row],[fecha]])</f>
        <v>47</v>
      </c>
      <c r="T325">
        <v>47</v>
      </c>
    </row>
    <row r="326" spans="1:20" x14ac:dyDescent="0.25">
      <c r="A326" s="1">
        <v>45615</v>
      </c>
      <c r="B326">
        <v>5172</v>
      </c>
      <c r="C326">
        <v>5021</v>
      </c>
      <c r="D326">
        <v>41.05</v>
      </c>
      <c r="E326">
        <v>36.86</v>
      </c>
      <c r="F326">
        <v>5026</v>
      </c>
      <c r="G326">
        <v>40.35</v>
      </c>
      <c r="H326">
        <v>35.229999999999997</v>
      </c>
      <c r="I326">
        <v>4915</v>
      </c>
      <c r="J326">
        <v>610.69000000000005</v>
      </c>
      <c r="K326">
        <v>49.14</v>
      </c>
      <c r="L326">
        <v>25.62</v>
      </c>
      <c r="M326">
        <f>Tabla2[[#This Row],[entrada_litros]]*Tabla2[[#This Row],[entrada_grasa_g_l]]/1000</f>
        <v>206.11204999999998</v>
      </c>
      <c r="N326">
        <f>Tabla2[[#This Row],[entrada_litros]]*Tabla2[[#This Row],[entrada_prot_g_l]]/1000</f>
        <v>185.07406</v>
      </c>
      <c r="O326">
        <f>Tabla2[[#This Row],[cuba_fab_litros]]*Tabla2[[#This Row],[cuba_fab_grasa_g_l]]/1000</f>
        <v>202.79910000000001</v>
      </c>
      <c r="P326">
        <f>Tabla2[[#This Row],[cuba_fab_litros]]*Tabla2[[#This Row],[cuba_fab_prot_g_l]]/1000</f>
        <v>177.06597999999997</v>
      </c>
      <c r="Q326">
        <f>Tabla2[[#This Row],[queso_kg]]*Tabla2[[#This Row],[queso_est_pct]]/100</f>
        <v>300.09306600000002</v>
      </c>
      <c r="R326">
        <f>Tabla2[[#This Row],[queso_kg]]*Tabla2[[#This Row],[queso_mg_pct]]/100</f>
        <v>156.45877800000002</v>
      </c>
      <c r="S326">
        <f>_xlfn.ISOWEEKNUM(Tabla2[[#This Row],[fecha]])</f>
        <v>47</v>
      </c>
      <c r="T326">
        <v>47</v>
      </c>
    </row>
    <row r="327" spans="1:20" x14ac:dyDescent="0.25">
      <c r="A327" s="1">
        <v>45616</v>
      </c>
      <c r="B327">
        <v>5413</v>
      </c>
      <c r="C327">
        <v>5255</v>
      </c>
      <c r="D327">
        <v>42.96</v>
      </c>
      <c r="E327">
        <v>35.74</v>
      </c>
      <c r="F327">
        <v>5028</v>
      </c>
      <c r="G327">
        <v>40.33</v>
      </c>
      <c r="H327">
        <v>34.54</v>
      </c>
      <c r="I327">
        <v>5170</v>
      </c>
      <c r="J327">
        <v>572.02</v>
      </c>
      <c r="K327">
        <v>50.34</v>
      </c>
      <c r="L327">
        <v>26.63</v>
      </c>
      <c r="M327">
        <f>Tabla2[[#This Row],[entrada_litros]]*Tabla2[[#This Row],[entrada_grasa_g_l]]/1000</f>
        <v>225.75480000000002</v>
      </c>
      <c r="N327">
        <f>Tabla2[[#This Row],[entrada_litros]]*Tabla2[[#This Row],[entrada_prot_g_l]]/1000</f>
        <v>187.81370000000001</v>
      </c>
      <c r="O327">
        <f>Tabla2[[#This Row],[cuba_fab_litros]]*Tabla2[[#This Row],[cuba_fab_grasa_g_l]]/1000</f>
        <v>202.77923999999999</v>
      </c>
      <c r="P327">
        <f>Tabla2[[#This Row],[cuba_fab_litros]]*Tabla2[[#This Row],[cuba_fab_prot_g_l]]/1000</f>
        <v>173.66711999999998</v>
      </c>
      <c r="Q327">
        <f>Tabla2[[#This Row],[queso_kg]]*Tabla2[[#This Row],[queso_est_pct]]/100</f>
        <v>287.95486800000003</v>
      </c>
      <c r="R327">
        <f>Tabla2[[#This Row],[queso_kg]]*Tabla2[[#This Row],[queso_mg_pct]]/100</f>
        <v>152.328926</v>
      </c>
      <c r="S327">
        <f>_xlfn.ISOWEEKNUM(Tabla2[[#This Row],[fecha]])</f>
        <v>47</v>
      </c>
      <c r="T327">
        <v>47</v>
      </c>
    </row>
    <row r="328" spans="1:20" x14ac:dyDescent="0.25">
      <c r="A328" s="1">
        <v>45617</v>
      </c>
      <c r="B328">
        <v>5272</v>
      </c>
      <c r="C328">
        <v>5118</v>
      </c>
      <c r="D328">
        <v>40.659999999999997</v>
      </c>
      <c r="E328">
        <v>36.450000000000003</v>
      </c>
      <c r="F328">
        <v>5020</v>
      </c>
      <c r="G328">
        <v>39.729999999999997</v>
      </c>
      <c r="H328">
        <v>34.64</v>
      </c>
      <c r="I328">
        <v>5288</v>
      </c>
      <c r="J328">
        <v>563</v>
      </c>
      <c r="K328">
        <v>52.49</v>
      </c>
      <c r="L328">
        <v>27.6</v>
      </c>
      <c r="M328">
        <f>Tabla2[[#This Row],[entrada_litros]]*Tabla2[[#This Row],[entrada_grasa_g_l]]/1000</f>
        <v>208.09787999999998</v>
      </c>
      <c r="N328">
        <f>Tabla2[[#This Row],[entrada_litros]]*Tabla2[[#This Row],[entrada_prot_g_l]]/1000</f>
        <v>186.55110000000002</v>
      </c>
      <c r="O328">
        <f>Tabla2[[#This Row],[cuba_fab_litros]]*Tabla2[[#This Row],[cuba_fab_grasa_g_l]]/1000</f>
        <v>199.44459999999998</v>
      </c>
      <c r="P328">
        <f>Tabla2[[#This Row],[cuba_fab_litros]]*Tabla2[[#This Row],[cuba_fab_prot_g_l]]/1000</f>
        <v>173.89279999999999</v>
      </c>
      <c r="Q328">
        <f>Tabla2[[#This Row],[queso_kg]]*Tabla2[[#This Row],[queso_est_pct]]/100</f>
        <v>295.51870000000002</v>
      </c>
      <c r="R328">
        <f>Tabla2[[#This Row],[queso_kg]]*Tabla2[[#This Row],[queso_mg_pct]]/100</f>
        <v>155.38800000000001</v>
      </c>
      <c r="S328">
        <f>_xlfn.ISOWEEKNUM(Tabla2[[#This Row],[fecha]])</f>
        <v>47</v>
      </c>
      <c r="T328">
        <v>47</v>
      </c>
    </row>
    <row r="329" spans="1:20" x14ac:dyDescent="0.25">
      <c r="A329" s="1">
        <v>45618</v>
      </c>
      <c r="F329">
        <v>5315</v>
      </c>
      <c r="G329">
        <v>40.36</v>
      </c>
      <c r="H329">
        <v>35.06</v>
      </c>
      <c r="J329">
        <v>588.96</v>
      </c>
      <c r="K329">
        <v>51.23</v>
      </c>
      <c r="L329">
        <v>26.98</v>
      </c>
      <c r="M329">
        <f>Tabla2[[#This Row],[entrada_litros]]*Tabla2[[#This Row],[entrada_grasa_g_l]]/1000</f>
        <v>0</v>
      </c>
      <c r="N329">
        <f>Tabla2[[#This Row],[entrada_litros]]*Tabla2[[#This Row],[entrada_prot_g_l]]/1000</f>
        <v>0</v>
      </c>
      <c r="O329">
        <f>Tabla2[[#This Row],[cuba_fab_litros]]*Tabla2[[#This Row],[cuba_fab_grasa_g_l]]/1000</f>
        <v>214.51339999999999</v>
      </c>
      <c r="P329">
        <f>Tabla2[[#This Row],[cuba_fab_litros]]*Tabla2[[#This Row],[cuba_fab_prot_g_l]]/1000</f>
        <v>186.34390000000002</v>
      </c>
      <c r="Q329">
        <f>Tabla2[[#This Row],[queso_kg]]*Tabla2[[#This Row],[queso_est_pct]]/100</f>
        <v>301.72420799999998</v>
      </c>
      <c r="R329">
        <f>Tabla2[[#This Row],[queso_kg]]*Tabla2[[#This Row],[queso_mg_pct]]/100</f>
        <v>158.901408</v>
      </c>
      <c r="S329">
        <f>_xlfn.ISOWEEKNUM(Tabla2[[#This Row],[fecha]])</f>
        <v>47</v>
      </c>
      <c r="T329">
        <v>47</v>
      </c>
    </row>
    <row r="330" spans="1:20" x14ac:dyDescent="0.25">
      <c r="A330" s="1">
        <v>45619</v>
      </c>
      <c r="M330">
        <f>Tabla2[[#This Row],[entrada_litros]]*Tabla2[[#This Row],[entrada_grasa_g_l]]/1000</f>
        <v>0</v>
      </c>
      <c r="N330">
        <f>Tabla2[[#This Row],[entrada_litros]]*Tabla2[[#This Row],[entrada_prot_g_l]]/1000</f>
        <v>0</v>
      </c>
      <c r="O330">
        <f>Tabla2[[#This Row],[cuba_fab_litros]]*Tabla2[[#This Row],[cuba_fab_grasa_g_l]]/1000</f>
        <v>0</v>
      </c>
      <c r="P330">
        <f>Tabla2[[#This Row],[cuba_fab_litros]]*Tabla2[[#This Row],[cuba_fab_prot_g_l]]/1000</f>
        <v>0</v>
      </c>
      <c r="Q330">
        <f>Tabla2[[#This Row],[queso_kg]]*Tabla2[[#This Row],[queso_est_pct]]/100</f>
        <v>0</v>
      </c>
      <c r="R330">
        <f>Tabla2[[#This Row],[queso_kg]]*Tabla2[[#This Row],[queso_mg_pct]]/100</f>
        <v>0</v>
      </c>
      <c r="S330">
        <f>_xlfn.ISOWEEKNUM(Tabla2[[#This Row],[fecha]])</f>
        <v>47</v>
      </c>
      <c r="T330">
        <v>47</v>
      </c>
    </row>
    <row r="331" spans="1:20" x14ac:dyDescent="0.25">
      <c r="A331" s="1">
        <v>45620</v>
      </c>
      <c r="B331">
        <v>5131</v>
      </c>
      <c r="C331">
        <v>4982</v>
      </c>
      <c r="D331">
        <v>42.01</v>
      </c>
      <c r="E331">
        <v>35.840000000000003</v>
      </c>
      <c r="I331">
        <v>4982</v>
      </c>
      <c r="M331">
        <f>Tabla2[[#This Row],[entrada_litros]]*Tabla2[[#This Row],[entrada_grasa_g_l]]/1000</f>
        <v>209.29381999999998</v>
      </c>
      <c r="N331">
        <f>Tabla2[[#This Row],[entrada_litros]]*Tabla2[[#This Row],[entrada_prot_g_l]]/1000</f>
        <v>178.55488</v>
      </c>
      <c r="O331">
        <f>Tabla2[[#This Row],[cuba_fab_litros]]*Tabla2[[#This Row],[cuba_fab_grasa_g_l]]/1000</f>
        <v>0</v>
      </c>
      <c r="P331">
        <f>Tabla2[[#This Row],[cuba_fab_litros]]*Tabla2[[#This Row],[cuba_fab_prot_g_l]]/1000</f>
        <v>0</v>
      </c>
      <c r="Q331">
        <f>Tabla2[[#This Row],[queso_kg]]*Tabla2[[#This Row],[queso_est_pct]]/100</f>
        <v>0</v>
      </c>
      <c r="R331">
        <f>Tabla2[[#This Row],[queso_kg]]*Tabla2[[#This Row],[queso_mg_pct]]/100</f>
        <v>0</v>
      </c>
      <c r="S331">
        <f>_xlfn.ISOWEEKNUM(Tabla2[[#This Row],[fecha]])</f>
        <v>47</v>
      </c>
      <c r="T331">
        <v>48</v>
      </c>
    </row>
    <row r="332" spans="1:20" x14ac:dyDescent="0.25">
      <c r="A332" s="1">
        <v>45621</v>
      </c>
      <c r="B332">
        <v>5047</v>
      </c>
      <c r="C332">
        <v>4900</v>
      </c>
      <c r="D332">
        <v>42.75</v>
      </c>
      <c r="E332">
        <v>34.26</v>
      </c>
      <c r="F332">
        <v>5028</v>
      </c>
      <c r="G332">
        <v>40.68</v>
      </c>
      <c r="H332">
        <v>33.46</v>
      </c>
      <c r="I332">
        <v>4882</v>
      </c>
      <c r="J332">
        <v>597.65</v>
      </c>
      <c r="K332">
        <v>51.85</v>
      </c>
      <c r="L332">
        <v>27.82</v>
      </c>
      <c r="M332">
        <f>Tabla2[[#This Row],[entrada_litros]]*Tabla2[[#This Row],[entrada_grasa_g_l]]/1000</f>
        <v>209.47499999999999</v>
      </c>
      <c r="N332">
        <f>Tabla2[[#This Row],[entrada_litros]]*Tabla2[[#This Row],[entrada_prot_g_l]]/1000</f>
        <v>167.874</v>
      </c>
      <c r="O332">
        <f>Tabla2[[#This Row],[cuba_fab_litros]]*Tabla2[[#This Row],[cuba_fab_grasa_g_l]]/1000</f>
        <v>204.53904</v>
      </c>
      <c r="P332">
        <f>Tabla2[[#This Row],[cuba_fab_litros]]*Tabla2[[#This Row],[cuba_fab_prot_g_l]]/1000</f>
        <v>168.23688000000001</v>
      </c>
      <c r="Q332">
        <f>Tabla2[[#This Row],[queso_kg]]*Tabla2[[#This Row],[queso_est_pct]]/100</f>
        <v>309.88152500000001</v>
      </c>
      <c r="R332">
        <f>Tabla2[[#This Row],[queso_kg]]*Tabla2[[#This Row],[queso_mg_pct]]/100</f>
        <v>166.26623000000001</v>
      </c>
      <c r="S332">
        <f>_xlfn.ISOWEEKNUM(Tabla2[[#This Row],[fecha]])</f>
        <v>48</v>
      </c>
      <c r="T332">
        <v>48</v>
      </c>
    </row>
    <row r="333" spans="1:20" x14ac:dyDescent="0.25">
      <c r="A333" s="1">
        <v>45622</v>
      </c>
      <c r="B333">
        <v>4766</v>
      </c>
      <c r="C333">
        <v>4627</v>
      </c>
      <c r="D333">
        <v>40.47</v>
      </c>
      <c r="E333">
        <v>35.049999999999997</v>
      </c>
      <c r="F333">
        <v>5021</v>
      </c>
      <c r="G333">
        <v>39.43</v>
      </c>
      <c r="H333">
        <v>33.67</v>
      </c>
      <c r="I333">
        <v>4509</v>
      </c>
      <c r="J333">
        <v>583.95000000000005</v>
      </c>
      <c r="K333">
        <v>53.05</v>
      </c>
      <c r="L333">
        <v>28.12</v>
      </c>
      <c r="M333">
        <f>Tabla2[[#This Row],[entrada_litros]]*Tabla2[[#This Row],[entrada_grasa_g_l]]/1000</f>
        <v>187.25469000000001</v>
      </c>
      <c r="N333">
        <f>Tabla2[[#This Row],[entrada_litros]]*Tabla2[[#This Row],[entrada_prot_g_l]]/1000</f>
        <v>162.17634999999999</v>
      </c>
      <c r="O333">
        <f>Tabla2[[#This Row],[cuba_fab_litros]]*Tabla2[[#This Row],[cuba_fab_grasa_g_l]]/1000</f>
        <v>197.97802999999999</v>
      </c>
      <c r="P333">
        <f>Tabla2[[#This Row],[cuba_fab_litros]]*Tabla2[[#This Row],[cuba_fab_prot_g_l]]/1000</f>
        <v>169.05707000000001</v>
      </c>
      <c r="Q333">
        <f>Tabla2[[#This Row],[queso_kg]]*Tabla2[[#This Row],[queso_est_pct]]/100</f>
        <v>309.78547500000002</v>
      </c>
      <c r="R333">
        <f>Tabla2[[#This Row],[queso_kg]]*Tabla2[[#This Row],[queso_mg_pct]]/100</f>
        <v>164.20674000000002</v>
      </c>
      <c r="S333">
        <f>_xlfn.ISOWEEKNUM(Tabla2[[#This Row],[fecha]])</f>
        <v>48</v>
      </c>
      <c r="T333">
        <v>48</v>
      </c>
    </row>
    <row r="334" spans="1:20" x14ac:dyDescent="0.25">
      <c r="A334" s="1">
        <v>45623</v>
      </c>
      <c r="B334">
        <v>5274</v>
      </c>
      <c r="C334">
        <v>5120</v>
      </c>
      <c r="D334">
        <v>42.8</v>
      </c>
      <c r="E334">
        <v>36.68</v>
      </c>
      <c r="F334">
        <v>5019</v>
      </c>
      <c r="G334">
        <v>40.1</v>
      </c>
      <c r="H334">
        <v>34.4</v>
      </c>
      <c r="I334">
        <v>4629</v>
      </c>
      <c r="J334">
        <v>604.77</v>
      </c>
      <c r="K334">
        <v>50.8</v>
      </c>
      <c r="L334">
        <v>27.29</v>
      </c>
      <c r="M334">
        <f>Tabla2[[#This Row],[entrada_litros]]*Tabla2[[#This Row],[entrada_grasa_g_l]]/1000</f>
        <v>219.136</v>
      </c>
      <c r="N334">
        <f>Tabla2[[#This Row],[entrada_litros]]*Tabla2[[#This Row],[entrada_prot_g_l]]/1000</f>
        <v>187.80160000000001</v>
      </c>
      <c r="O334">
        <f>Tabla2[[#This Row],[cuba_fab_litros]]*Tabla2[[#This Row],[cuba_fab_grasa_g_l]]/1000</f>
        <v>201.2619</v>
      </c>
      <c r="P334">
        <f>Tabla2[[#This Row],[cuba_fab_litros]]*Tabla2[[#This Row],[cuba_fab_prot_g_l]]/1000</f>
        <v>172.65360000000001</v>
      </c>
      <c r="Q334">
        <f>Tabla2[[#This Row],[queso_kg]]*Tabla2[[#This Row],[queso_est_pct]]/100</f>
        <v>307.22316000000001</v>
      </c>
      <c r="R334">
        <f>Tabla2[[#This Row],[queso_kg]]*Tabla2[[#This Row],[queso_mg_pct]]/100</f>
        <v>165.04173299999999</v>
      </c>
      <c r="S334">
        <f>_xlfn.ISOWEEKNUM(Tabla2[[#This Row],[fecha]])</f>
        <v>48</v>
      </c>
      <c r="T334">
        <v>48</v>
      </c>
    </row>
    <row r="335" spans="1:20" x14ac:dyDescent="0.25">
      <c r="A335" s="1">
        <v>45624</v>
      </c>
      <c r="B335">
        <v>4665</v>
      </c>
      <c r="C335">
        <v>4529</v>
      </c>
      <c r="D335">
        <v>43.15</v>
      </c>
      <c r="E335">
        <v>36.049999999999997</v>
      </c>
      <c r="F335">
        <v>5008</v>
      </c>
      <c r="G335">
        <v>41.12</v>
      </c>
      <c r="H335">
        <v>34.53</v>
      </c>
      <c r="I335">
        <v>4158</v>
      </c>
      <c r="J335">
        <v>592.05999999999995</v>
      </c>
      <c r="K335">
        <v>50.85</v>
      </c>
      <c r="L335">
        <v>27.17</v>
      </c>
      <c r="M335">
        <f>Tabla2[[#This Row],[entrada_litros]]*Tabla2[[#This Row],[entrada_grasa_g_l]]/1000</f>
        <v>195.42635000000001</v>
      </c>
      <c r="N335">
        <f>Tabla2[[#This Row],[entrada_litros]]*Tabla2[[#This Row],[entrada_prot_g_l]]/1000</f>
        <v>163.27044999999998</v>
      </c>
      <c r="O335">
        <f>Tabla2[[#This Row],[cuba_fab_litros]]*Tabla2[[#This Row],[cuba_fab_grasa_g_l]]/1000</f>
        <v>205.92895999999999</v>
      </c>
      <c r="P335">
        <f>Tabla2[[#This Row],[cuba_fab_litros]]*Tabla2[[#This Row],[cuba_fab_prot_g_l]]/1000</f>
        <v>172.92624000000001</v>
      </c>
      <c r="Q335">
        <f>Tabla2[[#This Row],[queso_kg]]*Tabla2[[#This Row],[queso_est_pct]]/100</f>
        <v>301.06250999999997</v>
      </c>
      <c r="R335">
        <f>Tabla2[[#This Row],[queso_kg]]*Tabla2[[#This Row],[queso_mg_pct]]/100</f>
        <v>160.86270199999998</v>
      </c>
      <c r="S335">
        <f>_xlfn.ISOWEEKNUM(Tabla2[[#This Row],[fecha]])</f>
        <v>48</v>
      </c>
      <c r="T335">
        <v>48</v>
      </c>
    </row>
    <row r="336" spans="1:20" x14ac:dyDescent="0.25">
      <c r="A336" s="1">
        <v>45625</v>
      </c>
      <c r="F336">
        <v>4178</v>
      </c>
      <c r="G336">
        <v>40.86</v>
      </c>
      <c r="H336">
        <v>34.04</v>
      </c>
      <c r="J336">
        <v>494.9</v>
      </c>
      <c r="K336">
        <v>51.11</v>
      </c>
      <c r="L336">
        <v>26.86</v>
      </c>
      <c r="M336">
        <f>Tabla2[[#This Row],[entrada_litros]]*Tabla2[[#This Row],[entrada_grasa_g_l]]/1000</f>
        <v>0</v>
      </c>
      <c r="N336">
        <f>Tabla2[[#This Row],[entrada_litros]]*Tabla2[[#This Row],[entrada_prot_g_l]]/1000</f>
        <v>0</v>
      </c>
      <c r="O336">
        <f>Tabla2[[#This Row],[cuba_fab_litros]]*Tabla2[[#This Row],[cuba_fab_grasa_g_l]]/1000</f>
        <v>170.71307999999999</v>
      </c>
      <c r="P336">
        <f>Tabla2[[#This Row],[cuba_fab_litros]]*Tabla2[[#This Row],[cuba_fab_prot_g_l]]/1000</f>
        <v>142.21912</v>
      </c>
      <c r="Q336">
        <f>Tabla2[[#This Row],[queso_kg]]*Tabla2[[#This Row],[queso_est_pct]]/100</f>
        <v>252.94338999999999</v>
      </c>
      <c r="R336">
        <f>Tabla2[[#This Row],[queso_kg]]*Tabla2[[#This Row],[queso_mg_pct]]/100</f>
        <v>132.93013999999999</v>
      </c>
      <c r="S336">
        <f>_xlfn.ISOWEEKNUM(Tabla2[[#This Row],[fecha]])</f>
        <v>48</v>
      </c>
      <c r="T336">
        <v>48</v>
      </c>
    </row>
    <row r="337" spans="1:20" x14ac:dyDescent="0.25">
      <c r="A337" s="1">
        <v>45626</v>
      </c>
      <c r="M337">
        <f>Tabla2[[#This Row],[entrada_litros]]*Tabla2[[#This Row],[entrada_grasa_g_l]]/1000</f>
        <v>0</v>
      </c>
      <c r="N337">
        <f>Tabla2[[#This Row],[entrada_litros]]*Tabla2[[#This Row],[entrada_prot_g_l]]/1000</f>
        <v>0</v>
      </c>
      <c r="O337">
        <f>Tabla2[[#This Row],[cuba_fab_litros]]*Tabla2[[#This Row],[cuba_fab_grasa_g_l]]/1000</f>
        <v>0</v>
      </c>
      <c r="P337">
        <f>Tabla2[[#This Row],[cuba_fab_litros]]*Tabla2[[#This Row],[cuba_fab_prot_g_l]]/1000</f>
        <v>0</v>
      </c>
      <c r="Q337">
        <f>Tabla2[[#This Row],[queso_kg]]*Tabla2[[#This Row],[queso_est_pct]]/100</f>
        <v>0</v>
      </c>
      <c r="R337">
        <f>Tabla2[[#This Row],[queso_kg]]*Tabla2[[#This Row],[queso_mg_pct]]/100</f>
        <v>0</v>
      </c>
      <c r="S337">
        <f>_xlfn.ISOWEEKNUM(Tabla2[[#This Row],[fecha]])</f>
        <v>48</v>
      </c>
      <c r="T337">
        <v>48</v>
      </c>
    </row>
    <row r="338" spans="1:20" x14ac:dyDescent="0.25">
      <c r="A338" s="1">
        <v>45627</v>
      </c>
      <c r="B338">
        <v>5066</v>
      </c>
      <c r="C338">
        <v>4918</v>
      </c>
      <c r="D338">
        <v>41.97</v>
      </c>
      <c r="E338">
        <v>37.53</v>
      </c>
      <c r="I338">
        <v>4918</v>
      </c>
      <c r="M338">
        <f>Tabla2[[#This Row],[entrada_litros]]*Tabla2[[#This Row],[entrada_grasa_g_l]]/1000</f>
        <v>206.40845999999999</v>
      </c>
      <c r="N338">
        <f>Tabla2[[#This Row],[entrada_litros]]*Tabla2[[#This Row],[entrada_prot_g_l]]/1000</f>
        <v>184.57254</v>
      </c>
      <c r="O338">
        <f>Tabla2[[#This Row],[cuba_fab_litros]]*Tabla2[[#This Row],[cuba_fab_grasa_g_l]]/1000</f>
        <v>0</v>
      </c>
      <c r="P338">
        <f>Tabla2[[#This Row],[cuba_fab_litros]]*Tabla2[[#This Row],[cuba_fab_prot_g_l]]/1000</f>
        <v>0</v>
      </c>
      <c r="Q338">
        <f>Tabla2[[#This Row],[queso_kg]]*Tabla2[[#This Row],[queso_est_pct]]/100</f>
        <v>0</v>
      </c>
      <c r="R338">
        <f>Tabla2[[#This Row],[queso_kg]]*Tabla2[[#This Row],[queso_mg_pct]]/100</f>
        <v>0</v>
      </c>
      <c r="S338">
        <f>_xlfn.ISOWEEKNUM(Tabla2[[#This Row],[fecha]])</f>
        <v>48</v>
      </c>
      <c r="T338">
        <v>49</v>
      </c>
    </row>
    <row r="339" spans="1:20" x14ac:dyDescent="0.25">
      <c r="A339" s="1">
        <v>45628</v>
      </c>
      <c r="B339">
        <v>5014</v>
      </c>
      <c r="C339">
        <v>4868</v>
      </c>
      <c r="D339">
        <v>43.46</v>
      </c>
      <c r="E339">
        <v>34.97</v>
      </c>
      <c r="F339">
        <v>5023</v>
      </c>
      <c r="G339">
        <v>40.590000000000003</v>
      </c>
      <c r="H339">
        <v>34.82</v>
      </c>
      <c r="I339">
        <v>4786</v>
      </c>
      <c r="J339">
        <v>569.20000000000005</v>
      </c>
      <c r="K339">
        <v>51.84</v>
      </c>
      <c r="L339">
        <v>26.33</v>
      </c>
      <c r="M339">
        <f>Tabla2[[#This Row],[entrada_litros]]*Tabla2[[#This Row],[entrada_grasa_g_l]]/1000</f>
        <v>211.56327999999999</v>
      </c>
      <c r="N339">
        <f>Tabla2[[#This Row],[entrada_litros]]*Tabla2[[#This Row],[entrada_prot_g_l]]/1000</f>
        <v>170.23396</v>
      </c>
      <c r="O339">
        <f>Tabla2[[#This Row],[cuba_fab_litros]]*Tabla2[[#This Row],[cuba_fab_grasa_g_l]]/1000</f>
        <v>203.88357000000002</v>
      </c>
      <c r="P339">
        <f>Tabla2[[#This Row],[cuba_fab_litros]]*Tabla2[[#This Row],[cuba_fab_prot_g_l]]/1000</f>
        <v>174.90086000000002</v>
      </c>
      <c r="Q339">
        <f>Tabla2[[#This Row],[queso_kg]]*Tabla2[[#This Row],[queso_est_pct]]/100</f>
        <v>295.07328000000007</v>
      </c>
      <c r="R339">
        <f>Tabla2[[#This Row],[queso_kg]]*Tabla2[[#This Row],[queso_mg_pct]]/100</f>
        <v>149.87036000000001</v>
      </c>
      <c r="S339">
        <f>_xlfn.ISOWEEKNUM(Tabla2[[#This Row],[fecha]])</f>
        <v>49</v>
      </c>
      <c r="T339">
        <v>49</v>
      </c>
    </row>
    <row r="340" spans="1:20" x14ac:dyDescent="0.25">
      <c r="A340" s="1">
        <v>45629</v>
      </c>
      <c r="B340">
        <v>5365</v>
      </c>
      <c r="C340">
        <v>5209</v>
      </c>
      <c r="D340">
        <v>43.16</v>
      </c>
      <c r="E340">
        <v>35.03</v>
      </c>
      <c r="F340">
        <v>5034</v>
      </c>
      <c r="G340">
        <v>41.15</v>
      </c>
      <c r="H340">
        <v>34.200000000000003</v>
      </c>
      <c r="I340">
        <v>4995</v>
      </c>
      <c r="J340">
        <v>567.75</v>
      </c>
      <c r="K340">
        <v>52.39</v>
      </c>
      <c r="L340">
        <v>26.82</v>
      </c>
      <c r="M340">
        <f>Tabla2[[#This Row],[entrada_litros]]*Tabla2[[#This Row],[entrada_grasa_g_l]]/1000</f>
        <v>224.82043999999996</v>
      </c>
      <c r="N340">
        <f>Tabla2[[#This Row],[entrada_litros]]*Tabla2[[#This Row],[entrada_prot_g_l]]/1000</f>
        <v>182.47127000000003</v>
      </c>
      <c r="O340">
        <f>Tabla2[[#This Row],[cuba_fab_litros]]*Tabla2[[#This Row],[cuba_fab_grasa_g_l]]/1000</f>
        <v>207.1491</v>
      </c>
      <c r="P340">
        <f>Tabla2[[#This Row],[cuba_fab_litros]]*Tabla2[[#This Row],[cuba_fab_prot_g_l]]/1000</f>
        <v>172.1628</v>
      </c>
      <c r="Q340">
        <f>Tabla2[[#This Row],[queso_kg]]*Tabla2[[#This Row],[queso_est_pct]]/100</f>
        <v>297.44422500000002</v>
      </c>
      <c r="R340">
        <f>Tabla2[[#This Row],[queso_kg]]*Tabla2[[#This Row],[queso_mg_pct]]/100</f>
        <v>152.27055000000001</v>
      </c>
      <c r="S340">
        <f>_xlfn.ISOWEEKNUM(Tabla2[[#This Row],[fecha]])</f>
        <v>49</v>
      </c>
      <c r="T340">
        <v>49</v>
      </c>
    </row>
    <row r="341" spans="1:20" x14ac:dyDescent="0.25">
      <c r="A341" s="1">
        <v>45630</v>
      </c>
      <c r="B341">
        <v>5635</v>
      </c>
      <c r="C341">
        <v>5471</v>
      </c>
      <c r="D341">
        <v>43.21</v>
      </c>
      <c r="E341">
        <v>35.520000000000003</v>
      </c>
      <c r="F341">
        <v>5030</v>
      </c>
      <c r="G341">
        <v>41.23</v>
      </c>
      <c r="H341">
        <v>33.86</v>
      </c>
      <c r="I341">
        <v>5466</v>
      </c>
      <c r="J341">
        <v>580.97</v>
      </c>
      <c r="K341">
        <v>50.1</v>
      </c>
      <c r="L341">
        <v>27.37</v>
      </c>
      <c r="M341">
        <f>Tabla2[[#This Row],[entrada_litros]]*Tabla2[[#This Row],[entrada_grasa_g_l]]/1000</f>
        <v>236.40191000000002</v>
      </c>
      <c r="N341">
        <f>Tabla2[[#This Row],[entrada_litros]]*Tabla2[[#This Row],[entrada_prot_g_l]]/1000</f>
        <v>194.32992000000002</v>
      </c>
      <c r="O341">
        <f>Tabla2[[#This Row],[cuba_fab_litros]]*Tabla2[[#This Row],[cuba_fab_grasa_g_l]]/1000</f>
        <v>207.3869</v>
      </c>
      <c r="P341">
        <f>Tabla2[[#This Row],[cuba_fab_litros]]*Tabla2[[#This Row],[cuba_fab_prot_g_l]]/1000</f>
        <v>170.3158</v>
      </c>
      <c r="Q341">
        <f>Tabla2[[#This Row],[queso_kg]]*Tabla2[[#This Row],[queso_est_pct]]/100</f>
        <v>291.06596999999999</v>
      </c>
      <c r="R341">
        <f>Tabla2[[#This Row],[queso_kg]]*Tabla2[[#This Row],[queso_mg_pct]]/100</f>
        <v>159.01148900000001</v>
      </c>
      <c r="S341">
        <f>_xlfn.ISOWEEKNUM(Tabla2[[#This Row],[fecha]])</f>
        <v>49</v>
      </c>
      <c r="T341">
        <v>49</v>
      </c>
    </row>
    <row r="342" spans="1:20" x14ac:dyDescent="0.25">
      <c r="A342" s="1">
        <v>45631</v>
      </c>
      <c r="B342">
        <v>4784</v>
      </c>
      <c r="C342">
        <v>4645</v>
      </c>
      <c r="D342">
        <v>41.96</v>
      </c>
      <c r="E342">
        <v>35.979999999999997</v>
      </c>
      <c r="F342">
        <v>5026</v>
      </c>
      <c r="G342">
        <v>40.47</v>
      </c>
      <c r="H342">
        <v>34.229999999999997</v>
      </c>
      <c r="I342">
        <v>5111</v>
      </c>
      <c r="J342">
        <v>590.53</v>
      </c>
      <c r="K342">
        <v>51.94</v>
      </c>
      <c r="L342">
        <v>27.45</v>
      </c>
      <c r="M342">
        <f>Tabla2[[#This Row],[entrada_litros]]*Tabla2[[#This Row],[entrada_grasa_g_l]]/1000</f>
        <v>194.9042</v>
      </c>
      <c r="N342">
        <f>Tabla2[[#This Row],[entrada_litros]]*Tabla2[[#This Row],[entrada_prot_g_l]]/1000</f>
        <v>167.12709999999998</v>
      </c>
      <c r="O342">
        <f>Tabla2[[#This Row],[cuba_fab_litros]]*Tabla2[[#This Row],[cuba_fab_grasa_g_l]]/1000</f>
        <v>203.40222</v>
      </c>
      <c r="P342">
        <f>Tabla2[[#This Row],[cuba_fab_litros]]*Tabla2[[#This Row],[cuba_fab_prot_g_l]]/1000</f>
        <v>172.03997999999999</v>
      </c>
      <c r="Q342">
        <f>Tabla2[[#This Row],[queso_kg]]*Tabla2[[#This Row],[queso_est_pct]]/100</f>
        <v>306.72128199999997</v>
      </c>
      <c r="R342">
        <f>Tabla2[[#This Row],[queso_kg]]*Tabla2[[#This Row],[queso_mg_pct]]/100</f>
        <v>162.10048499999999</v>
      </c>
      <c r="S342">
        <f>_xlfn.ISOWEEKNUM(Tabla2[[#This Row],[fecha]])</f>
        <v>49</v>
      </c>
      <c r="T342">
        <v>49</v>
      </c>
    </row>
    <row r="343" spans="1:20" x14ac:dyDescent="0.25">
      <c r="A343" s="1">
        <v>45632</v>
      </c>
      <c r="F343">
        <v>5137</v>
      </c>
      <c r="G343">
        <v>40.71</v>
      </c>
      <c r="H343">
        <v>34.06</v>
      </c>
      <c r="J343">
        <v>610.17999999999995</v>
      </c>
      <c r="K343">
        <v>52.33</v>
      </c>
      <c r="L343">
        <v>25.28</v>
      </c>
      <c r="M343">
        <f>Tabla2[[#This Row],[entrada_litros]]*Tabla2[[#This Row],[entrada_grasa_g_l]]/1000</f>
        <v>0</v>
      </c>
      <c r="N343">
        <f>Tabla2[[#This Row],[entrada_litros]]*Tabla2[[#This Row],[entrada_prot_g_l]]/1000</f>
        <v>0</v>
      </c>
      <c r="O343">
        <f>Tabla2[[#This Row],[cuba_fab_litros]]*Tabla2[[#This Row],[cuba_fab_grasa_g_l]]/1000</f>
        <v>209.12727000000001</v>
      </c>
      <c r="P343">
        <f>Tabla2[[#This Row],[cuba_fab_litros]]*Tabla2[[#This Row],[cuba_fab_prot_g_l]]/1000</f>
        <v>174.96621999999999</v>
      </c>
      <c r="Q343">
        <f>Tabla2[[#This Row],[queso_kg]]*Tabla2[[#This Row],[queso_est_pct]]/100</f>
        <v>319.30719399999998</v>
      </c>
      <c r="R343">
        <f>Tabla2[[#This Row],[queso_kg]]*Tabla2[[#This Row],[queso_mg_pct]]/100</f>
        <v>154.25350399999999</v>
      </c>
      <c r="S343">
        <f>_xlfn.ISOWEEKNUM(Tabla2[[#This Row],[fecha]])</f>
        <v>49</v>
      </c>
      <c r="T343">
        <v>49</v>
      </c>
    </row>
    <row r="344" spans="1:20" x14ac:dyDescent="0.25">
      <c r="A344" s="1">
        <v>45633</v>
      </c>
      <c r="M344">
        <f>Tabla2[[#This Row],[entrada_litros]]*Tabla2[[#This Row],[entrada_grasa_g_l]]/1000</f>
        <v>0</v>
      </c>
      <c r="N344">
        <f>Tabla2[[#This Row],[entrada_litros]]*Tabla2[[#This Row],[entrada_prot_g_l]]/1000</f>
        <v>0</v>
      </c>
      <c r="O344">
        <f>Tabla2[[#This Row],[cuba_fab_litros]]*Tabla2[[#This Row],[cuba_fab_grasa_g_l]]/1000</f>
        <v>0</v>
      </c>
      <c r="P344">
        <f>Tabla2[[#This Row],[cuba_fab_litros]]*Tabla2[[#This Row],[cuba_fab_prot_g_l]]/1000</f>
        <v>0</v>
      </c>
      <c r="Q344">
        <f>Tabla2[[#This Row],[queso_kg]]*Tabla2[[#This Row],[queso_est_pct]]/100</f>
        <v>0</v>
      </c>
      <c r="R344">
        <f>Tabla2[[#This Row],[queso_kg]]*Tabla2[[#This Row],[queso_mg_pct]]/100</f>
        <v>0</v>
      </c>
      <c r="S344">
        <f>_xlfn.ISOWEEKNUM(Tabla2[[#This Row],[fecha]])</f>
        <v>49</v>
      </c>
      <c r="T344">
        <v>49</v>
      </c>
    </row>
    <row r="345" spans="1:20" x14ac:dyDescent="0.25">
      <c r="A345" s="1">
        <v>45634</v>
      </c>
      <c r="B345">
        <v>4807</v>
      </c>
      <c r="C345">
        <v>4667</v>
      </c>
      <c r="D345">
        <v>42.55</v>
      </c>
      <c r="E345">
        <v>34.799999999999997</v>
      </c>
      <c r="I345">
        <v>4667</v>
      </c>
      <c r="M345">
        <f>Tabla2[[#This Row],[entrada_litros]]*Tabla2[[#This Row],[entrada_grasa_g_l]]/1000</f>
        <v>198.58084999999997</v>
      </c>
      <c r="N345">
        <f>Tabla2[[#This Row],[entrada_litros]]*Tabla2[[#This Row],[entrada_prot_g_l]]/1000</f>
        <v>162.41159999999996</v>
      </c>
      <c r="O345">
        <f>Tabla2[[#This Row],[cuba_fab_litros]]*Tabla2[[#This Row],[cuba_fab_grasa_g_l]]/1000</f>
        <v>0</v>
      </c>
      <c r="P345">
        <f>Tabla2[[#This Row],[cuba_fab_litros]]*Tabla2[[#This Row],[cuba_fab_prot_g_l]]/1000</f>
        <v>0</v>
      </c>
      <c r="Q345">
        <f>Tabla2[[#This Row],[queso_kg]]*Tabla2[[#This Row],[queso_est_pct]]/100</f>
        <v>0</v>
      </c>
      <c r="R345">
        <f>Tabla2[[#This Row],[queso_kg]]*Tabla2[[#This Row],[queso_mg_pct]]/100</f>
        <v>0</v>
      </c>
      <c r="S345">
        <f>_xlfn.ISOWEEKNUM(Tabla2[[#This Row],[fecha]])</f>
        <v>49</v>
      </c>
      <c r="T345">
        <v>50</v>
      </c>
    </row>
    <row r="346" spans="1:20" x14ac:dyDescent="0.25">
      <c r="A346" s="1">
        <v>45635</v>
      </c>
      <c r="B346">
        <v>5008</v>
      </c>
      <c r="C346">
        <v>4862</v>
      </c>
      <c r="D346">
        <v>41.3</v>
      </c>
      <c r="E346">
        <v>36.93</v>
      </c>
      <c r="F346">
        <v>5032</v>
      </c>
      <c r="G346">
        <v>40.4</v>
      </c>
      <c r="H346">
        <v>33.979999999999997</v>
      </c>
      <c r="I346">
        <v>4529</v>
      </c>
      <c r="J346">
        <v>586.5</v>
      </c>
      <c r="K346">
        <v>52.38</v>
      </c>
      <c r="L346">
        <v>27.48</v>
      </c>
      <c r="M346">
        <f>Tabla2[[#This Row],[entrada_litros]]*Tabla2[[#This Row],[entrada_grasa_g_l]]/1000</f>
        <v>200.80059999999997</v>
      </c>
      <c r="N346">
        <f>Tabla2[[#This Row],[entrada_litros]]*Tabla2[[#This Row],[entrada_prot_g_l]]/1000</f>
        <v>179.55366000000001</v>
      </c>
      <c r="O346">
        <f>Tabla2[[#This Row],[cuba_fab_litros]]*Tabla2[[#This Row],[cuba_fab_grasa_g_l]]/1000</f>
        <v>203.2928</v>
      </c>
      <c r="P346">
        <f>Tabla2[[#This Row],[cuba_fab_litros]]*Tabla2[[#This Row],[cuba_fab_prot_g_l]]/1000</f>
        <v>170.98736</v>
      </c>
      <c r="Q346">
        <f>Tabla2[[#This Row],[queso_kg]]*Tabla2[[#This Row],[queso_est_pct]]/100</f>
        <v>307.20870000000002</v>
      </c>
      <c r="R346">
        <f>Tabla2[[#This Row],[queso_kg]]*Tabla2[[#This Row],[queso_mg_pct]]/100</f>
        <v>161.17019999999999</v>
      </c>
      <c r="S346">
        <f>_xlfn.ISOWEEKNUM(Tabla2[[#This Row],[fecha]])</f>
        <v>50</v>
      </c>
      <c r="T346">
        <v>50</v>
      </c>
    </row>
    <row r="347" spans="1:20" x14ac:dyDescent="0.25">
      <c r="A347" s="1">
        <v>45636</v>
      </c>
      <c r="B347">
        <v>4672</v>
      </c>
      <c r="C347">
        <v>4536</v>
      </c>
      <c r="D347">
        <v>42.39</v>
      </c>
      <c r="E347">
        <v>34.85</v>
      </c>
      <c r="F347">
        <v>5026</v>
      </c>
      <c r="G347">
        <v>40.049999999999997</v>
      </c>
      <c r="H347">
        <v>33.630000000000003</v>
      </c>
      <c r="I347">
        <v>4065</v>
      </c>
      <c r="J347">
        <v>602.6</v>
      </c>
      <c r="K347">
        <v>52.01</v>
      </c>
      <c r="L347">
        <v>25.7</v>
      </c>
      <c r="M347">
        <f>Tabla2[[#This Row],[entrada_litros]]*Tabla2[[#This Row],[entrada_grasa_g_l]]/1000</f>
        <v>192.28104000000002</v>
      </c>
      <c r="N347">
        <f>Tabla2[[#This Row],[entrada_litros]]*Tabla2[[#This Row],[entrada_prot_g_l]]/1000</f>
        <v>158.0796</v>
      </c>
      <c r="O347">
        <f>Tabla2[[#This Row],[cuba_fab_litros]]*Tabla2[[#This Row],[cuba_fab_grasa_g_l]]/1000</f>
        <v>201.29129999999998</v>
      </c>
      <c r="P347">
        <f>Tabla2[[#This Row],[cuba_fab_litros]]*Tabla2[[#This Row],[cuba_fab_prot_g_l]]/1000</f>
        <v>169.02438000000001</v>
      </c>
      <c r="Q347">
        <f>Tabla2[[#This Row],[queso_kg]]*Tabla2[[#This Row],[queso_est_pct]]/100</f>
        <v>313.41226</v>
      </c>
      <c r="R347">
        <f>Tabla2[[#This Row],[queso_kg]]*Tabla2[[#This Row],[queso_mg_pct]]/100</f>
        <v>154.8682</v>
      </c>
      <c r="S347">
        <f>_xlfn.ISOWEEKNUM(Tabla2[[#This Row],[fecha]])</f>
        <v>50</v>
      </c>
      <c r="T347">
        <v>50</v>
      </c>
    </row>
    <row r="348" spans="1:20" x14ac:dyDescent="0.25">
      <c r="A348" s="1">
        <v>45637</v>
      </c>
      <c r="B348">
        <v>5765</v>
      </c>
      <c r="C348">
        <v>5597</v>
      </c>
      <c r="D348">
        <v>42</v>
      </c>
      <c r="E348">
        <v>35.020000000000003</v>
      </c>
      <c r="F348">
        <v>5030</v>
      </c>
      <c r="G348">
        <v>39.89</v>
      </c>
      <c r="H348">
        <v>33.520000000000003</v>
      </c>
      <c r="I348">
        <v>4662</v>
      </c>
      <c r="J348">
        <v>605.35</v>
      </c>
      <c r="K348">
        <v>52.29</v>
      </c>
      <c r="L348">
        <v>27.33</v>
      </c>
      <c r="M348">
        <f>Tabla2[[#This Row],[entrada_litros]]*Tabla2[[#This Row],[entrada_grasa_g_l]]/1000</f>
        <v>235.07400000000001</v>
      </c>
      <c r="N348">
        <f>Tabla2[[#This Row],[entrada_litros]]*Tabla2[[#This Row],[entrada_prot_g_l]]/1000</f>
        <v>196.00694000000004</v>
      </c>
      <c r="O348">
        <f>Tabla2[[#This Row],[cuba_fab_litros]]*Tabla2[[#This Row],[cuba_fab_grasa_g_l]]/1000</f>
        <v>200.64670000000001</v>
      </c>
      <c r="P348">
        <f>Tabla2[[#This Row],[cuba_fab_litros]]*Tabla2[[#This Row],[cuba_fab_prot_g_l]]/1000</f>
        <v>168.60560000000001</v>
      </c>
      <c r="Q348">
        <f>Tabla2[[#This Row],[queso_kg]]*Tabla2[[#This Row],[queso_est_pct]]/100</f>
        <v>316.53751500000004</v>
      </c>
      <c r="R348">
        <f>Tabla2[[#This Row],[queso_kg]]*Tabla2[[#This Row],[queso_mg_pct]]/100</f>
        <v>165.44215499999999</v>
      </c>
      <c r="S348">
        <f>_xlfn.ISOWEEKNUM(Tabla2[[#This Row],[fecha]])</f>
        <v>50</v>
      </c>
      <c r="T348">
        <v>50</v>
      </c>
    </row>
    <row r="349" spans="1:20" x14ac:dyDescent="0.25">
      <c r="A349" s="1">
        <v>45638</v>
      </c>
      <c r="B349">
        <v>5312</v>
      </c>
      <c r="C349">
        <v>5157</v>
      </c>
      <c r="D349">
        <v>43.9</v>
      </c>
      <c r="E349">
        <v>37.64</v>
      </c>
      <c r="F349">
        <v>5023</v>
      </c>
      <c r="G349">
        <v>41.22</v>
      </c>
      <c r="H349">
        <v>34.79</v>
      </c>
      <c r="I349">
        <v>4819</v>
      </c>
      <c r="J349">
        <v>608.62</v>
      </c>
      <c r="K349">
        <v>52.8</v>
      </c>
      <c r="L349">
        <v>28.4</v>
      </c>
      <c r="M349">
        <f>Tabla2[[#This Row],[entrada_litros]]*Tabla2[[#This Row],[entrada_grasa_g_l]]/1000</f>
        <v>226.39229999999998</v>
      </c>
      <c r="N349">
        <f>Tabla2[[#This Row],[entrada_litros]]*Tabla2[[#This Row],[entrada_prot_g_l]]/1000</f>
        <v>194.10948000000002</v>
      </c>
      <c r="O349">
        <f>Tabla2[[#This Row],[cuba_fab_litros]]*Tabla2[[#This Row],[cuba_fab_grasa_g_l]]/1000</f>
        <v>207.04805999999999</v>
      </c>
      <c r="P349">
        <f>Tabla2[[#This Row],[cuba_fab_litros]]*Tabla2[[#This Row],[cuba_fab_prot_g_l]]/1000</f>
        <v>174.75017</v>
      </c>
      <c r="Q349">
        <f>Tabla2[[#This Row],[queso_kg]]*Tabla2[[#This Row],[queso_est_pct]]/100</f>
        <v>321.35136</v>
      </c>
      <c r="R349">
        <f>Tabla2[[#This Row],[queso_kg]]*Tabla2[[#This Row],[queso_mg_pct]]/100</f>
        <v>172.84808000000001</v>
      </c>
      <c r="S349">
        <f>_xlfn.ISOWEEKNUM(Tabla2[[#This Row],[fecha]])</f>
        <v>50</v>
      </c>
      <c r="T349">
        <v>50</v>
      </c>
    </row>
    <row r="350" spans="1:20" x14ac:dyDescent="0.25">
      <c r="A350" s="1">
        <v>45639</v>
      </c>
      <c r="F350">
        <v>4837</v>
      </c>
      <c r="G350">
        <v>41.05</v>
      </c>
      <c r="H350">
        <v>34.93</v>
      </c>
      <c r="J350">
        <v>565.12</v>
      </c>
      <c r="K350">
        <v>52.55</v>
      </c>
      <c r="L350">
        <v>26.98</v>
      </c>
      <c r="M350">
        <f>Tabla2[[#This Row],[entrada_litros]]*Tabla2[[#This Row],[entrada_grasa_g_l]]/1000</f>
        <v>0</v>
      </c>
      <c r="N350">
        <f>Tabla2[[#This Row],[entrada_litros]]*Tabla2[[#This Row],[entrada_prot_g_l]]/1000</f>
        <v>0</v>
      </c>
      <c r="O350">
        <f>Tabla2[[#This Row],[cuba_fab_litros]]*Tabla2[[#This Row],[cuba_fab_grasa_g_l]]/1000</f>
        <v>198.55884999999998</v>
      </c>
      <c r="P350">
        <f>Tabla2[[#This Row],[cuba_fab_litros]]*Tabla2[[#This Row],[cuba_fab_prot_g_l]]/1000</f>
        <v>168.95641000000001</v>
      </c>
      <c r="Q350">
        <f>Tabla2[[#This Row],[queso_kg]]*Tabla2[[#This Row],[queso_est_pct]]/100</f>
        <v>296.97055999999998</v>
      </c>
      <c r="R350">
        <f>Tabla2[[#This Row],[queso_kg]]*Tabla2[[#This Row],[queso_mg_pct]]/100</f>
        <v>152.46937600000001</v>
      </c>
      <c r="S350">
        <f>_xlfn.ISOWEEKNUM(Tabla2[[#This Row],[fecha]])</f>
        <v>50</v>
      </c>
      <c r="T350">
        <v>50</v>
      </c>
    </row>
    <row r="351" spans="1:20" x14ac:dyDescent="0.25">
      <c r="A351" s="1">
        <v>45640</v>
      </c>
      <c r="M351">
        <f>Tabla2[[#This Row],[entrada_litros]]*Tabla2[[#This Row],[entrada_grasa_g_l]]/1000</f>
        <v>0</v>
      </c>
      <c r="N351">
        <f>Tabla2[[#This Row],[entrada_litros]]*Tabla2[[#This Row],[entrada_prot_g_l]]/1000</f>
        <v>0</v>
      </c>
      <c r="O351">
        <f>Tabla2[[#This Row],[cuba_fab_litros]]*Tabla2[[#This Row],[cuba_fab_grasa_g_l]]/1000</f>
        <v>0</v>
      </c>
      <c r="P351">
        <f>Tabla2[[#This Row],[cuba_fab_litros]]*Tabla2[[#This Row],[cuba_fab_prot_g_l]]/1000</f>
        <v>0</v>
      </c>
      <c r="Q351">
        <f>Tabla2[[#This Row],[queso_kg]]*Tabla2[[#This Row],[queso_est_pct]]/100</f>
        <v>0</v>
      </c>
      <c r="R351">
        <f>Tabla2[[#This Row],[queso_kg]]*Tabla2[[#This Row],[queso_mg_pct]]/100</f>
        <v>0</v>
      </c>
      <c r="S351">
        <f>_xlfn.ISOWEEKNUM(Tabla2[[#This Row],[fecha]])</f>
        <v>50</v>
      </c>
      <c r="T351">
        <v>50</v>
      </c>
    </row>
    <row r="352" spans="1:20" x14ac:dyDescent="0.25">
      <c r="A352" s="1">
        <v>45641</v>
      </c>
      <c r="B352">
        <v>5658</v>
      </c>
      <c r="C352">
        <v>5493</v>
      </c>
      <c r="D352">
        <v>40.909999999999997</v>
      </c>
      <c r="E352">
        <v>35.840000000000003</v>
      </c>
      <c r="I352">
        <v>5493</v>
      </c>
      <c r="M352">
        <f>Tabla2[[#This Row],[entrada_litros]]*Tabla2[[#This Row],[entrada_grasa_g_l]]/1000</f>
        <v>224.71862999999996</v>
      </c>
      <c r="N352">
        <f>Tabla2[[#This Row],[entrada_litros]]*Tabla2[[#This Row],[entrada_prot_g_l]]/1000</f>
        <v>196.86912000000004</v>
      </c>
      <c r="O352">
        <f>Tabla2[[#This Row],[cuba_fab_litros]]*Tabla2[[#This Row],[cuba_fab_grasa_g_l]]/1000</f>
        <v>0</v>
      </c>
      <c r="P352">
        <f>Tabla2[[#This Row],[cuba_fab_litros]]*Tabla2[[#This Row],[cuba_fab_prot_g_l]]/1000</f>
        <v>0</v>
      </c>
      <c r="Q352">
        <f>Tabla2[[#This Row],[queso_kg]]*Tabla2[[#This Row],[queso_est_pct]]/100</f>
        <v>0</v>
      </c>
      <c r="R352">
        <f>Tabla2[[#This Row],[queso_kg]]*Tabla2[[#This Row],[queso_mg_pct]]/100</f>
        <v>0</v>
      </c>
      <c r="S352">
        <f>_xlfn.ISOWEEKNUM(Tabla2[[#This Row],[fecha]])</f>
        <v>50</v>
      </c>
      <c r="T352">
        <v>51</v>
      </c>
    </row>
    <row r="353" spans="1:20" x14ac:dyDescent="0.25">
      <c r="A353" s="1">
        <v>45642</v>
      </c>
      <c r="B353">
        <v>5410</v>
      </c>
      <c r="C353">
        <v>5252</v>
      </c>
      <c r="D353">
        <v>42.84</v>
      </c>
      <c r="E353">
        <v>34.619999999999997</v>
      </c>
      <c r="F353">
        <v>5027</v>
      </c>
      <c r="G353">
        <v>40.200000000000003</v>
      </c>
      <c r="H353">
        <v>33.72</v>
      </c>
      <c r="I353">
        <v>5745</v>
      </c>
      <c r="J353">
        <v>581.21</v>
      </c>
      <c r="K353">
        <v>51.63</v>
      </c>
      <c r="L353">
        <v>27.14</v>
      </c>
      <c r="M353">
        <f>Tabla2[[#This Row],[entrada_litros]]*Tabla2[[#This Row],[entrada_grasa_g_l]]/1000</f>
        <v>224.99568000000002</v>
      </c>
      <c r="N353">
        <f>Tabla2[[#This Row],[entrada_litros]]*Tabla2[[#This Row],[entrada_prot_g_l]]/1000</f>
        <v>181.82424</v>
      </c>
      <c r="O353">
        <f>Tabla2[[#This Row],[cuba_fab_litros]]*Tabla2[[#This Row],[cuba_fab_grasa_g_l]]/1000</f>
        <v>202.08540000000002</v>
      </c>
      <c r="P353">
        <f>Tabla2[[#This Row],[cuba_fab_litros]]*Tabla2[[#This Row],[cuba_fab_prot_g_l]]/1000</f>
        <v>169.51043999999999</v>
      </c>
      <c r="Q353">
        <f>Tabla2[[#This Row],[queso_kg]]*Tabla2[[#This Row],[queso_est_pct]]/100</f>
        <v>300.07872300000002</v>
      </c>
      <c r="R353">
        <f>Tabla2[[#This Row],[queso_kg]]*Tabla2[[#This Row],[queso_mg_pct]]/100</f>
        <v>157.74039400000001</v>
      </c>
      <c r="S353">
        <f>_xlfn.ISOWEEKNUM(Tabla2[[#This Row],[fecha]])</f>
        <v>51</v>
      </c>
      <c r="T353">
        <v>51</v>
      </c>
    </row>
    <row r="354" spans="1:20" x14ac:dyDescent="0.25">
      <c r="A354" s="1">
        <v>45643</v>
      </c>
      <c r="B354">
        <v>5671</v>
      </c>
      <c r="C354">
        <v>5506</v>
      </c>
      <c r="D354">
        <v>42.69</v>
      </c>
      <c r="E354">
        <v>37.880000000000003</v>
      </c>
      <c r="F354">
        <v>5034</v>
      </c>
      <c r="G354">
        <v>40.07</v>
      </c>
      <c r="H354">
        <v>35.06</v>
      </c>
      <c r="I354">
        <v>6251</v>
      </c>
      <c r="J354">
        <v>586.11</v>
      </c>
      <c r="K354">
        <v>55.17</v>
      </c>
      <c r="L354">
        <v>28.36</v>
      </c>
      <c r="M354">
        <f>Tabla2[[#This Row],[entrada_litros]]*Tabla2[[#This Row],[entrada_grasa_g_l]]/1000</f>
        <v>235.05113999999998</v>
      </c>
      <c r="N354">
        <f>Tabla2[[#This Row],[entrada_litros]]*Tabla2[[#This Row],[entrada_prot_g_l]]/1000</f>
        <v>208.56728000000004</v>
      </c>
      <c r="O354">
        <f>Tabla2[[#This Row],[cuba_fab_litros]]*Tabla2[[#This Row],[cuba_fab_grasa_g_l]]/1000</f>
        <v>201.71238</v>
      </c>
      <c r="P354">
        <f>Tabla2[[#This Row],[cuba_fab_litros]]*Tabla2[[#This Row],[cuba_fab_prot_g_l]]/1000</f>
        <v>176.49204</v>
      </c>
      <c r="Q354">
        <f>Tabla2[[#This Row],[queso_kg]]*Tabla2[[#This Row],[queso_est_pct]]/100</f>
        <v>323.35688700000003</v>
      </c>
      <c r="R354">
        <f>Tabla2[[#This Row],[queso_kg]]*Tabla2[[#This Row],[queso_mg_pct]]/100</f>
        <v>166.22079600000001</v>
      </c>
      <c r="S354">
        <f>_xlfn.ISOWEEKNUM(Tabla2[[#This Row],[fecha]])</f>
        <v>51</v>
      </c>
      <c r="T354">
        <v>51</v>
      </c>
    </row>
    <row r="355" spans="1:20" x14ac:dyDescent="0.25">
      <c r="A355" s="1">
        <v>45644</v>
      </c>
      <c r="B355">
        <v>5353</v>
      </c>
      <c r="C355">
        <v>5197</v>
      </c>
      <c r="D355">
        <v>39.47</v>
      </c>
      <c r="E355">
        <v>37.270000000000003</v>
      </c>
      <c r="F355">
        <v>5029</v>
      </c>
      <c r="G355">
        <v>39.07</v>
      </c>
      <c r="H355">
        <v>35.119999999999997</v>
      </c>
      <c r="I355">
        <v>6448</v>
      </c>
      <c r="J355">
        <v>602.30999999999995</v>
      </c>
      <c r="K355">
        <v>52.85</v>
      </c>
      <c r="L355">
        <v>27.25</v>
      </c>
      <c r="M355">
        <f>Tabla2[[#This Row],[entrada_litros]]*Tabla2[[#This Row],[entrada_grasa_g_l]]/1000</f>
        <v>205.12558999999999</v>
      </c>
      <c r="N355">
        <f>Tabla2[[#This Row],[entrada_litros]]*Tabla2[[#This Row],[entrada_prot_g_l]]/1000</f>
        <v>193.69219000000001</v>
      </c>
      <c r="O355">
        <f>Tabla2[[#This Row],[cuba_fab_litros]]*Tabla2[[#This Row],[cuba_fab_grasa_g_l]]/1000</f>
        <v>196.48302999999999</v>
      </c>
      <c r="P355">
        <f>Tabla2[[#This Row],[cuba_fab_litros]]*Tabla2[[#This Row],[cuba_fab_prot_g_l]]/1000</f>
        <v>176.61847999999998</v>
      </c>
      <c r="Q355">
        <f>Tabla2[[#This Row],[queso_kg]]*Tabla2[[#This Row],[queso_est_pct]]/100</f>
        <v>318.32083499999999</v>
      </c>
      <c r="R355">
        <f>Tabla2[[#This Row],[queso_kg]]*Tabla2[[#This Row],[queso_mg_pct]]/100</f>
        <v>164.12947499999999</v>
      </c>
      <c r="S355">
        <f>_xlfn.ISOWEEKNUM(Tabla2[[#This Row],[fecha]])</f>
        <v>51</v>
      </c>
      <c r="T355">
        <v>51</v>
      </c>
    </row>
    <row r="356" spans="1:20" x14ac:dyDescent="0.25">
      <c r="A356" s="1">
        <v>45645</v>
      </c>
      <c r="B356">
        <v>5890</v>
      </c>
      <c r="C356">
        <v>5718</v>
      </c>
      <c r="D356">
        <v>43.13</v>
      </c>
      <c r="E356">
        <v>34.35</v>
      </c>
      <c r="F356">
        <v>5030</v>
      </c>
      <c r="G356">
        <v>40.270000000000003</v>
      </c>
      <c r="H356">
        <v>33.99</v>
      </c>
      <c r="I356">
        <v>7166</v>
      </c>
      <c r="J356">
        <v>589.73</v>
      </c>
      <c r="K356">
        <v>52.64</v>
      </c>
      <c r="L356">
        <v>28.52</v>
      </c>
      <c r="M356">
        <f>Tabla2[[#This Row],[entrada_litros]]*Tabla2[[#This Row],[entrada_grasa_g_l]]/1000</f>
        <v>246.61734000000001</v>
      </c>
      <c r="N356">
        <f>Tabla2[[#This Row],[entrada_litros]]*Tabla2[[#This Row],[entrada_prot_g_l]]/1000</f>
        <v>196.41330000000002</v>
      </c>
      <c r="O356">
        <f>Tabla2[[#This Row],[cuba_fab_litros]]*Tabla2[[#This Row],[cuba_fab_grasa_g_l]]/1000</f>
        <v>202.5581</v>
      </c>
      <c r="P356">
        <f>Tabla2[[#This Row],[cuba_fab_litros]]*Tabla2[[#This Row],[cuba_fab_prot_g_l]]/1000</f>
        <v>170.96970000000002</v>
      </c>
      <c r="Q356">
        <f>Tabla2[[#This Row],[queso_kg]]*Tabla2[[#This Row],[queso_est_pct]]/100</f>
        <v>310.43387200000001</v>
      </c>
      <c r="R356">
        <f>Tabla2[[#This Row],[queso_kg]]*Tabla2[[#This Row],[queso_mg_pct]]/100</f>
        <v>168.19099600000001</v>
      </c>
      <c r="S356">
        <f>_xlfn.ISOWEEKNUM(Tabla2[[#This Row],[fecha]])</f>
        <v>51</v>
      </c>
      <c r="T356">
        <v>51</v>
      </c>
    </row>
    <row r="357" spans="1:20" x14ac:dyDescent="0.25">
      <c r="A357" s="1">
        <v>45646</v>
      </c>
      <c r="F357">
        <v>7194</v>
      </c>
      <c r="G357">
        <v>40.4</v>
      </c>
      <c r="H357">
        <v>34.08</v>
      </c>
      <c r="J357">
        <v>823.64</v>
      </c>
      <c r="K357">
        <v>51.89</v>
      </c>
      <c r="L357">
        <v>27.4</v>
      </c>
      <c r="M357">
        <f>Tabla2[[#This Row],[entrada_litros]]*Tabla2[[#This Row],[entrada_grasa_g_l]]/1000</f>
        <v>0</v>
      </c>
      <c r="N357">
        <f>Tabla2[[#This Row],[entrada_litros]]*Tabla2[[#This Row],[entrada_prot_g_l]]/1000</f>
        <v>0</v>
      </c>
      <c r="O357">
        <f>Tabla2[[#This Row],[cuba_fab_litros]]*Tabla2[[#This Row],[cuba_fab_grasa_g_l]]/1000</f>
        <v>290.63759999999996</v>
      </c>
      <c r="P357">
        <f>Tabla2[[#This Row],[cuba_fab_litros]]*Tabla2[[#This Row],[cuba_fab_prot_g_l]]/1000</f>
        <v>245.17151999999999</v>
      </c>
      <c r="Q357">
        <f>Tabla2[[#This Row],[queso_kg]]*Tabla2[[#This Row],[queso_est_pct]]/100</f>
        <v>427.386796</v>
      </c>
      <c r="R357">
        <f>Tabla2[[#This Row],[queso_kg]]*Tabla2[[#This Row],[queso_mg_pct]]/100</f>
        <v>225.67735999999996</v>
      </c>
      <c r="S357">
        <f>_xlfn.ISOWEEKNUM(Tabla2[[#This Row],[fecha]])</f>
        <v>51</v>
      </c>
      <c r="T357">
        <v>51</v>
      </c>
    </row>
    <row r="358" spans="1:20" x14ac:dyDescent="0.25">
      <c r="A358" s="1">
        <v>45647</v>
      </c>
      <c r="M358">
        <f>Tabla2[[#This Row],[entrada_litros]]*Tabla2[[#This Row],[entrada_grasa_g_l]]/1000</f>
        <v>0</v>
      </c>
      <c r="N358">
        <f>Tabla2[[#This Row],[entrada_litros]]*Tabla2[[#This Row],[entrada_prot_g_l]]/1000</f>
        <v>0</v>
      </c>
      <c r="O358">
        <f>Tabla2[[#This Row],[cuba_fab_litros]]*Tabla2[[#This Row],[cuba_fab_grasa_g_l]]/1000</f>
        <v>0</v>
      </c>
      <c r="P358">
        <f>Tabla2[[#This Row],[cuba_fab_litros]]*Tabla2[[#This Row],[cuba_fab_prot_g_l]]/1000</f>
        <v>0</v>
      </c>
      <c r="Q358">
        <f>Tabla2[[#This Row],[queso_kg]]*Tabla2[[#This Row],[queso_est_pct]]/100</f>
        <v>0</v>
      </c>
      <c r="R358">
        <f>Tabla2[[#This Row],[queso_kg]]*Tabla2[[#This Row],[queso_mg_pct]]/100</f>
        <v>0</v>
      </c>
      <c r="S358">
        <f>_xlfn.ISOWEEKNUM(Tabla2[[#This Row],[fecha]])</f>
        <v>51</v>
      </c>
      <c r="T358">
        <v>51</v>
      </c>
    </row>
    <row r="359" spans="1:20" x14ac:dyDescent="0.25">
      <c r="A359" s="1">
        <v>45648</v>
      </c>
      <c r="B359">
        <v>5032</v>
      </c>
      <c r="C359">
        <v>4885</v>
      </c>
      <c r="D359">
        <v>40.97</v>
      </c>
      <c r="E359">
        <v>36.9</v>
      </c>
      <c r="I359">
        <v>4885</v>
      </c>
      <c r="M359">
        <f>Tabla2[[#This Row],[entrada_litros]]*Tabla2[[#This Row],[entrada_grasa_g_l]]/1000</f>
        <v>200.13844999999998</v>
      </c>
      <c r="N359">
        <f>Tabla2[[#This Row],[entrada_litros]]*Tabla2[[#This Row],[entrada_prot_g_l]]/1000</f>
        <v>180.25649999999999</v>
      </c>
      <c r="O359">
        <f>Tabla2[[#This Row],[cuba_fab_litros]]*Tabla2[[#This Row],[cuba_fab_grasa_g_l]]/1000</f>
        <v>0</v>
      </c>
      <c r="P359">
        <f>Tabla2[[#This Row],[cuba_fab_litros]]*Tabla2[[#This Row],[cuba_fab_prot_g_l]]/1000</f>
        <v>0</v>
      </c>
      <c r="Q359">
        <f>Tabla2[[#This Row],[queso_kg]]*Tabla2[[#This Row],[queso_est_pct]]/100</f>
        <v>0</v>
      </c>
      <c r="R359">
        <f>Tabla2[[#This Row],[queso_kg]]*Tabla2[[#This Row],[queso_mg_pct]]/100</f>
        <v>0</v>
      </c>
      <c r="S359">
        <f>_xlfn.ISOWEEKNUM(Tabla2[[#This Row],[fecha]])</f>
        <v>51</v>
      </c>
      <c r="T359">
        <v>52</v>
      </c>
    </row>
    <row r="360" spans="1:20" x14ac:dyDescent="0.25">
      <c r="A360" s="1">
        <v>45649</v>
      </c>
      <c r="B360">
        <v>5460</v>
      </c>
      <c r="C360">
        <v>5301</v>
      </c>
      <c r="D360">
        <v>42.83</v>
      </c>
      <c r="E360">
        <v>33.54</v>
      </c>
      <c r="F360">
        <v>5033</v>
      </c>
      <c r="G360">
        <v>40.18</v>
      </c>
      <c r="H360">
        <v>33.770000000000003</v>
      </c>
      <c r="I360">
        <v>5186</v>
      </c>
      <c r="J360">
        <v>571.41999999999996</v>
      </c>
      <c r="K360">
        <v>52.73</v>
      </c>
      <c r="L360">
        <v>27.21</v>
      </c>
      <c r="M360">
        <f>Tabla2[[#This Row],[entrada_litros]]*Tabla2[[#This Row],[entrada_grasa_g_l]]/1000</f>
        <v>227.04182999999998</v>
      </c>
      <c r="N360">
        <f>Tabla2[[#This Row],[entrada_litros]]*Tabla2[[#This Row],[entrada_prot_g_l]]/1000</f>
        <v>177.79554000000002</v>
      </c>
      <c r="O360">
        <f>Tabla2[[#This Row],[cuba_fab_litros]]*Tabla2[[#This Row],[cuba_fab_grasa_g_l]]/1000</f>
        <v>202.22594000000001</v>
      </c>
      <c r="P360">
        <f>Tabla2[[#This Row],[cuba_fab_litros]]*Tabla2[[#This Row],[cuba_fab_prot_g_l]]/1000</f>
        <v>169.96441000000002</v>
      </c>
      <c r="Q360">
        <f>Tabla2[[#This Row],[queso_kg]]*Tabla2[[#This Row],[queso_est_pct]]/100</f>
        <v>301.30976599999997</v>
      </c>
      <c r="R360">
        <f>Tabla2[[#This Row],[queso_kg]]*Tabla2[[#This Row],[queso_mg_pct]]/100</f>
        <v>155.48338200000001</v>
      </c>
      <c r="S360">
        <f>_xlfn.ISOWEEKNUM(Tabla2[[#This Row],[fecha]])</f>
        <v>52</v>
      </c>
      <c r="T360">
        <v>52</v>
      </c>
    </row>
    <row r="361" spans="1:20" x14ac:dyDescent="0.25">
      <c r="A361" s="1">
        <v>45650</v>
      </c>
      <c r="B361">
        <v>4739</v>
      </c>
      <c r="C361">
        <v>4601</v>
      </c>
      <c r="D361">
        <v>40.799999999999997</v>
      </c>
      <c r="E361">
        <v>34.869999999999997</v>
      </c>
      <c r="F361">
        <v>5023</v>
      </c>
      <c r="G361">
        <v>39.72</v>
      </c>
      <c r="H361">
        <v>33.71</v>
      </c>
      <c r="I361">
        <v>4787</v>
      </c>
      <c r="J361">
        <v>580.16999999999996</v>
      </c>
      <c r="K361">
        <v>49.92</v>
      </c>
      <c r="L361">
        <v>25.3</v>
      </c>
      <c r="M361">
        <f>Tabla2[[#This Row],[entrada_litros]]*Tabla2[[#This Row],[entrada_grasa_g_l]]/1000</f>
        <v>187.7208</v>
      </c>
      <c r="N361">
        <f>Tabla2[[#This Row],[entrada_litros]]*Tabla2[[#This Row],[entrada_prot_g_l]]/1000</f>
        <v>160.43687</v>
      </c>
      <c r="O361">
        <f>Tabla2[[#This Row],[cuba_fab_litros]]*Tabla2[[#This Row],[cuba_fab_grasa_g_l]]/1000</f>
        <v>199.51355999999998</v>
      </c>
      <c r="P361">
        <f>Tabla2[[#This Row],[cuba_fab_litros]]*Tabla2[[#This Row],[cuba_fab_prot_g_l]]/1000</f>
        <v>169.32533000000001</v>
      </c>
      <c r="Q361">
        <f>Tabla2[[#This Row],[queso_kg]]*Tabla2[[#This Row],[queso_est_pct]]/100</f>
        <v>289.62086399999998</v>
      </c>
      <c r="R361">
        <f>Tabla2[[#This Row],[queso_kg]]*Tabla2[[#This Row],[queso_mg_pct]]/100</f>
        <v>146.78300999999999</v>
      </c>
      <c r="S361">
        <f>_xlfn.ISOWEEKNUM(Tabla2[[#This Row],[fecha]])</f>
        <v>52</v>
      </c>
      <c r="T361">
        <v>52</v>
      </c>
    </row>
    <row r="362" spans="1:20" x14ac:dyDescent="0.25">
      <c r="A362" s="1">
        <v>45651</v>
      </c>
      <c r="B362">
        <v>4819</v>
      </c>
      <c r="C362">
        <v>4679</v>
      </c>
      <c r="D362">
        <v>41.6</v>
      </c>
      <c r="E362">
        <v>37.229999999999997</v>
      </c>
      <c r="F362">
        <v>5025</v>
      </c>
      <c r="G362">
        <v>39.9</v>
      </c>
      <c r="H362">
        <v>34.49</v>
      </c>
      <c r="I362">
        <v>4466</v>
      </c>
      <c r="J362">
        <v>602.63</v>
      </c>
      <c r="K362">
        <v>51.61</v>
      </c>
      <c r="L362">
        <v>28.36</v>
      </c>
      <c r="M362">
        <f>Tabla2[[#This Row],[entrada_litros]]*Tabla2[[#This Row],[entrada_grasa_g_l]]/1000</f>
        <v>194.6464</v>
      </c>
      <c r="N362">
        <f>Tabla2[[#This Row],[entrada_litros]]*Tabla2[[#This Row],[entrada_prot_g_l]]/1000</f>
        <v>174.19916999999998</v>
      </c>
      <c r="O362">
        <f>Tabla2[[#This Row],[cuba_fab_litros]]*Tabla2[[#This Row],[cuba_fab_grasa_g_l]]/1000</f>
        <v>200.4975</v>
      </c>
      <c r="P362">
        <f>Tabla2[[#This Row],[cuba_fab_litros]]*Tabla2[[#This Row],[cuba_fab_prot_g_l]]/1000</f>
        <v>173.31225000000001</v>
      </c>
      <c r="Q362">
        <f>Tabla2[[#This Row],[queso_kg]]*Tabla2[[#This Row],[queso_est_pct]]/100</f>
        <v>311.01734299999998</v>
      </c>
      <c r="R362">
        <f>Tabla2[[#This Row],[queso_kg]]*Tabla2[[#This Row],[queso_mg_pct]]/100</f>
        <v>170.905868</v>
      </c>
      <c r="S362">
        <f>_xlfn.ISOWEEKNUM(Tabla2[[#This Row],[fecha]])</f>
        <v>52</v>
      </c>
      <c r="T362">
        <v>52</v>
      </c>
    </row>
    <row r="363" spans="1:20" x14ac:dyDescent="0.25">
      <c r="A363" s="1">
        <v>45652</v>
      </c>
      <c r="B363">
        <v>5183</v>
      </c>
      <c r="C363">
        <v>5032</v>
      </c>
      <c r="D363">
        <v>44.31</v>
      </c>
      <c r="E363">
        <v>35.61</v>
      </c>
      <c r="F363">
        <v>5022</v>
      </c>
      <c r="G363">
        <v>41.02</v>
      </c>
      <c r="H363">
        <v>34.159999999999997</v>
      </c>
      <c r="I363">
        <v>4498</v>
      </c>
      <c r="J363">
        <v>588.73</v>
      </c>
      <c r="K363">
        <v>50.77</v>
      </c>
      <c r="L363">
        <v>27.24</v>
      </c>
      <c r="M363">
        <f>Tabla2[[#This Row],[entrada_litros]]*Tabla2[[#This Row],[entrada_grasa_g_l]]/1000</f>
        <v>222.96792000000002</v>
      </c>
      <c r="N363">
        <f>Tabla2[[#This Row],[entrada_litros]]*Tabla2[[#This Row],[entrada_prot_g_l]]/1000</f>
        <v>179.18951999999999</v>
      </c>
      <c r="O363">
        <f>Tabla2[[#This Row],[cuba_fab_litros]]*Tabla2[[#This Row],[cuba_fab_grasa_g_l]]/1000</f>
        <v>206.00244000000001</v>
      </c>
      <c r="P363">
        <f>Tabla2[[#This Row],[cuba_fab_litros]]*Tabla2[[#This Row],[cuba_fab_prot_g_l]]/1000</f>
        <v>171.55151999999998</v>
      </c>
      <c r="Q363">
        <f>Tabla2[[#This Row],[queso_kg]]*Tabla2[[#This Row],[queso_est_pct]]/100</f>
        <v>298.89822100000004</v>
      </c>
      <c r="R363">
        <f>Tabla2[[#This Row],[queso_kg]]*Tabla2[[#This Row],[queso_mg_pct]]/100</f>
        <v>160.37005199999999</v>
      </c>
      <c r="S363">
        <f>_xlfn.ISOWEEKNUM(Tabla2[[#This Row],[fecha]])</f>
        <v>52</v>
      </c>
      <c r="T363">
        <v>52</v>
      </c>
    </row>
    <row r="364" spans="1:20" x14ac:dyDescent="0.25">
      <c r="A364" s="1">
        <v>45653</v>
      </c>
      <c r="F364">
        <v>4520</v>
      </c>
      <c r="G364">
        <v>41.33</v>
      </c>
      <c r="H364">
        <v>34.08</v>
      </c>
      <c r="J364">
        <v>531.63</v>
      </c>
      <c r="K364">
        <v>52.42</v>
      </c>
      <c r="L364">
        <v>27.27</v>
      </c>
      <c r="M364">
        <f>Tabla2[[#This Row],[entrada_litros]]*Tabla2[[#This Row],[entrada_grasa_g_l]]/1000</f>
        <v>0</v>
      </c>
      <c r="N364">
        <f>Tabla2[[#This Row],[entrada_litros]]*Tabla2[[#This Row],[entrada_prot_g_l]]/1000</f>
        <v>0</v>
      </c>
      <c r="O364">
        <f>Tabla2[[#This Row],[cuba_fab_litros]]*Tabla2[[#This Row],[cuba_fab_grasa_g_l]]/1000</f>
        <v>186.8116</v>
      </c>
      <c r="P364">
        <f>Tabla2[[#This Row],[cuba_fab_litros]]*Tabla2[[#This Row],[cuba_fab_prot_g_l]]/1000</f>
        <v>154.04160000000002</v>
      </c>
      <c r="Q364">
        <f>Tabla2[[#This Row],[queso_kg]]*Tabla2[[#This Row],[queso_est_pct]]/100</f>
        <v>278.68044600000002</v>
      </c>
      <c r="R364">
        <f>Tabla2[[#This Row],[queso_kg]]*Tabla2[[#This Row],[queso_mg_pct]]/100</f>
        <v>144.97550100000001</v>
      </c>
      <c r="S364">
        <f>_xlfn.ISOWEEKNUM(Tabla2[[#This Row],[fecha]])</f>
        <v>52</v>
      </c>
      <c r="T364">
        <v>52</v>
      </c>
    </row>
    <row r="365" spans="1:20" x14ac:dyDescent="0.25">
      <c r="A365" s="1">
        <v>45654</v>
      </c>
      <c r="M365">
        <f>Tabla2[[#This Row],[entrada_litros]]*Tabla2[[#This Row],[entrada_grasa_g_l]]/1000</f>
        <v>0</v>
      </c>
      <c r="N365">
        <f>Tabla2[[#This Row],[entrada_litros]]*Tabla2[[#This Row],[entrada_prot_g_l]]/1000</f>
        <v>0</v>
      </c>
      <c r="O365">
        <f>Tabla2[[#This Row],[cuba_fab_litros]]*Tabla2[[#This Row],[cuba_fab_grasa_g_l]]/1000</f>
        <v>0</v>
      </c>
      <c r="P365">
        <f>Tabla2[[#This Row],[cuba_fab_litros]]*Tabla2[[#This Row],[cuba_fab_prot_g_l]]/1000</f>
        <v>0</v>
      </c>
      <c r="Q365">
        <f>Tabla2[[#This Row],[queso_kg]]*Tabla2[[#This Row],[queso_est_pct]]/100</f>
        <v>0</v>
      </c>
      <c r="R365">
        <f>Tabla2[[#This Row],[queso_kg]]*Tabla2[[#This Row],[queso_mg_pct]]/100</f>
        <v>0</v>
      </c>
      <c r="S365">
        <f>_xlfn.ISOWEEKNUM(Tabla2[[#This Row],[fecha]])</f>
        <v>52</v>
      </c>
      <c r="T365">
        <v>52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F59C9-8D47-48FA-AE37-85A675DA763E}">
  <dimension ref="A1:D18"/>
  <sheetViews>
    <sheetView workbookViewId="0">
      <selection activeCell="I22" sqref="I22"/>
    </sheetView>
  </sheetViews>
  <sheetFormatPr baseColWidth="10" defaultRowHeight="15" x14ac:dyDescent="0.25"/>
  <cols>
    <col min="1" max="1" width="18.5703125" customWidth="1"/>
  </cols>
  <sheetData>
    <row r="1" spans="1:4" x14ac:dyDescent="0.25">
      <c r="A1" s="16" t="s">
        <v>23</v>
      </c>
      <c r="B1" s="14" t="s">
        <v>21</v>
      </c>
      <c r="C1" s="15" t="s">
        <v>20</v>
      </c>
      <c r="D1" s="14" t="s">
        <v>19</v>
      </c>
    </row>
    <row r="2" spans="1:4" x14ac:dyDescent="0.25">
      <c r="A2" s="13">
        <v>45291</v>
      </c>
      <c r="B2" s="12">
        <v>5410</v>
      </c>
      <c r="C2" s="11">
        <v>236.0924</v>
      </c>
      <c r="D2" s="10">
        <v>207.85220000000001</v>
      </c>
    </row>
    <row r="3" spans="1:4" x14ac:dyDescent="0.25">
      <c r="A3" s="13">
        <v>45292</v>
      </c>
      <c r="B3" s="12">
        <v>5030</v>
      </c>
      <c r="C3" s="11">
        <v>221.92359999999996</v>
      </c>
      <c r="D3" s="10">
        <v>183.89680000000001</v>
      </c>
    </row>
    <row r="4" spans="1:4" x14ac:dyDescent="0.25">
      <c r="A4" s="13">
        <v>45293</v>
      </c>
      <c r="B4" s="12">
        <v>5116</v>
      </c>
      <c r="C4" s="11">
        <v>222.03440000000001</v>
      </c>
      <c r="D4" s="10">
        <v>186.93863999999999</v>
      </c>
    </row>
    <row r="5" spans="1:4" x14ac:dyDescent="0.25">
      <c r="A5" s="13">
        <v>45294</v>
      </c>
      <c r="B5" s="12">
        <v>5035</v>
      </c>
      <c r="C5" s="11">
        <v>210.11054999999999</v>
      </c>
      <c r="D5" s="10">
        <v>178.49074999999999</v>
      </c>
    </row>
    <row r="6" spans="1:4" x14ac:dyDescent="0.25">
      <c r="A6" s="13">
        <v>45295</v>
      </c>
      <c r="B6" s="12">
        <v>4969</v>
      </c>
      <c r="C6" s="11">
        <v>208.54892999999998</v>
      </c>
      <c r="D6" s="10">
        <v>182.21323000000001</v>
      </c>
    </row>
    <row r="7" spans="1:4" x14ac:dyDescent="0.25">
      <c r="A7" s="13">
        <v>45296</v>
      </c>
      <c r="B7" s="12"/>
      <c r="C7" s="11">
        <v>0</v>
      </c>
      <c r="D7" s="10">
        <v>0</v>
      </c>
    </row>
    <row r="8" spans="1:4" x14ac:dyDescent="0.25">
      <c r="A8" s="9" t="s">
        <v>18</v>
      </c>
      <c r="B8" s="8">
        <f>SUM(B2:B7)</f>
        <v>25560</v>
      </c>
      <c r="C8" s="7">
        <f>SUM(C2:C7)</f>
        <v>1098.7098799999999</v>
      </c>
      <c r="D8" s="6">
        <f>SUM(D2:D7)</f>
        <v>939.3916200000001</v>
      </c>
    </row>
    <row r="9" spans="1:4" x14ac:dyDescent="0.25">
      <c r="A9" s="16" t="s">
        <v>22</v>
      </c>
      <c r="B9" s="14" t="s">
        <v>21</v>
      </c>
      <c r="C9" s="15" t="s">
        <v>20</v>
      </c>
      <c r="D9" s="14" t="s">
        <v>19</v>
      </c>
    </row>
    <row r="10" spans="1:4" x14ac:dyDescent="0.25">
      <c r="A10" s="13">
        <v>45291</v>
      </c>
      <c r="B10" s="10"/>
      <c r="C10" s="11">
        <v>0</v>
      </c>
      <c r="D10" s="10">
        <v>0</v>
      </c>
    </row>
    <row r="11" spans="1:4" x14ac:dyDescent="0.25">
      <c r="A11" s="13">
        <v>45292</v>
      </c>
      <c r="B11" s="12">
        <v>5026</v>
      </c>
      <c r="C11" s="11">
        <v>212.34048000000001</v>
      </c>
      <c r="D11" s="10">
        <v>180.31849</v>
      </c>
    </row>
    <row r="12" spans="1:4" x14ac:dyDescent="0.25">
      <c r="A12" s="13">
        <v>45293</v>
      </c>
      <c r="B12" s="12">
        <v>5027</v>
      </c>
      <c r="C12" s="11">
        <v>209.54249999999999</v>
      </c>
      <c r="D12" s="10">
        <v>179.89500000000001</v>
      </c>
    </row>
    <row r="13" spans="1:4" x14ac:dyDescent="0.25">
      <c r="A13" s="13">
        <v>45294</v>
      </c>
      <c r="B13" s="12">
        <v>5023</v>
      </c>
      <c r="C13" s="11">
        <v>204.07253999999998</v>
      </c>
      <c r="D13" s="10">
        <v>174.00873000000001</v>
      </c>
    </row>
    <row r="14" spans="1:4" x14ac:dyDescent="0.25">
      <c r="A14" s="13">
        <v>45295</v>
      </c>
      <c r="B14" s="12">
        <v>5022</v>
      </c>
      <c r="C14" s="11">
        <v>203.68265</v>
      </c>
      <c r="D14" s="10">
        <v>176.50821999999999</v>
      </c>
    </row>
    <row r="15" spans="1:4" x14ac:dyDescent="0.25">
      <c r="A15" s="13">
        <v>45296</v>
      </c>
      <c r="B15" s="12">
        <v>6183</v>
      </c>
      <c r="C15" s="11">
        <v>226.97928000000002</v>
      </c>
      <c r="D15" s="10">
        <v>195.16079999999999</v>
      </c>
    </row>
    <row r="16" spans="1:4" x14ac:dyDescent="0.25">
      <c r="A16" s="9" t="s">
        <v>18</v>
      </c>
      <c r="B16" s="8">
        <f>SUM(B10:B15)</f>
        <v>26281</v>
      </c>
      <c r="C16" s="7">
        <f>SUM(C10:C15)</f>
        <v>1056.61745</v>
      </c>
      <c r="D16" s="6">
        <f>SUM(D10:D15)</f>
        <v>905.89124000000004</v>
      </c>
    </row>
    <row r="17" spans="1:4" x14ac:dyDescent="0.25">
      <c r="A17" s="5" t="s">
        <v>17</v>
      </c>
      <c r="B17" s="4">
        <f>B16-B8</f>
        <v>721</v>
      </c>
      <c r="C17" s="4">
        <f>C16-C8</f>
        <v>-42.092429999999922</v>
      </c>
      <c r="D17" s="4">
        <f>D16-D8</f>
        <v>-33.500380000000064</v>
      </c>
    </row>
    <row r="18" spans="1:4" x14ac:dyDescent="0.25">
      <c r="A18" s="3" t="s">
        <v>16</v>
      </c>
      <c r="B18" s="2">
        <f>B17/B8</f>
        <v>2.8208137715179969E-2</v>
      </c>
      <c r="C18" s="2">
        <f>C17/C8</f>
        <v>-3.8310777727783719E-2</v>
      </c>
      <c r="D18" s="2">
        <f>D17/D8</f>
        <v>-3.5661782888802077E-2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6BE22-127F-4554-93CB-9B656134BCAC}">
  <dimension ref="A3:J19"/>
  <sheetViews>
    <sheetView workbookViewId="0">
      <selection activeCell="E19" sqref="E19"/>
    </sheetView>
  </sheetViews>
  <sheetFormatPr baseColWidth="10" defaultRowHeight="15" x14ac:dyDescent="0.25"/>
  <cols>
    <col min="1" max="1" width="26.140625" bestFit="1" customWidth="1"/>
    <col min="2" max="2" width="11.42578125" customWidth="1"/>
    <col min="3" max="3" width="9.140625" customWidth="1"/>
    <col min="4" max="4" width="12" customWidth="1"/>
    <col min="5" max="5" width="16.7109375" customWidth="1"/>
    <col min="6" max="6" width="14.42578125" customWidth="1"/>
    <col min="7" max="7" width="15.42578125" customWidth="1"/>
    <col min="8" max="8" width="11.85546875" customWidth="1"/>
    <col min="9" max="9" width="11.5703125" customWidth="1"/>
    <col min="10" max="10" width="12.28515625" customWidth="1"/>
    <col min="11" max="53" width="7.5703125" bestFit="1" customWidth="1"/>
    <col min="54" max="54" width="12.5703125" bestFit="1" customWidth="1"/>
  </cols>
  <sheetData>
    <row r="3" spans="1:10" ht="45" x14ac:dyDescent="0.25">
      <c r="A3" s="21" t="s">
        <v>43</v>
      </c>
      <c r="B3" s="20" t="s">
        <v>41</v>
      </c>
      <c r="C3" s="20" t="s">
        <v>42</v>
      </c>
      <c r="D3" s="20" t="s">
        <v>46</v>
      </c>
      <c r="E3" s="20" t="s">
        <v>47</v>
      </c>
      <c r="F3" s="20" t="s">
        <v>48</v>
      </c>
      <c r="G3" s="20" t="s">
        <v>50</v>
      </c>
      <c r="H3" s="20" t="s">
        <v>44</v>
      </c>
      <c r="I3" s="20" t="s">
        <v>49</v>
      </c>
      <c r="J3" s="20" t="s">
        <v>51</v>
      </c>
    </row>
    <row r="4" spans="1:10" x14ac:dyDescent="0.25">
      <c r="A4" s="17" t="s">
        <v>25</v>
      </c>
      <c r="B4" s="11">
        <v>236.0924</v>
      </c>
      <c r="C4" s="11">
        <v>0</v>
      </c>
      <c r="D4" s="11">
        <v>0</v>
      </c>
      <c r="E4" s="11">
        <v>-236.0924</v>
      </c>
      <c r="F4" s="11">
        <v>0</v>
      </c>
      <c r="G4" s="11">
        <v>-236.0924</v>
      </c>
      <c r="H4" s="19">
        <v>-1</v>
      </c>
      <c r="I4" s="19"/>
      <c r="J4" s="19">
        <v>-1</v>
      </c>
    </row>
    <row r="5" spans="1:10" x14ac:dyDescent="0.25">
      <c r="A5" s="18" t="s">
        <v>40</v>
      </c>
      <c r="B5" s="11">
        <v>236.0924</v>
      </c>
      <c r="C5" s="11">
        <v>0</v>
      </c>
      <c r="D5" s="11">
        <v>0</v>
      </c>
      <c r="E5" s="11">
        <v>-236.0924</v>
      </c>
      <c r="F5" s="11">
        <v>0</v>
      </c>
      <c r="G5" s="11">
        <v>-236.0924</v>
      </c>
      <c r="H5" s="19">
        <v>-1</v>
      </c>
      <c r="I5" s="19"/>
      <c r="J5" s="19">
        <v>-1</v>
      </c>
    </row>
    <row r="6" spans="1:10" x14ac:dyDescent="0.25">
      <c r="A6" s="17" t="s">
        <v>26</v>
      </c>
      <c r="B6" s="11">
        <v>54943.233159999996</v>
      </c>
      <c r="C6" s="11">
        <v>52955.985779999995</v>
      </c>
      <c r="D6" s="11">
        <v>41537.323943000003</v>
      </c>
      <c r="E6" s="11">
        <v>-1987.2473799999862</v>
      </c>
      <c r="F6" s="11">
        <v>-11418.661836999992</v>
      </c>
      <c r="G6" s="11">
        <v>-13405.909216999979</v>
      </c>
      <c r="H6" s="19">
        <v>-3.6169101556381478E-2</v>
      </c>
      <c r="I6" s="19">
        <v>-0.21562551747101083</v>
      </c>
      <c r="J6" s="19">
        <v>-0.24399563778783603</v>
      </c>
    </row>
    <row r="7" spans="1:10" x14ac:dyDescent="0.25">
      <c r="A7" s="18" t="s">
        <v>29</v>
      </c>
      <c r="B7" s="11">
        <v>4846.1093999999994</v>
      </c>
      <c r="C7" s="11">
        <v>4690.14444</v>
      </c>
      <c r="D7" s="11">
        <v>3747.2182370000005</v>
      </c>
      <c r="E7" s="11">
        <v>-155.96495999999934</v>
      </c>
      <c r="F7" s="11">
        <v>-942.92620299999953</v>
      </c>
      <c r="G7" s="11">
        <v>-1098.8911629999989</v>
      </c>
      <c r="H7" s="19">
        <v>-3.2183540883331967E-2</v>
      </c>
      <c r="I7" s="19">
        <v>-0.20104417146692385</v>
      </c>
      <c r="J7" s="19">
        <v>-0.22675739903849446</v>
      </c>
    </row>
    <row r="8" spans="1:10" x14ac:dyDescent="0.25">
      <c r="A8" s="18" t="s">
        <v>30</v>
      </c>
      <c r="B8" s="11">
        <v>4480.7636000000002</v>
      </c>
      <c r="C8" s="11">
        <v>4350.4329200000002</v>
      </c>
      <c r="D8" s="11">
        <v>3373.1434890000005</v>
      </c>
      <c r="E8" s="11">
        <v>-130.33068000000003</v>
      </c>
      <c r="F8" s="11">
        <v>-977.28943099999969</v>
      </c>
      <c r="G8" s="11">
        <v>-1107.6201109999997</v>
      </c>
      <c r="H8" s="19">
        <v>-2.908671191669206E-2</v>
      </c>
      <c r="I8" s="19">
        <v>-0.22464188023843834</v>
      </c>
      <c r="J8" s="19">
        <v>-0.24719449850021091</v>
      </c>
    </row>
    <row r="9" spans="1:10" x14ac:dyDescent="0.25">
      <c r="A9" s="18" t="s">
        <v>31</v>
      </c>
      <c r="B9" s="11">
        <v>4449.7647599999991</v>
      </c>
      <c r="C9" s="11">
        <v>4184.048600000001</v>
      </c>
      <c r="D9" s="11">
        <v>3260.7946810000003</v>
      </c>
      <c r="E9" s="11">
        <v>-265.71615999999813</v>
      </c>
      <c r="F9" s="11">
        <v>-923.25391900000068</v>
      </c>
      <c r="G9" s="11">
        <v>-1188.9700789999988</v>
      </c>
      <c r="H9" s="19">
        <v>-5.9714653320234887E-2</v>
      </c>
      <c r="I9" s="19">
        <v>-0.2206604194320306</v>
      </c>
      <c r="J9" s="19">
        <v>-0.26719841230438418</v>
      </c>
    </row>
    <row r="10" spans="1:10" x14ac:dyDescent="0.25">
      <c r="A10" s="18" t="s">
        <v>32</v>
      </c>
      <c r="B10" s="11">
        <v>4609.1158399999995</v>
      </c>
      <c r="C10" s="11">
        <v>4419.1784600000001</v>
      </c>
      <c r="D10" s="11">
        <v>3400.0266190000002</v>
      </c>
      <c r="E10" s="11">
        <v>-189.93737999999939</v>
      </c>
      <c r="F10" s="11">
        <v>-1019.1518409999999</v>
      </c>
      <c r="G10" s="11">
        <v>-1209.0892209999993</v>
      </c>
      <c r="H10" s="19">
        <v>-4.1209070588253953E-2</v>
      </c>
      <c r="I10" s="19">
        <v>-0.2306202046884524</v>
      </c>
      <c r="J10" s="19">
        <v>-0.26232563098262235</v>
      </c>
    </row>
    <row r="11" spans="1:10" x14ac:dyDescent="0.25">
      <c r="A11" s="18" t="s">
        <v>33</v>
      </c>
      <c r="B11" s="11">
        <v>4640.9499099999994</v>
      </c>
      <c r="C11" s="11">
        <v>4675.2123000000001</v>
      </c>
      <c r="D11" s="11">
        <v>3693.6438809999991</v>
      </c>
      <c r="E11" s="11">
        <v>34.262390000000778</v>
      </c>
      <c r="F11" s="11">
        <v>-981.56841900000109</v>
      </c>
      <c r="G11" s="11">
        <v>-947.30602900000031</v>
      </c>
      <c r="H11" s="19">
        <v>7.382624390359081E-3</v>
      </c>
      <c r="I11" s="19">
        <v>-0.20995162487059701</v>
      </c>
      <c r="J11" s="19">
        <v>-0.20411899446680312</v>
      </c>
    </row>
    <row r="12" spans="1:10" x14ac:dyDescent="0.25">
      <c r="A12" s="18" t="s">
        <v>34</v>
      </c>
      <c r="B12" s="11">
        <v>4497.52117</v>
      </c>
      <c r="C12" s="11">
        <v>4122.7170699999997</v>
      </c>
      <c r="D12" s="11">
        <v>3228.4087669999999</v>
      </c>
      <c r="E12" s="11">
        <v>-374.80410000000029</v>
      </c>
      <c r="F12" s="11">
        <v>-894.3083029999998</v>
      </c>
      <c r="G12" s="11">
        <v>-1269.1124030000001</v>
      </c>
      <c r="H12" s="19">
        <v>-8.3335705566006321E-2</v>
      </c>
      <c r="I12" s="19">
        <v>-0.2169220656706379</v>
      </c>
      <c r="J12" s="19">
        <v>-0.28218041784114606</v>
      </c>
    </row>
    <row r="13" spans="1:10" x14ac:dyDescent="0.25">
      <c r="A13" s="18" t="s">
        <v>35</v>
      </c>
      <c r="B13" s="11">
        <v>4965.4423600000009</v>
      </c>
      <c r="C13" s="11">
        <v>4765.7226999999993</v>
      </c>
      <c r="D13" s="11">
        <v>3783.3947859999998</v>
      </c>
      <c r="E13" s="11">
        <v>-199.71966000000157</v>
      </c>
      <c r="F13" s="11">
        <v>-982.32791399999951</v>
      </c>
      <c r="G13" s="11">
        <v>-1182.0475740000011</v>
      </c>
      <c r="H13" s="19">
        <v>-4.0221926974498508E-2</v>
      </c>
      <c r="I13" s="19">
        <v>-0.20612359884052836</v>
      </c>
      <c r="J13" s="19">
        <v>-0.23805483747474229</v>
      </c>
    </row>
    <row r="14" spans="1:10" x14ac:dyDescent="0.25">
      <c r="A14" s="18" t="s">
        <v>36</v>
      </c>
      <c r="B14" s="11">
        <v>4317.3276999999998</v>
      </c>
      <c r="C14" s="11">
        <v>4333.1329800000003</v>
      </c>
      <c r="D14" s="11">
        <v>3463.5478870000002</v>
      </c>
      <c r="E14" s="11">
        <v>15.805280000000494</v>
      </c>
      <c r="F14" s="11">
        <v>-869.58509300000014</v>
      </c>
      <c r="G14" s="11">
        <v>-853.77981299999965</v>
      </c>
      <c r="H14" s="19">
        <v>3.6608942147246535E-3</v>
      </c>
      <c r="I14" s="19">
        <v>-0.20068276164467033</v>
      </c>
      <c r="J14" s="19">
        <v>-0.19775654579104562</v>
      </c>
    </row>
    <row r="15" spans="1:10" x14ac:dyDescent="0.25">
      <c r="A15" s="18" t="s">
        <v>37</v>
      </c>
      <c r="B15" s="11">
        <v>4665.9863800000003</v>
      </c>
      <c r="C15" s="11">
        <v>4276.9522699999998</v>
      </c>
      <c r="D15" s="11">
        <v>3339.6245410000006</v>
      </c>
      <c r="E15" s="11">
        <v>-389.03411000000051</v>
      </c>
      <c r="F15" s="11">
        <v>-937.32772899999918</v>
      </c>
      <c r="G15" s="11">
        <v>-1326.3618389999997</v>
      </c>
      <c r="H15" s="19">
        <v>-8.3376606427213895E-2</v>
      </c>
      <c r="I15" s="19">
        <v>-0.21915786518702468</v>
      </c>
      <c r="J15" s="19">
        <v>-0.2842618325431116</v>
      </c>
    </row>
    <row r="16" spans="1:10" x14ac:dyDescent="0.25">
      <c r="A16" s="18" t="s">
        <v>38</v>
      </c>
      <c r="B16" s="11">
        <v>4982.2298300000002</v>
      </c>
      <c r="C16" s="11">
        <v>4763.1274799999992</v>
      </c>
      <c r="D16" s="11">
        <v>3688.5437730000003</v>
      </c>
      <c r="E16" s="11">
        <v>-219.10235000000102</v>
      </c>
      <c r="F16" s="11">
        <v>-1074.5837069999989</v>
      </c>
      <c r="G16" s="11">
        <v>-1293.6860569999999</v>
      </c>
      <c r="H16" s="19">
        <v>-4.3976764917727812E-2</v>
      </c>
      <c r="I16" s="19">
        <v>-0.22560464978359115</v>
      </c>
      <c r="J16" s="19">
        <v>-0.25966005205343967</v>
      </c>
    </row>
    <row r="17" spans="1:10" x14ac:dyDescent="0.25">
      <c r="A17" s="18" t="s">
        <v>39</v>
      </c>
      <c r="B17" s="11">
        <v>4191.77135</v>
      </c>
      <c r="C17" s="11">
        <v>4245.0022399999998</v>
      </c>
      <c r="D17" s="11">
        <v>3314.1960490000006</v>
      </c>
      <c r="E17" s="11">
        <v>53.230889999999818</v>
      </c>
      <c r="F17" s="11">
        <v>-930.80619099999922</v>
      </c>
      <c r="G17" s="11">
        <v>-877.5753009999994</v>
      </c>
      <c r="H17" s="19">
        <v>1.2698901145931973E-2</v>
      </c>
      <c r="I17" s="19">
        <v>-0.21927107180984651</v>
      </c>
      <c r="J17" s="19">
        <v>-0.20935667232899033</v>
      </c>
    </row>
    <row r="18" spans="1:10" x14ac:dyDescent="0.25">
      <c r="A18" s="18" t="s">
        <v>40</v>
      </c>
      <c r="B18" s="11">
        <v>4296.2508600000001</v>
      </c>
      <c r="C18" s="11">
        <v>4130.3143199999995</v>
      </c>
      <c r="D18" s="11">
        <v>3244.7812329999997</v>
      </c>
      <c r="E18" s="11">
        <v>-165.9365400000006</v>
      </c>
      <c r="F18" s="11">
        <v>-885.5330869999998</v>
      </c>
      <c r="G18" s="11">
        <v>-1051.4696270000004</v>
      </c>
      <c r="H18" s="19">
        <v>-3.862356864328928E-2</v>
      </c>
      <c r="I18" s="19">
        <v>-0.21439847391566072</v>
      </c>
      <c r="J18" s="19">
        <v>-0.24474120838465199</v>
      </c>
    </row>
    <row r="19" spans="1:10" x14ac:dyDescent="0.25">
      <c r="A19" s="17" t="s">
        <v>24</v>
      </c>
      <c r="B19" s="11">
        <v>55179.325560000005</v>
      </c>
      <c r="C19" s="11">
        <v>52955.985779999995</v>
      </c>
      <c r="D19" s="11">
        <v>41537.323943000003</v>
      </c>
      <c r="E19" s="11">
        <v>-2223.3397799999875</v>
      </c>
      <c r="F19" s="11">
        <v>-11418.661836999992</v>
      </c>
      <c r="G19" s="11">
        <v>-13642.00161699998</v>
      </c>
      <c r="H19" s="19">
        <v>-4.0292985777479445E-2</v>
      </c>
      <c r="I19" s="19">
        <v>-0.21562551747101083</v>
      </c>
      <c r="J19" s="19">
        <v>-0.2472303073397692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A94C7-C5BD-465F-A5BD-7EA31E1FE851}">
  <dimension ref="A3:F19"/>
  <sheetViews>
    <sheetView tabSelected="1" workbookViewId="0">
      <selection activeCell="B3" sqref="B3"/>
    </sheetView>
  </sheetViews>
  <sheetFormatPr baseColWidth="10" defaultRowHeight="15" x14ac:dyDescent="0.25"/>
  <cols>
    <col min="1" max="1" width="26.140625" bestFit="1" customWidth="1"/>
    <col min="2" max="2" width="11.42578125" customWidth="1"/>
    <col min="3" max="3" width="9.140625" customWidth="1"/>
    <col min="4" max="4" width="12" customWidth="1"/>
    <col min="5" max="5" width="16.7109375" customWidth="1"/>
    <col min="6" max="6" width="14.42578125" customWidth="1"/>
    <col min="7" max="7" width="15.42578125" customWidth="1"/>
    <col min="8" max="8" width="11.85546875" customWidth="1"/>
    <col min="9" max="9" width="11.5703125" customWidth="1"/>
    <col min="10" max="10" width="12.28515625" customWidth="1"/>
    <col min="11" max="53" width="7.5703125" bestFit="1" customWidth="1"/>
    <col min="54" max="54" width="12.5703125" bestFit="1" customWidth="1"/>
  </cols>
  <sheetData>
    <row r="3" spans="1:3" x14ac:dyDescent="0.25">
      <c r="A3" s="21" t="s">
        <v>43</v>
      </c>
      <c r="B3" t="s">
        <v>53</v>
      </c>
      <c r="C3" t="s">
        <v>54</v>
      </c>
    </row>
    <row r="4" spans="1:3" x14ac:dyDescent="0.25">
      <c r="A4" s="17" t="s">
        <v>25</v>
      </c>
      <c r="B4" s="24">
        <v>207.85220000000001</v>
      </c>
      <c r="C4" s="24">
        <v>0</v>
      </c>
    </row>
    <row r="5" spans="1:3" x14ac:dyDescent="0.25">
      <c r="A5" s="18" t="s">
        <v>40</v>
      </c>
      <c r="B5" s="24">
        <v>207.85220000000001</v>
      </c>
      <c r="C5" s="24">
        <v>0</v>
      </c>
    </row>
    <row r="6" spans="1:3" x14ac:dyDescent="0.25">
      <c r="A6" s="17" t="s">
        <v>26</v>
      </c>
      <c r="B6" s="24">
        <v>46125.388799999993</v>
      </c>
      <c r="C6" s="24">
        <v>44475.971510000003</v>
      </c>
    </row>
    <row r="7" spans="1:3" x14ac:dyDescent="0.25">
      <c r="A7" s="18" t="s">
        <v>29</v>
      </c>
      <c r="B7" s="24">
        <v>4189.7649799999999</v>
      </c>
      <c r="C7" s="24">
        <v>4064.6014100000007</v>
      </c>
    </row>
    <row r="8" spans="1:3" x14ac:dyDescent="0.25">
      <c r="A8" s="18" t="s">
        <v>30</v>
      </c>
      <c r="B8" s="24">
        <v>3678.9864600000005</v>
      </c>
      <c r="C8" s="24">
        <v>3588.1760200000003</v>
      </c>
    </row>
    <row r="9" spans="1:3" x14ac:dyDescent="0.25">
      <c r="A9" s="18" t="s">
        <v>31</v>
      </c>
      <c r="B9" s="24">
        <v>3694.7668000000003</v>
      </c>
      <c r="C9" s="24">
        <v>3470.6113399999995</v>
      </c>
    </row>
    <row r="10" spans="1:3" x14ac:dyDescent="0.25">
      <c r="A10" s="18" t="s">
        <v>32</v>
      </c>
      <c r="B10" s="24">
        <v>3900.1222499999999</v>
      </c>
      <c r="C10" s="24">
        <v>3737.1380600000002</v>
      </c>
    </row>
    <row r="11" spans="1:3" x14ac:dyDescent="0.25">
      <c r="A11" s="18" t="s">
        <v>33</v>
      </c>
      <c r="B11" s="24">
        <v>3896.7146100000004</v>
      </c>
      <c r="C11" s="24">
        <v>3933.1914999999999</v>
      </c>
    </row>
    <row r="12" spans="1:3" x14ac:dyDescent="0.25">
      <c r="A12" s="18" t="s">
        <v>34</v>
      </c>
      <c r="B12" s="24">
        <v>3793.6036499999996</v>
      </c>
      <c r="C12" s="24">
        <v>3459.7737299999994</v>
      </c>
    </row>
    <row r="13" spans="1:3" x14ac:dyDescent="0.25">
      <c r="A13" s="18" t="s">
        <v>35</v>
      </c>
      <c r="B13" s="24">
        <v>4182.1048700000001</v>
      </c>
      <c r="C13" s="24">
        <v>4025.06646</v>
      </c>
    </row>
    <row r="14" spans="1:3" x14ac:dyDescent="0.25">
      <c r="A14" s="18" t="s">
        <v>36</v>
      </c>
      <c r="B14" s="24">
        <v>3640.0026999999995</v>
      </c>
      <c r="C14" s="24">
        <v>3650.5601099999999</v>
      </c>
    </row>
    <row r="15" spans="1:3" x14ac:dyDescent="0.25">
      <c r="A15" s="18" t="s">
        <v>37</v>
      </c>
      <c r="B15" s="24">
        <v>3885.3828899999999</v>
      </c>
      <c r="C15" s="24">
        <v>3562.5084399999996</v>
      </c>
    </row>
    <row r="16" spans="1:3" x14ac:dyDescent="0.25">
      <c r="A16" s="18" t="s">
        <v>38</v>
      </c>
      <c r="B16" s="24">
        <v>4081.1784500000008</v>
      </c>
      <c r="C16" s="24">
        <v>3908.5336300000008</v>
      </c>
    </row>
    <row r="17" spans="1:6" x14ac:dyDescent="0.25">
      <c r="A17" s="18" t="s">
        <v>39</v>
      </c>
      <c r="B17" s="24">
        <v>3544.6213400000006</v>
      </c>
      <c r="C17" s="24">
        <v>3582.1439399999995</v>
      </c>
    </row>
    <row r="18" spans="1:6" x14ac:dyDescent="0.25">
      <c r="A18" s="18" t="s">
        <v>40</v>
      </c>
      <c r="B18" s="24">
        <v>3638.1398000000004</v>
      </c>
      <c r="C18" s="24">
        <v>3493.6668700000005</v>
      </c>
    </row>
    <row r="19" spans="1:6" x14ac:dyDescent="0.25">
      <c r="A19" s="17" t="s">
        <v>24</v>
      </c>
      <c r="B19" s="24">
        <v>46333.240999999995</v>
      </c>
      <c r="C19" s="24">
        <v>44475.971510000003</v>
      </c>
      <c r="E19">
        <f>C19-B19</f>
        <v>-1857.2694899999915</v>
      </c>
      <c r="F19" s="22">
        <f>E19/B19</f>
        <v>-4.0085032903266829E-2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5395B-947A-4F92-9BF5-0643DB0D890E}">
  <dimension ref="A3:C56"/>
  <sheetViews>
    <sheetView workbookViewId="0">
      <selection activeCell="B7" sqref="B7"/>
    </sheetView>
  </sheetViews>
  <sheetFormatPr baseColWidth="10" defaultRowHeight="15" x14ac:dyDescent="0.25"/>
  <cols>
    <col min="1" max="1" width="17.85546875" bestFit="1" customWidth="1"/>
    <col min="2" max="2" width="22" bestFit="1" customWidth="1"/>
    <col min="3" max="3" width="15.85546875" bestFit="1" customWidth="1"/>
  </cols>
  <sheetData>
    <row r="3" spans="1:3" x14ac:dyDescent="0.25">
      <c r="A3" s="23" t="s">
        <v>55</v>
      </c>
      <c r="B3" t="s">
        <v>56</v>
      </c>
      <c r="C3" t="s">
        <v>57</v>
      </c>
    </row>
    <row r="4" spans="1:3" x14ac:dyDescent="0.25">
      <c r="A4" s="17">
        <v>1</v>
      </c>
      <c r="B4" s="25">
        <v>8.5925321308382454</v>
      </c>
      <c r="C4" s="26">
        <v>0.52699224477643891</v>
      </c>
    </row>
    <row r="5" spans="1:3" x14ac:dyDescent="0.25">
      <c r="A5" s="17">
        <v>2</v>
      </c>
      <c r="B5" s="25">
        <v>8.4627009204561059</v>
      </c>
      <c r="C5" s="26">
        <v>0.52093436007373872</v>
      </c>
    </row>
    <row r="6" spans="1:3" x14ac:dyDescent="0.25">
      <c r="A6" s="17">
        <v>3</v>
      </c>
      <c r="B6" s="25">
        <v>8.3391525331853824</v>
      </c>
      <c r="C6" s="26">
        <v>0.52452011370557072</v>
      </c>
    </row>
    <row r="7" spans="1:3" x14ac:dyDescent="0.25">
      <c r="A7" s="17">
        <v>4</v>
      </c>
      <c r="B7" s="25">
        <v>8.5966793521302467</v>
      </c>
      <c r="C7" s="26">
        <v>0.52306823973423611</v>
      </c>
    </row>
    <row r="8" spans="1:3" x14ac:dyDescent="0.25">
      <c r="A8" s="17">
        <v>5</v>
      </c>
      <c r="B8" s="25">
        <v>8.5356136362852411</v>
      </c>
      <c r="C8" s="26">
        <v>0.51942986033259408</v>
      </c>
    </row>
    <row r="9" spans="1:3" x14ac:dyDescent="0.25">
      <c r="A9" s="17">
        <v>6</v>
      </c>
      <c r="B9" s="25">
        <v>8.4086099913791053</v>
      </c>
      <c r="C9" s="26">
        <v>0.5273420294200829</v>
      </c>
    </row>
    <row r="10" spans="1:3" x14ac:dyDescent="0.25">
      <c r="A10" s="17">
        <v>7</v>
      </c>
      <c r="B10" s="25">
        <v>8.5702965564733962</v>
      </c>
      <c r="C10" s="26">
        <v>0.52582391098589076</v>
      </c>
    </row>
    <row r="11" spans="1:3" x14ac:dyDescent="0.25">
      <c r="A11" s="17">
        <v>8</v>
      </c>
      <c r="B11" s="25">
        <v>8.4982714736162279</v>
      </c>
      <c r="C11" s="26">
        <v>0.51859308831198436</v>
      </c>
    </row>
    <row r="12" spans="1:3" x14ac:dyDescent="0.25">
      <c r="A12" s="17">
        <v>9</v>
      </c>
      <c r="B12" s="25">
        <v>8.4886551508936083</v>
      </c>
      <c r="C12" s="26">
        <v>0.52439853540680514</v>
      </c>
    </row>
    <row r="13" spans="1:3" x14ac:dyDescent="0.25">
      <c r="A13" s="17">
        <v>10</v>
      </c>
      <c r="B13" s="25">
        <v>8.5580589620897634</v>
      </c>
      <c r="C13" s="26">
        <v>0.52496663990732817</v>
      </c>
    </row>
    <row r="14" spans="1:3" x14ac:dyDescent="0.25">
      <c r="A14" s="17">
        <v>11</v>
      </c>
      <c r="B14" s="25">
        <v>8.5047505484076176</v>
      </c>
      <c r="C14" s="26">
        <v>0.52708840678461044</v>
      </c>
    </row>
    <row r="15" spans="1:3" x14ac:dyDescent="0.25">
      <c r="A15" s="17">
        <v>12</v>
      </c>
      <c r="B15" s="25">
        <v>8.4425556475523305</v>
      </c>
      <c r="C15" s="26">
        <v>0.50709130939661184</v>
      </c>
    </row>
    <row r="16" spans="1:3" x14ac:dyDescent="0.25">
      <c r="A16" s="17">
        <v>13</v>
      </c>
      <c r="B16" s="25">
        <v>8.6061121502157771</v>
      </c>
      <c r="C16" s="26">
        <v>0.51451801419900545</v>
      </c>
    </row>
    <row r="17" spans="1:3" x14ac:dyDescent="0.25">
      <c r="A17" s="17">
        <v>14</v>
      </c>
      <c r="B17" s="25">
        <v>8.578786912343153</v>
      </c>
      <c r="C17" s="26">
        <v>0.51964364015459374</v>
      </c>
    </row>
    <row r="18" spans="1:3" x14ac:dyDescent="0.25">
      <c r="A18" s="17">
        <v>15</v>
      </c>
      <c r="B18" s="25">
        <v>8.4959861342425</v>
      </c>
      <c r="C18" s="26">
        <v>0.52442633851991582</v>
      </c>
    </row>
    <row r="19" spans="1:3" x14ac:dyDescent="0.25">
      <c r="A19" s="17">
        <v>16</v>
      </c>
      <c r="B19" s="25">
        <v>8.6128565188830759</v>
      </c>
      <c r="C19" s="26">
        <v>0.52626022430639385</v>
      </c>
    </row>
    <row r="20" spans="1:3" x14ac:dyDescent="0.25">
      <c r="A20" s="17">
        <v>17</v>
      </c>
      <c r="B20" s="25">
        <v>8.4248451663805337</v>
      </c>
      <c r="C20" s="26">
        <v>0.5193749668999752</v>
      </c>
    </row>
    <row r="21" spans="1:3" x14ac:dyDescent="0.25">
      <c r="A21" s="17">
        <v>18</v>
      </c>
      <c r="B21" s="25">
        <v>8.4595769228247963</v>
      </c>
      <c r="C21" s="26">
        <v>0.5227203315000426</v>
      </c>
    </row>
    <row r="22" spans="1:3" x14ac:dyDescent="0.25">
      <c r="A22" s="17">
        <v>19</v>
      </c>
      <c r="B22" s="25">
        <v>8.3467634292720074</v>
      </c>
      <c r="C22" s="26">
        <v>0.51519009995946263</v>
      </c>
    </row>
    <row r="23" spans="1:3" x14ac:dyDescent="0.25">
      <c r="A23" s="17">
        <v>20</v>
      </c>
      <c r="B23" s="25">
        <v>8.5361796318551875</v>
      </c>
      <c r="C23" s="26">
        <v>0.51455234486926171</v>
      </c>
    </row>
    <row r="24" spans="1:3" x14ac:dyDescent="0.25">
      <c r="A24" s="17">
        <v>21</v>
      </c>
      <c r="B24" s="25">
        <v>8.3774768801733384</v>
      </c>
      <c r="C24" s="26">
        <v>0.51869450489737057</v>
      </c>
    </row>
    <row r="25" spans="1:3" x14ac:dyDescent="0.25">
      <c r="A25" s="17">
        <v>22</v>
      </c>
      <c r="B25" s="25">
        <v>8.2734812642096358</v>
      </c>
      <c r="C25" s="26">
        <v>0.53132142319012365</v>
      </c>
    </row>
    <row r="26" spans="1:3" x14ac:dyDescent="0.25">
      <c r="A26" s="17">
        <v>23</v>
      </c>
      <c r="B26" s="25">
        <v>8.4116166478695025</v>
      </c>
      <c r="C26" s="26">
        <v>0.52071251891178172</v>
      </c>
    </row>
    <row r="27" spans="1:3" x14ac:dyDescent="0.25">
      <c r="A27" s="17">
        <v>24</v>
      </c>
      <c r="B27" s="25">
        <v>8.4691929626949474</v>
      </c>
      <c r="C27" s="26">
        <v>0.53238094276050174</v>
      </c>
    </row>
    <row r="28" spans="1:3" x14ac:dyDescent="0.25">
      <c r="A28" s="17">
        <v>25</v>
      </c>
      <c r="B28" s="25">
        <v>8.3999791256246024</v>
      </c>
      <c r="C28" s="26">
        <v>0.52644291217106554</v>
      </c>
    </row>
    <row r="29" spans="1:3" x14ac:dyDescent="0.25">
      <c r="A29" s="17">
        <v>26</v>
      </c>
      <c r="B29" s="25">
        <v>8.5750220441977625</v>
      </c>
      <c r="C29" s="26">
        <v>0.52483300477795169</v>
      </c>
    </row>
    <row r="30" spans="1:3" x14ac:dyDescent="0.25">
      <c r="A30" s="17">
        <v>27</v>
      </c>
      <c r="B30" s="25">
        <v>8.3519497023610469</v>
      </c>
      <c r="C30" s="26">
        <v>0.51765034178315839</v>
      </c>
    </row>
    <row r="31" spans="1:3" x14ac:dyDescent="0.25">
      <c r="A31" s="17">
        <v>28</v>
      </c>
      <c r="B31" s="25">
        <v>8.5408507678037715</v>
      </c>
      <c r="C31" s="26">
        <v>0.51746691744821183</v>
      </c>
    </row>
    <row r="32" spans="1:3" x14ac:dyDescent="0.25">
      <c r="A32" s="17">
        <v>29</v>
      </c>
      <c r="B32" s="25">
        <v>8.3390291743626754</v>
      </c>
      <c r="C32" s="26">
        <v>0.51709506575914699</v>
      </c>
    </row>
    <row r="33" spans="1:3" x14ac:dyDescent="0.25">
      <c r="A33" s="17">
        <v>30</v>
      </c>
      <c r="B33" s="25">
        <v>8.5109318359758994</v>
      </c>
      <c r="C33" s="26">
        <v>0.51200874926276074</v>
      </c>
    </row>
    <row r="34" spans="1:3" x14ac:dyDescent="0.25">
      <c r="A34" s="17">
        <v>31</v>
      </c>
      <c r="B34" s="25">
        <v>8.4096253278127513</v>
      </c>
      <c r="C34" s="26">
        <v>0.51559170862444015</v>
      </c>
    </row>
    <row r="35" spans="1:3" x14ac:dyDescent="0.25">
      <c r="A35" s="17">
        <v>32</v>
      </c>
      <c r="B35" s="25">
        <v>8.5439994126069223</v>
      </c>
      <c r="C35" s="26">
        <v>0.51526854326517124</v>
      </c>
    </row>
    <row r="36" spans="1:3" x14ac:dyDescent="0.25">
      <c r="A36" s="17">
        <v>33</v>
      </c>
      <c r="B36" s="25">
        <v>8.5014643670680119</v>
      </c>
      <c r="C36" s="26">
        <v>0.52541216611074959</v>
      </c>
    </row>
    <row r="37" spans="1:3" x14ac:dyDescent="0.25">
      <c r="A37" s="17">
        <v>34</v>
      </c>
      <c r="B37" s="25">
        <v>8.5167421374140222</v>
      </c>
      <c r="C37" s="26">
        <v>0.51661916189677803</v>
      </c>
    </row>
    <row r="38" spans="1:3" x14ac:dyDescent="0.25">
      <c r="A38" s="17">
        <v>35</v>
      </c>
      <c r="B38" s="25">
        <v>8.3137117125029985</v>
      </c>
      <c r="C38" s="26">
        <v>0.51091401642473233</v>
      </c>
    </row>
    <row r="39" spans="1:3" x14ac:dyDescent="0.25">
      <c r="A39" s="17">
        <v>36</v>
      </c>
      <c r="B39" s="25">
        <v>8.4716971764555691</v>
      </c>
      <c r="C39" s="26">
        <v>0.51943052350116681</v>
      </c>
    </row>
    <row r="40" spans="1:3" x14ac:dyDescent="0.25">
      <c r="A40" s="17">
        <v>37</v>
      </c>
      <c r="B40" s="25">
        <v>8.6007595042356968</v>
      </c>
      <c r="C40" s="26">
        <v>0.51838583371586755</v>
      </c>
    </row>
    <row r="41" spans="1:3" x14ac:dyDescent="0.25">
      <c r="A41" s="17">
        <v>38</v>
      </c>
      <c r="B41" s="25">
        <v>8.6021395510416774</v>
      </c>
      <c r="C41" s="26">
        <v>0.54174447282647564</v>
      </c>
    </row>
    <row r="42" spans="1:3" x14ac:dyDescent="0.25">
      <c r="A42" s="17">
        <v>39</v>
      </c>
      <c r="B42" s="25">
        <v>8.345706227509968</v>
      </c>
      <c r="C42" s="26">
        <v>0.52146446720912887</v>
      </c>
    </row>
    <row r="43" spans="1:3" x14ac:dyDescent="0.25">
      <c r="A43" s="17">
        <v>40</v>
      </c>
      <c r="B43" s="25">
        <v>8.5859322281036672</v>
      </c>
      <c r="C43" s="26">
        <v>0.52344849898779577</v>
      </c>
    </row>
    <row r="44" spans="1:3" x14ac:dyDescent="0.25">
      <c r="A44" s="17">
        <v>41</v>
      </c>
      <c r="B44" s="25">
        <v>8.4186789439067926</v>
      </c>
      <c r="C44" s="26">
        <v>0.52215226439913565</v>
      </c>
    </row>
    <row r="45" spans="1:3" x14ac:dyDescent="0.25">
      <c r="A45" s="17">
        <v>42</v>
      </c>
      <c r="B45" s="25">
        <v>8.5399956462767292</v>
      </c>
      <c r="C45" s="26">
        <v>0.53166875667710434</v>
      </c>
    </row>
    <row r="46" spans="1:3" x14ac:dyDescent="0.25">
      <c r="A46" s="17">
        <v>43</v>
      </c>
      <c r="B46" s="25">
        <v>8.4656731004153443</v>
      </c>
      <c r="C46" s="26">
        <v>0.52239785779243708</v>
      </c>
    </row>
    <row r="47" spans="1:3" x14ac:dyDescent="0.25">
      <c r="A47" s="17">
        <v>44</v>
      </c>
      <c r="B47" s="25">
        <v>8.4680395507650168</v>
      </c>
      <c r="C47" s="26">
        <v>0.51549603827407597</v>
      </c>
    </row>
    <row r="48" spans="1:3" x14ac:dyDescent="0.25">
      <c r="A48" s="17">
        <v>45</v>
      </c>
      <c r="B48" s="25">
        <v>8.567021536072664</v>
      </c>
      <c r="C48" s="26">
        <v>0.52678281064814347</v>
      </c>
    </row>
    <row r="49" spans="1:3" x14ac:dyDescent="0.25">
      <c r="A49" s="17">
        <v>46</v>
      </c>
      <c r="B49" s="25">
        <v>8.5034127408993569</v>
      </c>
      <c r="C49" s="26">
        <v>0.51773493944057802</v>
      </c>
    </row>
    <row r="50" spans="1:3" x14ac:dyDescent="0.25">
      <c r="A50" s="17">
        <v>47</v>
      </c>
      <c r="B50" s="25">
        <v>8.6785636234497083</v>
      </c>
      <c r="C50" s="26">
        <v>0.50789555981259904</v>
      </c>
    </row>
    <row r="51" spans="1:3" x14ac:dyDescent="0.25">
      <c r="A51" s="17">
        <v>48</v>
      </c>
      <c r="B51" s="25">
        <v>8.4410770778156365</v>
      </c>
      <c r="C51" s="26">
        <v>0.51539365822930194</v>
      </c>
    </row>
    <row r="52" spans="1:3" x14ac:dyDescent="0.25">
      <c r="A52" s="17">
        <v>49</v>
      </c>
      <c r="B52" s="25">
        <v>8.6513192833624011</v>
      </c>
      <c r="C52" s="26">
        <v>0.51723306859725282</v>
      </c>
    </row>
    <row r="53" spans="1:3" x14ac:dyDescent="0.25">
      <c r="A53" s="17">
        <v>50</v>
      </c>
      <c r="B53" s="25">
        <v>8.4051223135985236</v>
      </c>
      <c r="C53" s="26">
        <v>0.52405014335335676</v>
      </c>
    </row>
    <row r="54" spans="1:3" x14ac:dyDescent="0.25">
      <c r="A54" s="17">
        <v>51</v>
      </c>
      <c r="B54" s="25">
        <v>8.5812126924285259</v>
      </c>
      <c r="C54" s="26">
        <v>0.52767110053408739</v>
      </c>
    </row>
    <row r="55" spans="1:3" x14ac:dyDescent="0.25">
      <c r="A55" s="17">
        <v>52</v>
      </c>
      <c r="B55" s="25">
        <v>8.5657730868509496</v>
      </c>
      <c r="C55" s="26">
        <v>0.51469315169520424</v>
      </c>
    </row>
    <row r="56" spans="1:3" x14ac:dyDescent="0.25">
      <c r="A56" s="17" t="s">
        <v>24</v>
      </c>
      <c r="B56" s="25">
        <v>8.4892812388084042</v>
      </c>
      <c r="C56" s="26">
        <v>0.52112736029277018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fab_queso_sim</vt:lpstr>
      <vt:lpstr>BM sencillo</vt:lpstr>
      <vt:lpstr>BM MG TD</vt:lpstr>
      <vt:lpstr>BM MP TD</vt:lpstr>
      <vt:lpstr>TD rendim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Riera</cp:lastModifiedBy>
  <dcterms:created xsi:type="dcterms:W3CDTF">2026-02-09T12:31:30Z</dcterms:created>
  <dcterms:modified xsi:type="dcterms:W3CDTF">2026-02-11T11:35:29Z</dcterms:modified>
</cp:coreProperties>
</file>