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bf2af71bbc2e43/Documentos/GitHub/master-queseria/website/datos/"/>
    </mc:Choice>
  </mc:AlternateContent>
  <xr:revisionPtr revIDLastSave="186" documentId="8_{A9B41A3E-D097-431F-BDF8-337D8481751A}" xr6:coauthVersionLast="47" xr6:coauthVersionMax="47" xr10:uidLastSave="{0B87C588-27DE-43F9-8A53-46AB7D5D6CBB}"/>
  <bookViews>
    <workbookView xWindow="12420" yWindow="900" windowWidth="15390" windowHeight="14250" activeTab="1" xr2:uid="{2AD436DA-032C-4AC4-9751-EDA9BA4B7DA8}"/>
  </bookViews>
  <sheets>
    <sheet name="Desviaciones" sheetId="1" r:id="rId1"/>
    <sheet name="Desviaciones analiticas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23Graph_AGRAFIND" hidden="1">#REF!</definedName>
    <definedName name="__123Graph_AGRAFTOT" hidden="1">#REF!</definedName>
    <definedName name="__123Graph_APRINCIPALE" hidden="1">[1]ACTIVITE!#REF!</definedName>
    <definedName name="__123Graph_BGRAFIND" hidden="1">#REF!</definedName>
    <definedName name="__123Graph_BGRAFTOT" hidden="1">#REF!</definedName>
    <definedName name="__123Graph_BPRINCIPALE" hidden="1">[1]ACTIVITE!#REF!</definedName>
    <definedName name="__123Graph_CPRINCIPALE" hidden="1">[1]ACTIVITE!#REF!</definedName>
    <definedName name="__123Graph_XPRINCIPALE" hidden="1">[1]ACTIVITE!#REF!</definedName>
    <definedName name="__Amount_for_Gross_Profit_Monthly_ASDA_All_Unit_2" hidden="1">[2]pcQueryData!#REF!</definedName>
    <definedName name="__Amount_for_Gross_Profit_Monthly_TESCO_All_1" hidden="1">#REF!</definedName>
    <definedName name="__Amount_for_Monthly_1" hidden="1">[3]pcQueryData!$A$4</definedName>
    <definedName name="__c" localSheetId="0" hidden="1">{"SPM1",#N/A,FALSE,"RIEP"}</definedName>
    <definedName name="__c" localSheetId="1" hidden="1">{"SPM1",#N/A,FALSE,"RIEP"}</definedName>
    <definedName name="__c" hidden="1">{"SPM1",#N/A,FALSE,"RIEP"}</definedName>
    <definedName name="_100_PV">#REF!</definedName>
    <definedName name="_100_SVI">#REF!</definedName>
    <definedName name="_1000_XM">#REF!</definedName>
    <definedName name="_145110">#REF!</definedName>
    <definedName name="_162460">[4]STEPHAN!$B$2:$P$71</definedName>
    <definedName name="_170_LIGHT">#REF!</definedName>
    <definedName name="_170_PV">#REF!</definedName>
    <definedName name="_171015">#REF!</definedName>
    <definedName name="_171064">#REF!</definedName>
    <definedName name="_171066">#REF!</definedName>
    <definedName name="_171068">#REF!</definedName>
    <definedName name="_171510">#REF!</definedName>
    <definedName name="_171562">#REF!</definedName>
    <definedName name="_172012">#REF!</definedName>
    <definedName name="_172020">#REF!</definedName>
    <definedName name="_172022">#REF!</definedName>
    <definedName name="_172062">#REF!</definedName>
    <definedName name="_172510">[4]STEPHAN!$B$2:$Q$71</definedName>
    <definedName name="_172610">[4]STEPHAN!$B$2:$Q$71</definedName>
    <definedName name="_176072">#REF!</definedName>
    <definedName name="_Amount_for_Monthly" hidden="1">[5]pcQueryData!$A$3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cSlicerSheet_Slicer1" hidden="1">#REF!</definedName>
    <definedName name="_pcSlicerSheet_Slicer2" hidden="1">#REF!</definedName>
    <definedName name="_pcSlicerSheet_Slicer3" hidden="1">#REF!</definedName>
    <definedName name="_pcSlicerSheet1_Slicer1" hidden="1">#REF!</definedName>
    <definedName name="_pcSlicerSheet1_Slicer2" hidden="1">#REF!</definedName>
    <definedName name="_pcSlicerSheet1_Slicer3" hidden="1">#REF!</definedName>
    <definedName name="_pcSlicerSheet10_Slicer1" hidden="1">#REF!</definedName>
    <definedName name="_pcSlicerSheet11_Slicer1" hidden="1">#REF!</definedName>
    <definedName name="_pcSlicerSheet12_Slicer1" hidden="1">#REF!</definedName>
    <definedName name="_pcSlicerSheet12_Slicer2" hidden="1">#REF!</definedName>
    <definedName name="_pcSlicerSheet12_Slicer3" hidden="1">#REF!</definedName>
    <definedName name="_pcSlicerSheet13_Slicer2" hidden="1">#REF!</definedName>
    <definedName name="_pcSlicerSheet13_Slicer3" hidden="1">#REF!</definedName>
    <definedName name="_pcSlicerSheet14_Slicer1" hidden="1">[2]_pcSlicerSheet14!$A$2:$A$25</definedName>
    <definedName name="_pcSlicerSheet14_Slicer2" hidden="1">#REF!</definedName>
    <definedName name="_pcSlicerSheet14_Slicer3" hidden="1">#REF!</definedName>
    <definedName name="_pcSlicerSheet15_Slicer1" hidden="1">[2]_pcSlicerSheet15!$A$2:$A$25</definedName>
    <definedName name="_pcSlicerSheet15_Slicer2" hidden="1">#REF!</definedName>
    <definedName name="_pcSlicerSheet15_Slicer3" hidden="1">#REF!</definedName>
    <definedName name="_pcSlicerSheet16_Slicer1" hidden="1">[2]_pcSlicerSheet16!$A$2:$A$25</definedName>
    <definedName name="_pcSlicerSheet16_Slicer2" hidden="1">#REF!</definedName>
    <definedName name="_pcSlicerSheet16_Slicer3" hidden="1">#REF!</definedName>
    <definedName name="_pcSlicerSheet17_Slicer1" hidden="1">#REF!</definedName>
    <definedName name="_pcSlicerSheet17_Slicer2" hidden="1">#REF!</definedName>
    <definedName name="_pcSlicerSheet17_Slicer3" hidden="1">#REF!</definedName>
    <definedName name="_pcSlicerSheet18_Slicer1" hidden="1">#REF!</definedName>
    <definedName name="_pcSlicerSheet19_Slicer1" hidden="1">#REF!</definedName>
    <definedName name="_pcSlicerSheet2_Slicer1" hidden="1">#REF!</definedName>
    <definedName name="_pcSlicerSheet2_Slicer2" hidden="1">#REF!</definedName>
    <definedName name="_pcSlicerSheet2_Slicer3" hidden="1">#REF!</definedName>
    <definedName name="_pcSlicerSheet20_Slicer1" hidden="1">#REF!</definedName>
    <definedName name="_pcSlicerSheet20_Slicer2" hidden="1">#REF!</definedName>
    <definedName name="_pcSlicerSheet20_Slicer3" hidden="1">#REF!</definedName>
    <definedName name="_pcSlicerSheet21_Slicer1" hidden="1">#REF!</definedName>
    <definedName name="_pcSlicerSheet22_Slicer1" hidden="1">#REF!</definedName>
    <definedName name="_pcSlicerSheet22_Slicer2" hidden="1">#REF!</definedName>
    <definedName name="_pcSlicerSheet22_Slicer3" hidden="1">#REF!</definedName>
    <definedName name="_pcSlicerSheet23_Slicer1" hidden="1">#REF!</definedName>
    <definedName name="_pcSlicerSheet23_Slicer2" hidden="1">#REF!</definedName>
    <definedName name="_pcSlicerSheet23_Slicer3" hidden="1">#REF!</definedName>
    <definedName name="_pcSlicerSheet24_Slicer1" hidden="1">#REF!</definedName>
    <definedName name="_pcSlicerSheet25_Slicer1" hidden="1">#REF!</definedName>
    <definedName name="_pcSlicerSheet26_Slicer1" hidden="1">#REF!</definedName>
    <definedName name="_pcSlicerSheet27_Slicer1" hidden="1">#REF!</definedName>
    <definedName name="_pcSlicerSheet28_Slicer1" hidden="1">#REF!</definedName>
    <definedName name="_pcSlicerSheet29_Slicer1" hidden="1">#REF!</definedName>
    <definedName name="_pcSlicerSheet30_Slicer1" hidden="1">#REF!</definedName>
    <definedName name="_pcSlicerSheet31_Slicer1" hidden="1">#REF!</definedName>
    <definedName name="_pcSlicerSheet32_Slicer1" hidden="1">#REF!</definedName>
    <definedName name="_pcSlicerSheet32_Slicer2" hidden="1">#REF!</definedName>
    <definedName name="_pcSlicerSheet32_Slicer3" hidden="1">#REF!</definedName>
    <definedName name="_pcSlicerSheet33_Slicer1" hidden="1">#REF!</definedName>
    <definedName name="_pcSlicerSheet33_Slicer2" hidden="1">#REF!</definedName>
    <definedName name="_pcSlicerSheet33_Slicer3" hidden="1">#REF!</definedName>
    <definedName name="_pcSlicerSheet34_Slicer1" hidden="1">#REF!</definedName>
    <definedName name="_pcSlicerSheet34_Slicer2" hidden="1">#REF!</definedName>
    <definedName name="_pcSlicerSheet34_Slicer3" hidden="1">#REF!</definedName>
    <definedName name="_pcSlicerSheet35_Slicer1" hidden="1">#REF!</definedName>
    <definedName name="_pcSlicerSheet35_Slicer2" hidden="1">#REF!</definedName>
    <definedName name="_pcSlicerSheet35_Slicer3" hidden="1">#REF!</definedName>
    <definedName name="_pcSlicerSheet36_Slicer1" hidden="1">#REF!</definedName>
    <definedName name="_pcSlicerSheet37_Slicer1" hidden="1">#REF!</definedName>
    <definedName name="_pcSlicerSheet38_Slicer1" hidden="1">#REF!</definedName>
    <definedName name="_pcSlicerSheet39_Slicer1" hidden="1">#REF!</definedName>
    <definedName name="_pcSlicerSheet4_Slicer1" hidden="1">[2]_pcSlicerSheet4!$A$2:$A$14</definedName>
    <definedName name="_pcSlicerSheet4_Slicer2" hidden="1">#REF!</definedName>
    <definedName name="_pcSlicerSheet40_Slicer1" hidden="1">#REF!</definedName>
    <definedName name="_pcSlicerSheet41_Slicer1" hidden="1">#REF!</definedName>
    <definedName name="_pcSlicerSheet42_Slicer1" hidden="1">#REF!</definedName>
    <definedName name="_pcSlicerSheet43_Slicer1" hidden="1">#REF!</definedName>
    <definedName name="_pcSlicerSheet44_Slicer1" hidden="1">#REF!</definedName>
    <definedName name="_pcSlicerSheet45_Slicer1" hidden="1">#REF!</definedName>
    <definedName name="_pcSlicerSheet46_Slicer1" hidden="1">#REF!</definedName>
    <definedName name="_pcSlicerSheet47_Slicer1" hidden="1">#REF!</definedName>
    <definedName name="_pcSlicerSheet48_Slicer1" hidden="1">#REF!</definedName>
    <definedName name="_pcSlicerSheet49_Slicer1" hidden="1">#REF!</definedName>
    <definedName name="_pcSlicerSheet49_Slicer2" hidden="1">#REF!</definedName>
    <definedName name="_pcSlicerSheet5_Slicer1" hidden="1">#REF!</definedName>
    <definedName name="_pcSlicerSheet50_Slicer1" hidden="1">#REF!</definedName>
    <definedName name="_pcSlicerSheet50_Slicer2" hidden="1">#REF!</definedName>
    <definedName name="_pcSlicerSheet51_Slicer1" hidden="1">#REF!</definedName>
    <definedName name="_pcSlicerSheet52_Slicer1" hidden="1">#REF!</definedName>
    <definedName name="_pcSlicerSheet53_Slicer1" hidden="1">#REF!</definedName>
    <definedName name="_pcSlicerSheet54_Slicer1" hidden="1">#REF!</definedName>
    <definedName name="_pcSlicerSheet55_Slicer1" hidden="1">#REF!</definedName>
    <definedName name="_pcSlicerSheet55_Slicer2" hidden="1">#REF!</definedName>
    <definedName name="_pcSlicerSheet56_Slicer1" hidden="1">#REF!</definedName>
    <definedName name="_pcSlicerSheet58_Slicer1" hidden="1">#REF!</definedName>
    <definedName name="_pcSlicerSheet59_Slicer1" hidden="1">#REF!</definedName>
    <definedName name="_pcSlicerSheet6_Slicer1" hidden="1">#REF!</definedName>
    <definedName name="_pcSlicerSheet6_Slicer2" hidden="1">#REF!</definedName>
    <definedName name="_pcSlicerSheet60_Slicer1" hidden="1">#REF!</definedName>
    <definedName name="_pcSlicerSheet61_Slicer1" hidden="1">#REF!</definedName>
    <definedName name="_pcSlicerSheet7_Slicer1" hidden="1">#REF!</definedName>
    <definedName name="_pcSlicerSheet7_Slicer2" hidden="1">#REF!</definedName>
    <definedName name="_pcSlicerSheet8_Slicer1" hidden="1">#REF!</definedName>
    <definedName name="_pcSlicerSheet8_Slicer2" hidden="1">#REF!</definedName>
    <definedName name="_pcSlicerSheet9_Slicer1" hidden="1">#REF!</definedName>
    <definedName name="_Sort" hidden="1">#REF!</definedName>
    <definedName name="a" localSheetId="0" hidden="1">{"SPM1",#N/A,FALSE,"RIEP"}</definedName>
    <definedName name="a" localSheetId="1" hidden="1">{"SPM1",#N/A,FALSE,"RIEP"}</definedName>
    <definedName name="a" hidden="1">{"SPM1",#N/A,FALSE,"RIEP"}</definedName>
    <definedName name="A_impresión_IM">#REF!</definedName>
    <definedName name="aaa" hidden="1">#REF!</definedName>
    <definedName name="aaaa" hidden="1">#REF!</definedName>
    <definedName name="aaaaa" localSheetId="0" hidden="1">{#N/A,#N/A,FALSE,"RIEP"}</definedName>
    <definedName name="aaaaa" localSheetId="1" hidden="1">{#N/A,#N/A,FALSE,"RIEP"}</definedName>
    <definedName name="aaaaa" hidden="1">{#N/A,#N/A,FALSE,"RIEP"}</definedName>
    <definedName name="aaaaaaaaaaaaaaaa" localSheetId="0" hidden="1">{#N/A,#N/A,FALSE,"RIEP"}</definedName>
    <definedName name="aaaaaaaaaaaaaaaa" localSheetId="1" hidden="1">{#N/A,#N/A,FALSE,"RIEP"}</definedName>
    <definedName name="aaaaaaaaaaaaaaaa" hidden="1">{#N/A,#N/A,FALSE,"RIEP"}</definedName>
    <definedName name="AASAS" localSheetId="0" hidden="1">{"QQQ",#N/A,FALSE,"RIEP"}</definedName>
    <definedName name="AASAS" localSheetId="1" hidden="1">{"QQQ",#N/A,FALSE,"RIEP"}</definedName>
    <definedName name="AASAS" hidden="1">{"QQQ",#N/A,FALSE,"RIEP"}</definedName>
    <definedName name="ADV" localSheetId="0" hidden="1">{#N/A,#N/A,TRUE,"ANALYSE";#N/A,#N/A,TRUE,"PM VOLUME";#N/A,#N/A,TRUE,"PM VALEUR";#N/A,#N/A,TRUE,"AR1";#N/A,#N/A,TRUE,"AR2";#N/A,#N/A,TRUE,"RAF";#N/A,#N/A,TRUE,"BILAN";#N/A,#N/A,TRUE,"CASH FLOW";#N/A,#N/A,TRUE,"ETAT FI"}</definedName>
    <definedName name="ADV" localSheetId="1" hidden="1">{#N/A,#N/A,TRUE,"ANALYSE";#N/A,#N/A,TRUE,"PM VOLUME";#N/A,#N/A,TRUE,"PM VALEUR";#N/A,#N/A,TRUE,"AR1";#N/A,#N/A,TRUE,"AR2";#N/A,#N/A,TRUE,"RAF";#N/A,#N/A,TRUE,"BILAN";#N/A,#N/A,TRUE,"CASH FLOW";#N/A,#N/A,TRUE,"ETAT FI"}</definedName>
    <definedName name="ADV" hidden="1">{#N/A,#N/A,TRUE,"ANALYSE";#N/A,#N/A,TRUE,"PM VOLUME";#N/A,#N/A,TRUE,"PM VALEUR";#N/A,#N/A,TRUE,"AR1";#N/A,#N/A,TRUE,"AR2";#N/A,#N/A,TRUE,"RAF";#N/A,#N/A,TRUE,"BILAN";#N/A,#N/A,TRUE,"CASH FLOW";#N/A,#N/A,TRUE,"ETAT FI"}</definedName>
    <definedName name="ana" localSheetId="0" hidden="1">{#N/A,#N/A,TRUE,"EC COMM-t";#N/A,#N/A,TRUE,"EC PAR PDTS-t";#N/A,#N/A,TRUE,"EC MAT-t";#N/A,#N/A,TRUE,"SUIVI HAUSSES-t"}</definedName>
    <definedName name="ana" localSheetId="1" hidden="1">{#N/A,#N/A,TRUE,"EC COMM-t";#N/A,#N/A,TRUE,"EC PAR PDTS-t";#N/A,#N/A,TRUE,"EC MAT-t";#N/A,#N/A,TRUE,"SUIVI HAUSSES-t"}</definedName>
    <definedName name="ana" hidden="1">{#N/A,#N/A,TRUE,"EC COMM-t";#N/A,#N/A,TRUE,"EC PAR PDTS-t";#N/A,#N/A,TRUE,"EC MAT-t";#N/A,#N/A,TRUE,"SUIVI HAUSSES-t"}</definedName>
    <definedName name="anscount" hidden="1">1</definedName>
    <definedName name="ardqer" localSheetId="0" hidden="1">{"SPM1",#N/A,FALSE,"RIEP"}</definedName>
    <definedName name="ardqer" localSheetId="1" hidden="1">{"SPM1",#N/A,FALSE,"RIEP"}</definedName>
    <definedName name="ardqer" hidden="1">{"SPM1",#N/A,FALSE,"RIEP"}</definedName>
    <definedName name="ASD" localSheetId="0" hidden="1">{"QQQ",#N/A,FALSE,"RIEP"}</definedName>
    <definedName name="ASD" localSheetId="1" hidden="1">{"QQQ",#N/A,FALSE,"RIEP"}</definedName>
    <definedName name="ASD" hidden="1">{"QQQ",#N/A,FALSE,"RIEP"}</definedName>
    <definedName name="ASDF" localSheetId="0" hidden="1">{#N/A,#N/A,FALSE,"RIEP"}</definedName>
    <definedName name="ASDF" localSheetId="1" hidden="1">{#N/A,#N/A,FALSE,"RIEP"}</definedName>
    <definedName name="ASDF" hidden="1">{#N/A,#N/A,FALSE,"RIEP"}</definedName>
    <definedName name="asdfas" localSheetId="0" hidden="1">{#N/A,#N/A,FALSE,"RIEP"}</definedName>
    <definedName name="asdfas" localSheetId="1" hidden="1">{#N/A,#N/A,FALSE,"RIEP"}</definedName>
    <definedName name="asdfas" hidden="1">{#N/A,#N/A,FALSE,"RIEP"}</definedName>
    <definedName name="aùsw" localSheetId="0" hidden="1">{"SPM1",#N/A,FALSE,"RIEP"}</definedName>
    <definedName name="aùsw" localSheetId="1" hidden="1">{"SPM1",#N/A,FALSE,"RIEP"}</definedName>
    <definedName name="aùsw" hidden="1">{"SPM1",#N/A,FALSE,"RIEP"}</definedName>
    <definedName name="bbbbb" localSheetId="0" hidden="1">{#N/A,#N/A,FALSE,"recap";#N/A,#N/A,FALSE,"matNeuf";#N/A,#N/A,FALSE,"matNdie";#N/A,#N/A,FALSE,"incNeuf";#N/A,#N/A,FALSE,"incNdie";#N/A,#N/A,FALSE,"volume";#N/A,#N/A,FALSE,"emballage";#N/A,#N/A,FALSE,"charge"}</definedName>
    <definedName name="bbbbb" localSheetId="1" hidden="1">{#N/A,#N/A,FALSE,"recap";#N/A,#N/A,FALSE,"matNeuf";#N/A,#N/A,FALSE,"matNdie";#N/A,#N/A,FALSE,"incNeuf";#N/A,#N/A,FALSE,"incNdie";#N/A,#N/A,FALSE,"volume";#N/A,#N/A,FALSE,"emballage";#N/A,#N/A,FALSE,"charge"}</definedName>
    <definedName name="bbbbb" hidden="1">{#N/A,#N/A,FALSE,"recap";#N/A,#N/A,FALSE,"matNeuf";#N/A,#N/A,FALSE,"matNdie";#N/A,#N/A,FALSE,"incNeuf";#N/A,#N/A,FALSE,"incNdie";#N/A,#N/A,FALSE,"volume";#N/A,#N/A,FALSE,"emballage";#N/A,#N/A,FALSE,"charge"}</definedName>
    <definedName name="bd">#REF!</definedName>
    <definedName name="bimes" localSheetId="0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bimes" localSheetId="1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bimes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bof">"ComboBox1"</definedName>
    <definedName name="byikbyuj" localSheetId="0" hidden="1">{"SPM1",#N/A,FALSE,"RIEP"}</definedName>
    <definedName name="byikbyuj" localSheetId="1" hidden="1">{"SPM1",#N/A,FALSE,"RIEP"}</definedName>
    <definedName name="byikbyuj" hidden="1">{"SPM1",#N/A,FALSE,"RIEP"}</definedName>
    <definedName name="byubtyuj" localSheetId="0" hidden="1">{"QQQ",#N/A,FALSE,"RIEP"}</definedName>
    <definedName name="byubtyuj" localSheetId="1" hidden="1">{"QQQ",#N/A,FALSE,"RIEP"}</definedName>
    <definedName name="byubtyuj" hidden="1">{"QQQ",#N/A,FALSE,"RIEP"}</definedName>
    <definedName name="byukkty" localSheetId="0" hidden="1">{#N/A,#N/A,FALSE,"RIEP"}</definedName>
    <definedName name="byukkty" localSheetId="1" hidden="1">{#N/A,#N/A,FALSE,"RIEP"}</definedName>
    <definedName name="byukkty" hidden="1">{#N/A,#N/A,FALSE,"RIEP"}</definedName>
    <definedName name="byuku" localSheetId="0" hidden="1">{#N/A,#N/A,FALSE,"RIEP"}</definedName>
    <definedName name="byuku" localSheetId="1" hidden="1">{#N/A,#N/A,FALSE,"RIEP"}</definedName>
    <definedName name="byuku" hidden="1">{#N/A,#N/A,FALSE,"RIEP"}</definedName>
    <definedName name="č" localSheetId="0" hidden="1">{"'domaće količine'!$K$34:$P$47"}</definedName>
    <definedName name="č" localSheetId="1" hidden="1">{"'domaće količine'!$K$34:$P$47"}</definedName>
    <definedName name="č" hidden="1">{"'domaće količine'!$K$34:$P$47"}</definedName>
    <definedName name="cc" localSheetId="0" hidden="1">{#N/A,#N/A,FALSE,"RIEP"}</definedName>
    <definedName name="cc" localSheetId="1" hidden="1">{#N/A,#N/A,FALSE,"RIEP"}</definedName>
    <definedName name="cc" hidden="1">{#N/A,#N/A,FALSE,"RIEP"}</definedName>
    <definedName name="ccc" localSheetId="0" hidden="1">{"SPM1",#N/A,FALSE,"RIEP"}</definedName>
    <definedName name="ccc" localSheetId="1" hidden="1">{"SPM1",#N/A,FALSE,"RIEP"}</definedName>
    <definedName name="ccc" hidden="1">{"SPM1",#N/A,FALSE,"RIEP"}</definedName>
    <definedName name="cccc" localSheetId="0" hidden="1">{"SPM1",#N/A,FALSE,"RIEP"}</definedName>
    <definedName name="cccc" localSheetId="1" hidden="1">{"SPM1",#N/A,FALSE,"RIEP"}</definedName>
    <definedName name="cccc" hidden="1">{"SPM1",#N/A,FALSE,"RIEP"}</definedName>
    <definedName name="CCSFDFRDF" localSheetId="0" hidden="1">{"SPM1",#N/A,FALSE,"RIEP"}</definedName>
    <definedName name="CCSFDFRDF" localSheetId="1" hidden="1">{"SPM1",#N/A,FALSE,"RIEP"}</definedName>
    <definedName name="CCSFDFRDF" hidden="1">{"SPM1",#N/A,FALSE,"RIEP"}</definedName>
    <definedName name="cdf" localSheetId="0" hidden="1">{"SPM1",#N/A,FALSE,"RIEP"}</definedName>
    <definedName name="cdf" localSheetId="1" hidden="1">{"SPM1",#N/A,FALSE,"RIEP"}</definedName>
    <definedName name="cdf" hidden="1">{"SPM1",#N/A,FALSE,"RIEP"}</definedName>
    <definedName name="CDVF" localSheetId="0" hidden="1">{"SPM1",#N/A,FALSE,"RIEP"}</definedName>
    <definedName name="CDVF" localSheetId="1" hidden="1">{"SPM1",#N/A,FALSE,"RIEP"}</definedName>
    <definedName name="CDVF" hidden="1">{"SPM1",#N/A,FALSE,"RIEP"}</definedName>
    <definedName name="copie" localSheetId="0" hidden="1">{#N/A,#N/A,TRUE,"ANALYSE";#N/A,#N/A,TRUE,"PM VOLUME";#N/A,#N/A,TRUE,"PM VALEUR";#N/A,#N/A,TRUE,"AR1";#N/A,#N/A,TRUE,"AR2";#N/A,#N/A,TRUE,"RAF";#N/A,#N/A,TRUE,"BILAN";#N/A,#N/A,TRUE,"CASH FLOW";#N/A,#N/A,TRUE,"ETAT FI"}</definedName>
    <definedName name="copie" localSheetId="1" hidden="1">{#N/A,#N/A,TRUE,"ANALYSE";#N/A,#N/A,TRUE,"PM VOLUME";#N/A,#N/A,TRUE,"PM VALEUR";#N/A,#N/A,TRUE,"AR1";#N/A,#N/A,TRUE,"AR2";#N/A,#N/A,TRUE,"RAF";#N/A,#N/A,TRUE,"BILAN";#N/A,#N/A,TRUE,"CASH FLOW";#N/A,#N/A,TRUE,"ETAT FI"}</definedName>
    <definedName name="copie" hidden="1">{#N/A,#N/A,TRUE,"ANALYSE";#N/A,#N/A,TRUE,"PM VOLUME";#N/A,#N/A,TRUE,"PM VALEUR";#N/A,#N/A,TRUE,"AR1";#N/A,#N/A,TRUE,"AR2";#N/A,#N/A,TRUE,"RAF";#N/A,#N/A,TRUE,"BILAN";#N/A,#N/A,TRUE,"CASH FLOW";#N/A,#N/A,TRUE,"ETAT FI"}</definedName>
    <definedName name="D" localSheetId="0" hidden="1">{#N/A,#N/A,FALSE,"RIEP"}</definedName>
    <definedName name="D" localSheetId="1" hidden="1">{#N/A,#N/A,FALSE,"RIEP"}</definedName>
    <definedName name="D" hidden="1">{#N/A,#N/A,FALSE,"RIEP"}</definedName>
    <definedName name="DAFreofè0eirfh" localSheetId="0" hidden="1">{"SPM1",#N/A,FALSE,"RIEP"}</definedName>
    <definedName name="DAFreofè0eirfh" localSheetId="1" hidden="1">{"SPM1",#N/A,FALSE,"RIEP"}</definedName>
    <definedName name="DAFreofè0eirfh" hidden="1">{"SPM1",#N/A,FALSE,"RIEP"}</definedName>
    <definedName name="dd">#REF!</definedName>
    <definedName name="DDD" localSheetId="0" hidden="1">{#N/A,#N/A,TRUE,"EC COMM-t";#N/A,#N/A,TRUE,"EC PAR PDTS-t";#N/A,#N/A,TRUE,"EC MAT-t";#N/A,#N/A,TRUE,"SUIVI HAUSSES-t"}</definedName>
    <definedName name="DDD" localSheetId="1" hidden="1">{#N/A,#N/A,TRUE,"EC COMM-t";#N/A,#N/A,TRUE,"EC PAR PDTS-t";#N/A,#N/A,TRUE,"EC MAT-t";#N/A,#N/A,TRUE,"SUIVI HAUSSES-t"}</definedName>
    <definedName name="DDD" hidden="1">{#N/A,#N/A,TRUE,"EC COMM-t";#N/A,#N/A,TRUE,"EC PAR PDTS-t";#N/A,#N/A,TRUE,"EC MAT-t";#N/A,#N/A,TRUE,"SUIVI HAUSSES-t"}</definedName>
    <definedName name="DDDDD" localSheetId="0" hidden="1">{"SPM1",#N/A,FALSE,"RIEP"}</definedName>
    <definedName name="DDDDD" localSheetId="1" hidden="1">{"SPM1",#N/A,FALSE,"RIEP"}</definedName>
    <definedName name="DDDDD" hidden="1">{"SPM1",#N/A,FALSE,"RIEP"}</definedName>
    <definedName name="ddddddd" localSheetId="0" hidden="1">{#N/A,#N/A,FALSE,"RIEP"}</definedName>
    <definedName name="ddddddd" localSheetId="1" hidden="1">{#N/A,#N/A,FALSE,"RIEP"}</definedName>
    <definedName name="ddddddd" hidden="1">{#N/A,#N/A,FALSE,"RIEP"}</definedName>
    <definedName name="ddjdjdj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djdjdj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fa" localSheetId="0" hidden="1">{"SPM1",#N/A,FALSE,"RIEP"}</definedName>
    <definedName name="dfa" localSheetId="1" hidden="1">{"SPM1",#N/A,FALSE,"RIEP"}</definedName>
    <definedName name="dfa" hidden="1">{"SPM1",#N/A,FALSE,"RIEP"}</definedName>
    <definedName name="DFda" localSheetId="0" hidden="1">{#N/A,#N/A,FALSE,"RIEP"}</definedName>
    <definedName name="DFda" localSheetId="1" hidden="1">{#N/A,#N/A,FALSE,"RIEP"}</definedName>
    <definedName name="DFda" hidden="1">{#N/A,#N/A,FALSE,"RIEP"}</definedName>
    <definedName name="DFRSFG" localSheetId="0" hidden="1">{"SPM1",#N/A,FALSE,"RIEP"}</definedName>
    <definedName name="DFRSFG" localSheetId="1" hidden="1">{"SPM1",#N/A,FALSE,"RIEP"}</definedName>
    <definedName name="DFRSFG" hidden="1">{"SPM1",#N/A,FALSE,"RIEP"}</definedName>
    <definedName name="djdjdjd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jdjdjd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jdjdj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qdqdqd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qdqdqd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qdqdq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RAGAN" localSheetId="0" hidden="1">{"'domaće količine'!$K$34:$P$47"}</definedName>
    <definedName name="DRAGAN" localSheetId="1" hidden="1">{"'domaće količine'!$K$34:$P$47"}</definedName>
    <definedName name="DRAGAN" hidden="1">{"'domaće količine'!$K$34:$P$47"}</definedName>
    <definedName name="draganć" localSheetId="0" hidden="1">{"'domaće količine'!$K$34:$P$47"}</definedName>
    <definedName name="draganć" localSheetId="1" hidden="1">{"'domaće količine'!$K$34:$P$47"}</definedName>
    <definedName name="draganć" hidden="1">{"'domaće količine'!$K$34:$P$47"}</definedName>
    <definedName name="DSFSDGFG" localSheetId="0" hidden="1">{"SPM1",#N/A,FALSE,"RIEP"}</definedName>
    <definedName name="DSFSDGFG" localSheetId="1" hidden="1">{"SPM1",#N/A,FALSE,"RIEP"}</definedName>
    <definedName name="DSFSDGFG" hidden="1">{"SPM1",#N/A,FALSE,"RIEP"}</definedName>
    <definedName name="dthrrr" localSheetId="0" hidden="1">{"SPM1",#N/A,FALSE,"RIEP"}</definedName>
    <definedName name="dthrrr" localSheetId="1" hidden="1">{"SPM1",#N/A,FALSE,"RIEP"}</definedName>
    <definedName name="dthrrr" hidden="1">{"SPM1",#N/A,FALSE,"RIEP"}</definedName>
    <definedName name="ECA" localSheetId="0" hidden="1">{#N/A,#N/A,FALSE,"ANALYSE";#N/A,#N/A,FALSE,"PM VALEUR"}</definedName>
    <definedName name="ECA" localSheetId="1" hidden="1">{#N/A,#N/A,FALSE,"ANALYSE";#N/A,#N/A,FALSE,"PM VALEUR"}</definedName>
    <definedName name="ECA" hidden="1">{#N/A,#N/A,FALSE,"ANALYSE";#N/A,#N/A,FALSE,"PM VALEUR"}</definedName>
    <definedName name="ECARTBM" localSheetId="0" hidden="1">{"DETAIL",#N/A,FALSE,"REELBUDGET";"TOTAL",#N/A,FALSE,"REELBUDGET"}</definedName>
    <definedName name="ECARTBM" localSheetId="1" hidden="1">{"DETAIL",#N/A,FALSE,"REELBUDGET";"TOTAL",#N/A,FALSE,"REELBUDGET"}</definedName>
    <definedName name="ECARTBM" hidden="1">{"DETAIL",#N/A,FALSE,"REELBUDGET";"TOTAL",#N/A,FALSE,"REELBUDGET"}</definedName>
    <definedName name="eeeee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ee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ee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rreerr" hidden="1">#REF!</definedName>
    <definedName name="efazefze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fazefz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faz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e" localSheetId="0" hidden="1">{"QQQ",#N/A,FALSE,"RIEP"}</definedName>
    <definedName name="ere" localSheetId="1" hidden="1">{"QQQ",#N/A,FALSE,"RIEP"}</definedName>
    <definedName name="ere" hidden="1">{"QQQ",#N/A,FALSE,"RIEP"}</definedName>
    <definedName name="ertetq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ssLatest">"JAN"</definedName>
    <definedName name="EssLatest_10">"JAN"</definedName>
    <definedName name="EssLatest_11">"JAN"</definedName>
    <definedName name="EssLatest_12">"JAN"</definedName>
    <definedName name="EssLatest_13">"JAN"</definedName>
    <definedName name="EssLatest_14">"JAN"</definedName>
    <definedName name="EssLatest_15">"JAN"</definedName>
    <definedName name="EssLatest_16">"JAN"</definedName>
    <definedName name="EssLatest_18">"JAN"</definedName>
    <definedName name="EssLatest_2">"JANN0"</definedName>
    <definedName name="EssLatest_20">"YTDMM01"</definedName>
    <definedName name="EssLatest_25">"YTDMM01"</definedName>
    <definedName name="EssLatest_26">"YTDMM01"</definedName>
    <definedName name="EssLatest_3">"JANN0"</definedName>
    <definedName name="EssLatest_38">"JAN"</definedName>
    <definedName name="EssLatest_39">"JAN"</definedName>
    <definedName name="EssLatest_4">"JANN0"</definedName>
    <definedName name="EssLatest_47">"JAN"</definedName>
    <definedName name="EssLatest_48">"JAN"</definedName>
    <definedName name="EssLatest_5">"JANN0"</definedName>
    <definedName name="EssLatest_6">"YTDMM01"</definedName>
    <definedName name="EssLatest_7">"YTDMM01"</definedName>
    <definedName name="EssLatest_8">"YTDMM01"</definedName>
    <definedName name="EssLatest_9">"JAN"</definedName>
    <definedName name="EssOptions_10">"A3000001100130001011001101020_01 00"</definedName>
    <definedName name="EssOptions_11">"A3000001100130001011001101020_01 00"</definedName>
    <definedName name="EssOptions_12">"A3000001100130001011001101020_01 00"</definedName>
    <definedName name="EssOptions_13">"A3000001100130001011001101020_01 00"</definedName>
    <definedName name="EssOptions_14">"A3000001100130001011001101020_01 00"</definedName>
    <definedName name="EssOptions_15">"A3000001100130001011001101020_01 00"</definedName>
    <definedName name="EssOptions_16">"A3000001100130001011001101020_01 00"</definedName>
    <definedName name="EssOptions_18">"A3000001100130001011001101020_01 00"</definedName>
    <definedName name="EssOptions_2">"A1100000010121000011001111120_01000"</definedName>
    <definedName name="EssOptions_20">"A3100000000110001011011111020_01000"</definedName>
    <definedName name="EssOptions_25">"A3100000000130000000011100020_01000"</definedName>
    <definedName name="EssOptions_26">"A3100000000110001011011111020_01000"</definedName>
    <definedName name="EssOptions_3">"A1100000010121000011001111120_01000"</definedName>
    <definedName name="EssOptions_38">"A1100000000131000011001101020_01000"</definedName>
    <definedName name="EssOptions_39">"A1100000000131000011001101020_01000"</definedName>
    <definedName name="EssOptions_4">"A1100000010121000011001111120_01000"</definedName>
    <definedName name="EssOptions_47">"A1100000000131000011001101020_01000"</definedName>
    <definedName name="EssOptions_48">"A1100000000131000011001101020_01000"</definedName>
    <definedName name="EssOptions_5">"A1100000010121000011001111120_01000"</definedName>
    <definedName name="EssOptions_6">"A3100000000110001011011111020_01000"</definedName>
    <definedName name="EssOptions_7">"A3100001100110001011011111020_01000"</definedName>
    <definedName name="EssOptions_8">"A3100000000110001011011111020_01000"</definedName>
    <definedName name="EssOptions_9">"A3000001100130001011001101020_01 00"</definedName>
    <definedName name="ESTEROPARAFF">#REF!</definedName>
    <definedName name="ESTEROPLAST">#REF!</definedName>
    <definedName name="ExactAddinConnection" hidden="1">"900"</definedName>
    <definedName name="ExactAddinConnection.900" hidden="1">"SRVSQLCZ;900;skubistova;1"</definedName>
    <definedName name="ExactAddinReports" hidden="1">1</definedName>
    <definedName name="EXCEL" localSheetId="0" hidden="1">{"'domaće količine'!$K$34:$P$47"}</definedName>
    <definedName name="EXCEL" localSheetId="1" hidden="1">{"'domaće količine'!$K$34:$P$47"}</definedName>
    <definedName name="EXCEL" hidden="1">{"'domaće količine'!$K$34:$P$47"}</definedName>
    <definedName name="ezfzef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zfz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z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azefzef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azefz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a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DSFDSGF" localSheetId="0" hidden="1">{#N/A,#N/A,FALSE,"RIEP"}</definedName>
    <definedName name="FDDSFDSGF" localSheetId="1" hidden="1">{#N/A,#N/A,FALSE,"RIEP"}</definedName>
    <definedName name="FDDSFDSGF" hidden="1">{#N/A,#N/A,FALSE,"RIEP"}</definedName>
    <definedName name="fdsdsgfsggd" localSheetId="0" hidden="1">{#N/A,#N/A,FALSE,"DIVISION";#N/A,#N/A,FALSE,"ED CAT";#N/A,#N/A,FALSE,"ED CAREL";#N/A,#N/A,FALSE,"ED JORT";#N/A,#N/A,FALSE,"ED VEYS";#N/A,#N/A,FALSE,"ED ORBEC";#N/A,#N/A,FALSE,"ED CLECY"}</definedName>
    <definedName name="fdsdsgfsggd" localSheetId="1" hidden="1">{#N/A,#N/A,FALSE,"DIVISION";#N/A,#N/A,FALSE,"ED CAT";#N/A,#N/A,FALSE,"ED CAREL";#N/A,#N/A,FALSE,"ED JORT";#N/A,#N/A,FALSE,"ED VEYS";#N/A,#N/A,FALSE,"ED ORBEC";#N/A,#N/A,FALSE,"ED CLECY"}</definedName>
    <definedName name="fdsdsgfsggd" hidden="1">{#N/A,#N/A,FALSE,"DIVISION";#N/A,#N/A,FALSE,"ED CAT";#N/A,#N/A,FALSE,"ED CAREL";#N/A,#N/A,FALSE,"ED JORT";#N/A,#N/A,FALSE,"ED VEYS";#N/A,#N/A,FALSE,"ED ORBEC";#N/A,#N/A,FALSE,"ED CLECY"}</definedName>
    <definedName name="fdzfzefzef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zfzefz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zf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ffffff" localSheetId="0" hidden="1">{"QQQ",#N/A,FALSE,"RIEP"}</definedName>
    <definedName name="ffffffffff" localSheetId="1" hidden="1">{"QQQ",#N/A,FALSE,"RIEP"}</definedName>
    <definedName name="ffffffffff" hidden="1">{"QQQ",#N/A,FALSE,"RIEP"}</definedName>
    <definedName name="fg" localSheetId="0" hidden="1">{#N/A,#N/A,FALSE,"RIEP"}</definedName>
    <definedName name="fg" localSheetId="1" hidden="1">{#N/A,#N/A,FALSE,"RIEP"}</definedName>
    <definedName name="fg" hidden="1">{#N/A,#N/A,FALSE,"RIEP"}</definedName>
    <definedName name="fgffg" localSheetId="0" hidden="1">{#N/A,#N/A,FALSE,"RIEP"}</definedName>
    <definedName name="fgffg" localSheetId="1" hidden="1">{#N/A,#N/A,FALSE,"RIEP"}</definedName>
    <definedName name="fgffg" hidden="1">{#N/A,#N/A,FALSE,"RIEP"}</definedName>
    <definedName name="FSDG" localSheetId="0" hidden="1">{#N/A,#N/A,FALSE,"RIEP"}</definedName>
    <definedName name="FSDG" localSheetId="1" hidden="1">{#N/A,#N/A,FALSE,"RIEP"}</definedName>
    <definedName name="FSDG" hidden="1">{#N/A,#N/A,FALSE,"RIEP"}</definedName>
    <definedName name="fterearez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tereare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tereare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BP">'[6]Nrj présentat°'!$AR$2</definedName>
    <definedName name="gegege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egeg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egeg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F" hidden="1">[7]ACTIVITE!#REF!</definedName>
    <definedName name="gfhkkmh" localSheetId="0" hidden="1">{#N/A,#N/A,FALSE,"RIEP"}</definedName>
    <definedName name="gfhkkmh" localSheetId="1" hidden="1">{#N/A,#N/A,FALSE,"RIEP"}</definedName>
    <definedName name="gfhkkmh" hidden="1">{#N/A,#N/A,FALSE,"RIEP"}</definedName>
    <definedName name="GG" hidden="1">[7]ACTIVITE!#REF!</definedName>
    <definedName name="GGGG" localSheetId="0" hidden="1">{"SPM1",#N/A,FALSE,"RIEP"}</definedName>
    <definedName name="GGGG" localSheetId="1" hidden="1">{"SPM1",#N/A,FALSE,"RIEP"}</definedName>
    <definedName name="GGGG" hidden="1">{"SPM1",#N/A,FALSE,"RIEP"}</definedName>
    <definedName name="ggggg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gggggg" localSheetId="0" hidden="1">{"QQQ",#N/A,FALSE,"RIEP"}</definedName>
    <definedName name="ggggggggggg" localSheetId="1" hidden="1">{"QQQ",#N/A,FALSE,"RIEP"}</definedName>
    <definedName name="ggggggggggg" hidden="1">{"QQQ",#N/A,FALSE,"RIEP"}</definedName>
    <definedName name="GHJ" localSheetId="0" hidden="1">{"SPM1",#N/A,FALSE,"RIEP"}</definedName>
    <definedName name="GHJ" localSheetId="1" hidden="1">{"SPM1",#N/A,FALSE,"RIEP"}</definedName>
    <definedName name="GHJ" hidden="1">{"SPM1",#N/A,FALSE,"RIEP"}</definedName>
    <definedName name="gsdgsd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sdgsd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sdgs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bhajx" localSheetId="0" hidden="1">{"SPM1",#N/A,FALSE,"RIEP"}</definedName>
    <definedName name="hbhajx" localSheetId="1" hidden="1">{"SPM1",#N/A,FALSE,"RIEP"}</definedName>
    <definedName name="hbhajx" hidden="1">{"SPM1",#N/A,FALSE,"RIEP"}</definedName>
    <definedName name="hfderfPOURE" localSheetId="0" hidden="1">{#N/A,#N/A,FALSE,"RIEP"}</definedName>
    <definedName name="hfderfPOURE" localSheetId="1" hidden="1">{#N/A,#N/A,FALSE,"RIEP"}</definedName>
    <definedName name="hfderfPOURE" hidden="1">{#N/A,#N/A,FALSE,"RIEP"}</definedName>
    <definedName name="hfhfth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fhfth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fhf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g" localSheetId="0" hidden="1">{"QQQ",#N/A,FALSE,"RIEP"}</definedName>
    <definedName name="hg" localSheetId="1" hidden="1">{"QQQ",#N/A,FALSE,"RIEP"}</definedName>
    <definedName name="hg" hidden="1">{"QQQ",#N/A,FALSE,"RIEP"}</definedName>
    <definedName name="hhfxhxfh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fxhxfh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fxhxf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hh" localSheetId="0" hidden="1">{"QQQ",#N/A,FALSE,"RIEP"}</definedName>
    <definedName name="hhhh" localSheetId="1" hidden="1">{"QQQ",#N/A,FALSE,"RIEP"}</definedName>
    <definedName name="hhhh" hidden="1">{"QQQ",#N/A,FALSE,"RIEP"}</definedName>
    <definedName name="hhhhhhh" localSheetId="0" hidden="1">{"SPM1",#N/A,FALSE,"RIEP"}</definedName>
    <definedName name="hhhhhhh" localSheetId="1" hidden="1">{"SPM1",#N/A,FALSE,"RIEP"}</definedName>
    <definedName name="hhhhhhh" hidden="1">{"SPM1",#N/A,FALSE,"RIEP"}</definedName>
    <definedName name="HTML_CodePage" hidden="1">1250</definedName>
    <definedName name="HTML_Control" localSheetId="0" hidden="1">{"'domaće količine'!$K$34:$P$47"}</definedName>
    <definedName name="HTML_Control" localSheetId="1" hidden="1">{"'domaće količine'!$K$34:$P$47"}</definedName>
    <definedName name="HTML_Control" hidden="1">{"'domaće količine'!$K$34:$P$47"}</definedName>
    <definedName name="HTML_Description" hidden="1">""</definedName>
    <definedName name="HTML_Email" hidden="1">""</definedName>
    <definedName name="HTML_Header" hidden="1">"domaće količine"</definedName>
    <definedName name="HTML_LastUpdate" hidden="1">"27.03.2001"</definedName>
    <definedName name="HTML_LineAfter" hidden="1">FALSE</definedName>
    <definedName name="HTML_LineBefore" hidden="1">FALSE</definedName>
    <definedName name="HTML_Name" hidden="1">"Informatika"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"Moja PRODAJA  II VELJAČA '2001"</definedName>
    <definedName name="hzthzhr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zthzh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zthzh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RI_WorkspaceId" hidden="1">"bc7b7ef8a7ba454b9c6b30466fcd76e0"</definedName>
    <definedName name="ITAPLASPIC">#REF!</definedName>
    <definedName name="IZVQ01" localSheetId="0" hidden="1">{"'domaće količine'!$K$34:$P$47"}</definedName>
    <definedName name="IZVQ01" localSheetId="1" hidden="1">{"'domaće količine'!$K$34:$P$47"}</definedName>
    <definedName name="IZVQ01" hidden="1">{"'domaće količine'!$K$34:$P$47"}</definedName>
    <definedName name="j" localSheetId="0" hidden="1">{"SPM1",#N/A,FALSE,"RIEP"}</definedName>
    <definedName name="j" localSheetId="1" hidden="1">{"SPM1",#N/A,FALSE,"RIEP"}</definedName>
    <definedName name="j" hidden="1">{"SPM1",#N/A,FALSE,"RIEP"}</definedName>
    <definedName name="jcjfjfjjf" localSheetId="0" hidden="1">{#N/A,#N/A,FALSE,"RIEP"}</definedName>
    <definedName name="jcjfjfjjf" localSheetId="1" hidden="1">{#N/A,#N/A,FALSE,"RIEP"}</definedName>
    <definedName name="jcjfjfjjf" hidden="1">{#N/A,#N/A,FALSE,"RIEP"}</definedName>
    <definedName name="jdjdjdj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djdjdj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ej" localSheetId="0" hidden="1">{#N/A,#N/A,TRUE,"EC COMM-t";#N/A,#N/A,TRUE,"EC PAR PDTS-t";#N/A,#N/A,TRUE,"EC MAT-t";#N/A,#N/A,TRUE,"SUIVI HAUSSES-t"}</definedName>
    <definedName name="jej" localSheetId="1" hidden="1">{#N/A,#N/A,TRUE,"EC COMM-t";#N/A,#N/A,TRUE,"EC PAR PDTS-t";#N/A,#N/A,TRUE,"EC MAT-t";#N/A,#N/A,TRUE,"SUIVI HAUSSES-t"}</definedName>
    <definedName name="jej" hidden="1">{#N/A,#N/A,TRUE,"EC COMM-t";#N/A,#N/A,TRUE,"EC PAR PDTS-t";#N/A,#N/A,TRUE,"EC MAT-t";#N/A,#N/A,TRUE,"SUIVI HAUSSES-t"}</definedName>
    <definedName name="jjfhfh" localSheetId="0" hidden="1">{"QQQ",#N/A,FALSE,"RIEP"}</definedName>
    <definedName name="jjfhfh" localSheetId="1" hidden="1">{"QQQ",#N/A,FALSE,"RIEP"}</definedName>
    <definedName name="jjfhfh" hidden="1">{"QQQ",#N/A,FALSE,"RIEP"}</definedName>
    <definedName name="jjj" localSheetId="0" hidden="1">{"SPM1",#N/A,FALSE,"RIEP"}</definedName>
    <definedName name="jjj" localSheetId="1" hidden="1">{"SPM1",#N/A,FALSE,"RIEP"}</definedName>
    <definedName name="jjj" hidden="1">{"SPM1",#N/A,FALSE,"RIEP"}</definedName>
    <definedName name="jjjjj" localSheetId="0" hidden="1">{"SPM1",#N/A,FALSE,"RIEP"}</definedName>
    <definedName name="jjjjj" localSheetId="1" hidden="1">{"SPM1",#N/A,FALSE,"RIEP"}</definedName>
    <definedName name="jjjjj" hidden="1">{"SPM1",#N/A,FALSE,"RIEP"}</definedName>
    <definedName name="kfkfkfk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fkkf" localSheetId="0" hidden="1">{#N/A,#N/A,FALSE,"RIEP"}</definedName>
    <definedName name="kfkfkfkfkkf" localSheetId="1" hidden="1">{#N/A,#N/A,FALSE,"RIEP"}</definedName>
    <definedName name="kfkfkfkfkkf" hidden="1">{#N/A,#N/A,FALSE,"RIEP"}</definedName>
    <definedName name="khkhkhk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hkhk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hkh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rirtir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rirti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rirti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jfsoyiupo6rhtgz" localSheetId="0" hidden="1">{#N/A,#N/A,FALSE,"RIEP"}</definedName>
    <definedName name="kjfsoyiupo6rhtgz" localSheetId="1" hidden="1">{#N/A,#N/A,FALSE,"RIEP"}</definedName>
    <definedName name="kjfsoyiupo6rhtgz" hidden="1">{#N/A,#N/A,FALSE,"RIEP"}</definedName>
    <definedName name="kjhjhkjh" localSheetId="0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kjhjhkjh" localSheetId="1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kjhjhkjh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kk" localSheetId="0" hidden="1">{#N/A,#N/A,FALSE,"RIEP"}</definedName>
    <definedName name="kk" localSheetId="1" hidden="1">{#N/A,#N/A,FALSE,"RIEP"}</definedName>
    <definedName name="kk" hidden="1">{#N/A,#N/A,FALSE,"RIEP"}</definedName>
    <definedName name="kkkkk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kkkk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LLL" localSheetId="0" hidden="1">{"QQQ",#N/A,FALSE,"RIEP"}</definedName>
    <definedName name="LLL" localSheetId="1" hidden="1">{"QQQ",#N/A,FALSE,"RIEP"}</definedName>
    <definedName name="LLL" hidden="1">{"QQQ",#N/A,FALSE,"RIEP"}</definedName>
    <definedName name="m" localSheetId="0" hidden="1">{"'domaće količine'!$K$34:$P$47"}</definedName>
    <definedName name="m" localSheetId="1" hidden="1">{"'domaće količine'!$K$34:$P$47"}</definedName>
    <definedName name="m" hidden="1">{"'domaće količine'!$K$34:$P$47"}</definedName>
    <definedName name="MARTESANA">#REF!</definedName>
    <definedName name="minnii" localSheetId="0" hidden="1">{"SPM1",#N/A,FALSE,"RIEP"}</definedName>
    <definedName name="minnii" localSheetId="1" hidden="1">{"SPM1",#N/A,FALSE,"RIEP"}</definedName>
    <definedName name="minnii" hidden="1">{"SPM1",#N/A,FALSE,"RIEP"}</definedName>
    <definedName name="MOIS">[8]Grille!$B$3:$C$14</definedName>
    <definedName name="Month_No.">7</definedName>
    <definedName name="nico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ico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ico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ñ" hidden="1">#REF!</definedName>
    <definedName name="ño" localSheetId="0" hidden="1">{"SPM1",#N/A,FALSE,"RIEP"}</definedName>
    <definedName name="ño" localSheetId="1" hidden="1">{"SPM1",#N/A,FALSE,"RIEP"}</definedName>
    <definedName name="ño" hidden="1">{"SPM1",#N/A,FALSE,"RIEP"}</definedName>
    <definedName name="ODRŽ." localSheetId="0" hidden="1">{"'domaće količine'!$K$34:$P$47"}</definedName>
    <definedName name="ODRŽ." localSheetId="1" hidden="1">{"'domaće količine'!$K$34:$P$47"}</definedName>
    <definedName name="ODRŽ." hidden="1">{"'domaće količine'!$K$34:$P$47"}</definedName>
    <definedName name="òflfgfppfpf" localSheetId="0" hidden="1">{"SPM1",#N/A,FALSE,"RIEP"}</definedName>
    <definedName name="òflfgfppfpf" localSheetId="1" hidden="1">{"SPM1",#N/A,FALSE,"RIEP"}</definedName>
    <definedName name="òflfgfppfpf" hidden="1">{"SPM1",#N/A,FALSE,"RIEP"}</definedName>
    <definedName name="OIOIIUIUG" localSheetId="0" hidden="1">{"SPM1",#N/A,FALSE,"RIEP"}</definedName>
    <definedName name="OIOIIUIUG" localSheetId="1" hidden="1">{"SPM1",#N/A,FALSE,"RIEP"}</definedName>
    <definedName name="OIOIIUIUG" hidden="1">{"SPM1",#N/A,FALSE,"RIEP"}</definedName>
    <definedName name="ooo" localSheetId="0" hidden="1">{"QQQ",#N/A,FALSE,"RIEP"}</definedName>
    <definedName name="ooo" localSheetId="1" hidden="1">{"QQQ",#N/A,FALSE,"RIEP"}</definedName>
    <definedName name="ooo" hidden="1">{"QQQ",#N/A,FALSE,"RIEP"}</definedName>
    <definedName name="oooooo" localSheetId="0" hidden="1">{#N/A,#N/A,FALSE,"RIEP"}</definedName>
    <definedName name="oooooo" localSheetId="1" hidden="1">{#N/A,#N/A,FALSE,"RIEP"}</definedName>
    <definedName name="oooooo" hidden="1">{#N/A,#N/A,FALSE,"RIEP"}</definedName>
    <definedName name="P_HostName">#REF!</definedName>
    <definedName name="P_ServerName">#REF!</definedName>
    <definedName name="pippo" localSheetId="0" hidden="1">{#N/A,#N/A,FALSE,"RIEP"}</definedName>
    <definedName name="pippo" localSheetId="1" hidden="1">{#N/A,#N/A,FALSE,"RIEP"}</definedName>
    <definedName name="pippo" hidden="1">{#N/A,#N/A,FALSE,"RIEP"}</definedName>
    <definedName name="pluto" localSheetId="0" hidden="1">{"SPM1",#N/A,FALSE,"RIEP"}</definedName>
    <definedName name="pluto" localSheetId="1" hidden="1">{"SPM1",#N/A,FALSE,"RIEP"}</definedName>
    <definedName name="pluto" hidden="1">{"SPM1",#N/A,FALSE,"RIEP"}</definedName>
    <definedName name="PO" localSheetId="0" hidden="1">{"QQQ",#N/A,FALSE,"RIEP"}</definedName>
    <definedName name="PO" localSheetId="1" hidden="1">{"QQQ",#N/A,FALSE,"RIEP"}</definedName>
    <definedName name="PO" hidden="1">{"QQQ",#N/A,FALSE,"RIEP"}</definedName>
    <definedName name="poùH" localSheetId="0" hidden="1">{#N/A,#N/A,FALSE,"RIEP"}</definedName>
    <definedName name="poùH" localSheetId="1" hidden="1">{#N/A,#N/A,FALSE,"RIEP"}</definedName>
    <definedName name="poùH" hidden="1">{#N/A,#N/A,FALSE,"RIEP"}</definedName>
    <definedName name="ppp" localSheetId="0" hidden="1">{"QQQ",#N/A,FALSE,"RIEP"}</definedName>
    <definedName name="ppp" localSheetId="1" hidden="1">{"QQQ",#N/A,FALSE,"RIEP"}</definedName>
    <definedName name="ppp" hidden="1">{"QQQ",#N/A,FALSE,"RIEP"}</definedName>
    <definedName name="PROD." localSheetId="0" hidden="1">{"'domaće količine'!$K$34:$P$47"}</definedName>
    <definedName name="PROD." localSheetId="1" hidden="1">{"'domaće količine'!$K$34:$P$47"}</definedName>
    <definedName name="PROD." hidden="1">{"'domaće količine'!$K$34:$P$47"}</definedName>
    <definedName name="prw" localSheetId="0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prw" localSheetId="1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prw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QQQQQQQQQQQQ" localSheetId="0" hidden="1">{#N/A,#N/A,FALSE,"RIEP"}</definedName>
    <definedName name="QQQQQQQQQQQQ" localSheetId="1" hidden="1">{#N/A,#N/A,FALSE,"RIEP"}</definedName>
    <definedName name="QQQQQQQQQQQQ" hidden="1">{#N/A,#N/A,FALSE,"RIEP"}</definedName>
    <definedName name="qw" localSheetId="0" hidden="1">{#N/A,#N/A,FALSE,"RIEP"}</definedName>
    <definedName name="qw" localSheetId="1" hidden="1">{#N/A,#N/A,FALSE,"RIEP"}</definedName>
    <definedName name="qw" hidden="1">{#N/A,#N/A,FALSE,"RIEP"}</definedName>
    <definedName name="reter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ete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et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geegeqg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geegeq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geegeq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eqtq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eqtq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eq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a" hidden="1">#REF!</definedName>
    <definedName name="SAPBEXrevision" hidden="1">3</definedName>
    <definedName name="SAPBEXsysID" hidden="1">"BPP"</definedName>
    <definedName name="SAPBEXwbID" hidden="1">"4GNIIN8XAB6OYSDJFHQ7XQLUA"</definedName>
    <definedName name="sd" localSheetId="0" hidden="1">{"SPM1",#N/A,FALSE,"RIEP"}</definedName>
    <definedName name="sd" localSheetId="1" hidden="1">{"SPM1",#N/A,FALSE,"RIEP"}</definedName>
    <definedName name="sd" hidden="1">{"SPM1",#N/A,FALSE,"RIEP"}</definedName>
    <definedName name="SDFDSJF" localSheetId="0" hidden="1">{#N/A,#N/A,FALSE,"RIEP"}</definedName>
    <definedName name="SDFDSJF" localSheetId="1" hidden="1">{#N/A,#N/A,FALSE,"RIEP"}</definedName>
    <definedName name="SDFDSJF" hidden="1">{#N/A,#N/A,FALSE,"RIEP"}</definedName>
    <definedName name="sdsd" localSheetId="0" hidden="1">{"SPM1",#N/A,FALSE,"RIEP"}</definedName>
    <definedName name="sdsd" localSheetId="1" hidden="1">{"SPM1",#N/A,FALSE,"RIEP"}</definedName>
    <definedName name="sdsd" hidden="1">{"SPM1",#N/A,FALSE,"RIEP"}</definedName>
    <definedName name="SEDSDS" localSheetId="0" hidden="1">{#N/A,#N/A,FALSE,"RIEP"}</definedName>
    <definedName name="SEDSDS" localSheetId="1" hidden="1">{#N/A,#N/A,FALSE,"RIEP"}</definedName>
    <definedName name="SEDSDS" hidden="1">{#N/A,#N/A,FALSE,"RIEP"}</definedName>
    <definedName name="sencount" hidden="1">1</definedName>
    <definedName name="SSSADADSF" localSheetId="0" hidden="1">{"SPM1",#N/A,FALSE,"RIEP"}</definedName>
    <definedName name="SSSADADSF" localSheetId="1" hidden="1">{"SPM1",#N/A,FALSE,"RIEP"}</definedName>
    <definedName name="SSSADADSF" hidden="1">{"SPM1",#N/A,FALSE,"RIEP"}</definedName>
    <definedName name="ssss" hidden="1">#REF!</definedName>
    <definedName name="sssssss" localSheetId="0" hidden="1">{#N/A,#N/A,FALSE,"RIEP"}</definedName>
    <definedName name="sssssss" localSheetId="1" hidden="1">{#N/A,#N/A,FALSE,"RIEP"}</definedName>
    <definedName name="sssssss" hidden="1">{#N/A,#N/A,FALSE,"RIEP"}</definedName>
    <definedName name="ssssssssssssssssssssssssss" localSheetId="0" hidden="1">{"QQQ",#N/A,FALSE,"RIEP"}</definedName>
    <definedName name="ssssssssssssssssssssssssss" localSheetId="1" hidden="1">{"QQQ",#N/A,FALSE,"RIEP"}</definedName>
    <definedName name="ssssssssssssssssssssssssss" hidden="1">{"QQQ",#N/A,FALSE,"RIEP"}</definedName>
    <definedName name="stsrhs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tsrhs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tsrhs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weden" localSheetId="0" hidden="1">{#N/A,#N/A,FALSE,"RIEP"}</definedName>
    <definedName name="Sweden" localSheetId="1" hidden="1">{#N/A,#N/A,FALSE,"RIEP"}</definedName>
    <definedName name="Sweden" hidden="1">{#N/A,#N/A,FALSE,"RIEP"}</definedName>
    <definedName name="t" localSheetId="0" hidden="1">{"QQQ",#N/A,FALSE,"RIEP"}</definedName>
    <definedName name="t" localSheetId="1" hidden="1">{"QQQ",#N/A,FALSE,"RIEP"}</definedName>
    <definedName name="t" hidden="1">{"QQQ",#N/A,FALSE,"RIEP"}</definedName>
    <definedName name="T04CC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04CC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04CC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79oto97t" localSheetId="0" hidden="1">{#N/A,#N/A,FALSE,"RIEP"}</definedName>
    <definedName name="t79oto97t" localSheetId="1" hidden="1">{#N/A,#N/A,FALSE,"RIEP"}</definedName>
    <definedName name="t79oto97t" hidden="1">{#N/A,#N/A,FALSE,"RIEP"}</definedName>
    <definedName name="t7u74u" localSheetId="0" hidden="1">{"QQQ",#N/A,FALSE,"RIEP"}</definedName>
    <definedName name="t7u74u" localSheetId="1" hidden="1">{"QQQ",#N/A,FALSE,"RIEP"}</definedName>
    <definedName name="t7u74u" hidden="1">{"QQQ",#N/A,FALSE,"RIEP"}</definedName>
    <definedName name="t7u75" localSheetId="0" hidden="1">{"SPM1",#N/A,FALSE,"RIEP"}</definedName>
    <definedName name="t7u75" localSheetId="1" hidden="1">{"SPM1",#N/A,FALSE,"RIEP"}</definedName>
    <definedName name="t7u75" hidden="1">{"SPM1",#N/A,FALSE,"RIEP"}</definedName>
    <definedName name="t7ur7u" localSheetId="0" hidden="1">{#N/A,#N/A,FALSE,"RIEP"}</definedName>
    <definedName name="t7ur7u" localSheetId="1" hidden="1">{#N/A,#N/A,FALSE,"RIEP"}</definedName>
    <definedName name="t7ur7u" hidden="1">{#N/A,#N/A,FALSE,"RIEP"}</definedName>
    <definedName name="tgfcvds" localSheetId="0" hidden="1">{#N/A,#N/A,FALSE,"RIEP"}</definedName>
    <definedName name="tgfcvds" localSheetId="1" hidden="1">{#N/A,#N/A,FALSE,"RIEP"}</definedName>
    <definedName name="tgfcvds" hidden="1">{#N/A,#N/A,FALSE,"RIEP"}</definedName>
    <definedName name="tgrgg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rg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r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ikl679o679o" localSheetId="0" hidden="1">{#N/A,#N/A,FALSE,"RIEP"}</definedName>
    <definedName name="tikl679o679o" localSheetId="1" hidden="1">{#N/A,#N/A,FALSE,"RIEP"}</definedName>
    <definedName name="tikl679o679o" hidden="1">{#N/A,#N/A,FALSE,"RIEP"}</definedName>
    <definedName name="TM1REBUILDOPTION">0</definedName>
    <definedName name="toma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oma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om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rjk5i57" localSheetId="0" hidden="1">{"SPM1",#N/A,FALSE,"RIEP"}</definedName>
    <definedName name="trjk5i57" localSheetId="1" hidden="1">{"SPM1",#N/A,FALSE,"RIEP"}</definedName>
    <definedName name="trjk5i57" hidden="1">{"SPM1",#N/A,FALSE,"RIEP"}</definedName>
    <definedName name="t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yiltu9ol" localSheetId="0" hidden="1">{"QQQ",#N/A,FALSE,"RIEP"}</definedName>
    <definedName name="tyiltu9ol" localSheetId="1" hidden="1">{"QQQ",#N/A,FALSE,"RIEP"}</definedName>
    <definedName name="tyiltu9ol" hidden="1">{"QQQ",#N/A,FALSE,"RIEP"}</definedName>
    <definedName name="ugkj" localSheetId="0" hidden="1">{"QQQ",#N/A,FALSE,"RIEP"}</definedName>
    <definedName name="ugkj" localSheetId="1" hidden="1">{"QQQ",#N/A,FALSE,"RIEP"}</definedName>
    <definedName name="ugkj" hidden="1">{"QQQ",#N/A,FALSE,"RIEP"}</definedName>
    <definedName name="ukkkk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kkkk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SD">'[6]Nrj présentat°'!$AR$3</definedName>
    <definedName name="uttkjg" localSheetId="0" hidden="1">{"QQQ",#N/A,FALSE,"RIEP"}</definedName>
    <definedName name="uttkjg" localSheetId="1" hidden="1">{"QQQ",#N/A,FALSE,"RIEP"}</definedName>
    <definedName name="uttkjg" hidden="1">{"QQQ",#N/A,FALSE,"RIEP"}</definedName>
    <definedName name="uuuu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6uyjyu" localSheetId="0" hidden="1">{#N/A,#N/A,FALSE,"RIEP"}</definedName>
    <definedName name="v6uyjyu" localSheetId="1" hidden="1">{#N/A,#N/A,FALSE,"RIEP"}</definedName>
    <definedName name="v6uyjyu" hidden="1">{#N/A,#N/A,FALSE,"RIEP"}</definedName>
    <definedName name="vcbbxb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cbbxb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cbbxb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vvv" localSheetId="0" hidden="1">{"QQQ",#N/A,FALSE,"RIEP"}</definedName>
    <definedName name="vvvv" localSheetId="1" hidden="1">{"QQQ",#N/A,FALSE,"RIEP"}</definedName>
    <definedName name="vvvv" hidden="1">{"QQQ",#N/A,FALSE,"RIEP"}</definedName>
    <definedName name="vvvvbbbb" localSheetId="0" hidden="1">{#N/A,#N/A,FALSE,"RIEP"}</definedName>
    <definedName name="vvvvbbbb" localSheetId="1" hidden="1">{#N/A,#N/A,FALSE,"RIEP"}</definedName>
    <definedName name="vvvvbbbb" hidden="1">{#N/A,#N/A,FALSE,"RIEP"}</definedName>
    <definedName name="vvvvvv" localSheetId="0" hidden="1">{#N/A,#N/A,FALSE,"RIEP"}</definedName>
    <definedName name="vvvvvv" localSheetId="1" hidden="1">{#N/A,#N/A,FALSE,"RIEP"}</definedName>
    <definedName name="vvvvvv" hidden="1">{#N/A,#N/A,FALSE,"RIEP"}</definedName>
    <definedName name="vvvvvvvv" localSheetId="0" hidden="1">{"SPM1",#N/A,FALSE,"RIEP"}</definedName>
    <definedName name="vvvvvvvv" localSheetId="1" hidden="1">{"SPM1",#N/A,FALSE,"RIEP"}</definedName>
    <definedName name="vvvvvvvv" hidden="1">{"SPM1",#N/A,FALSE,"RIEP"}</definedName>
    <definedName name="w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e" localSheetId="0" hidden="1">{"SPM1",#N/A,FALSE,"RIEP"}</definedName>
    <definedName name="we" localSheetId="1" hidden="1">{"SPM1",#N/A,FALSE,"RIEP"}</definedName>
    <definedName name="we" hidden="1">{"SPM1",#N/A,FALSE,"RIEP"}</definedName>
    <definedName name="wer" localSheetId="0" hidden="1">{#N/A,#N/A,FALSE,"ANALYSE";#N/A,#N/A,FALSE,"PM VALEUR"}</definedName>
    <definedName name="wer" localSheetId="1" hidden="1">{#N/A,#N/A,FALSE,"ANALYSE";#N/A,#N/A,FALSE,"PM VALEUR"}</definedName>
    <definedName name="wer" hidden="1">{#N/A,#N/A,FALSE,"ANALYSE";#N/A,#N/A,FALSE,"PM VALEUR"}</definedName>
    <definedName name="wetrwrt" localSheetId="0" hidden="1">{"QQQ",#N/A,FALSE,"RIEP"}</definedName>
    <definedName name="wetrwrt" localSheetId="1" hidden="1">{"QQQ",#N/A,FALSE,"RIEP"}</definedName>
    <definedName name="wetrwrt" hidden="1">{"QQQ",#N/A,FALSE,"RIEP"}</definedName>
    <definedName name="wewe" localSheetId="0" hidden="1">{"SPM1",#N/A,FALSE,"RIEP"}</definedName>
    <definedName name="wewe" localSheetId="1" hidden="1">{"SPM1",#N/A,FALSE,"RIEP"}</definedName>
    <definedName name="wewe" hidden="1">{"SPM1",#N/A,FALSE,"RIEP"}</definedName>
    <definedName name="wrn.CCC." localSheetId="0" hidden="1">{"QQQ",#N/A,FALSE,"RIEP"}</definedName>
    <definedName name="wrn.CCC." localSheetId="1" hidden="1">{"QQQ",#N/A,FALSE,"RIEP"}</definedName>
    <definedName name="wrn.CCC." hidden="1">{"QQQ",#N/A,FALSE,"RIEP"}</definedName>
    <definedName name="wrn.Charges." localSheetId="0" hidden="1">{"Analyse charges",#N/A,FALSE,"Feuil1 (2)"}</definedName>
    <definedName name="wrn.Charges." localSheetId="1" hidden="1">{"Analyse charges",#N/A,FALSE,"Feuil1 (2)"}</definedName>
    <definedName name="wrn.Charges." hidden="1">{"Analyse charges",#N/A,FALSE,"Feuil1 (2)"}</definedName>
    <definedName name="wrn.Charges._.Clécy." localSheetId="0" hidden="1">{#N/A,#N/A,FALSE,"Evol98";#N/A,#N/A,FALSE,"Saisie98"}</definedName>
    <definedName name="wrn.Charges._.Clécy." localSheetId="1" hidden="1">{#N/A,#N/A,FALSE,"Evol98";#N/A,#N/A,FALSE,"Saisie98"}</definedName>
    <definedName name="wrn.Charges._.Clécy." hidden="1">{#N/A,#N/A,FALSE,"Evol98";#N/A,#N/A,FALSE,"Saisie98"}</definedName>
    <definedName name="wrn.CLECY." localSheetId="0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LECY." localSheetId="1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LECY.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NQGLOBAL." localSheetId="0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NQGLOBAL." localSheetId="1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NQGLOBAL.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OMMENTAIRES." localSheetId="0" hidden="1">{#N/A,#N/A,FALSE,"EC COMM-c";#N/A,#N/A,FALSE,"EC PAR PDTS-c";#N/A,#N/A,FALSE,"EC MAT-c";#N/A,#N/A,FALSE,"SUIVI HAUSSES-c"}</definedName>
    <definedName name="wrn.COMMENTAIRES." localSheetId="1" hidden="1">{#N/A,#N/A,FALSE,"EC COMM-c";#N/A,#N/A,FALSE,"EC PAR PDTS-c";#N/A,#N/A,FALSE,"EC MAT-c";#N/A,#N/A,FALSE,"SUIVI HAUSSES-c"}</definedName>
    <definedName name="wrn.COMMENTAIRES." hidden="1">{#N/A,#N/A,FALSE,"EC COMM-c";#N/A,#N/A,FALSE,"EC PAR PDTS-c";#N/A,#N/A,FALSE,"EC MAT-c";#N/A,#N/A,FALSE,"SUIVI HAUSSES-c"}</definedName>
    <definedName name="wrn.Complet." localSheetId="0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omplet." localSheetId="1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omplet.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UMUL." localSheetId="0" hidden="1">{#N/A,#N/A,FALSE,"recap";#N/A,#N/A,FALSE,"matNeuf";#N/A,#N/A,FALSE,"matNdie";#N/A,#N/A,FALSE,"incNeuf";#N/A,#N/A,FALSE,"incNdie";#N/A,#N/A,FALSE,"volume";#N/A,#N/A,FALSE,"emballage";#N/A,#N/A,FALSE,"charge"}</definedName>
    <definedName name="wrn.CUMUL." localSheetId="1" hidden="1">{#N/A,#N/A,FALSE,"recap";#N/A,#N/A,FALSE,"matNeuf";#N/A,#N/A,FALSE,"matNdie";#N/A,#N/A,FALSE,"incNeuf";#N/A,#N/A,FALSE,"incNdie";#N/A,#N/A,FALSE,"volume";#N/A,#N/A,FALSE,"emballage";#N/A,#N/A,FALSE,"charge"}</definedName>
    <definedName name="wrn.CUMUL." hidden="1">{#N/A,#N/A,FALSE,"recap";#N/A,#N/A,FALSE,"matNeuf";#N/A,#N/A,FALSE,"matNdie";#N/A,#N/A,FALSE,"incNeuf";#N/A,#N/A,FALSE,"incNdie";#N/A,#N/A,FALSE,"volume";#N/A,#N/A,FALSE,"emballage";#N/A,#N/A,FALSE,"charge"}</definedName>
    <definedName name="wrn.EDITION." localSheetId="0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wrn.EDITION." localSheetId="1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wrn.EDITION.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wrn.ex." localSheetId="0" hidden="1">{#N/A,#N/A,FALSE,"ANALYSE";#N/A,#N/A,FALSE,"PM VALEUR"}</definedName>
    <definedName name="wrn.ex." localSheetId="1" hidden="1">{#N/A,#N/A,FALSE,"ANALYSE";#N/A,#N/A,FALSE,"PM VALEUR"}</definedName>
    <definedName name="wrn.ex." hidden="1">{#N/A,#N/A,FALSE,"ANALYSE";#N/A,#N/A,FALSE,"PM VALEUR"}</definedName>
    <definedName name="wrn.Impression._.totale." localSheetId="0" hidden="1">{"Analyse charges",#N/A,FALSE,"Feuil1 (2)";"Ratios activités",#N/A,FALSE,"Feuil1 (2)";"Indicateurs",#N/A,FALSE,"Feuil1 (2)"}</definedName>
    <definedName name="wrn.Impression._.totale." localSheetId="1" hidden="1">{"Analyse charges",#N/A,FALSE,"Feuil1 (2)";"Ratios activités",#N/A,FALSE,"Feuil1 (2)";"Indicateurs",#N/A,FALSE,"Feuil1 (2)"}</definedName>
    <definedName name="wrn.Impression._.totale." hidden="1">{"Analyse charges",#N/A,FALSE,"Feuil1 (2)";"Ratios activités",#N/A,FALSE,"Feuil1 (2)";"Indicateurs",#N/A,FALSE,"Feuil1 (2)"}</definedName>
    <definedName name="wrn.Indicateurs." localSheetId="0" hidden="1">{"Indicateurs",#N/A,FALSE,"Feuil1 (2)"}</definedName>
    <definedName name="wrn.Indicateurs." localSheetId="1" hidden="1">{"Indicateurs",#N/A,FALSE,"Feuil1 (2)"}</definedName>
    <definedName name="wrn.Indicateurs." hidden="1">{"Indicateurs",#N/A,FALSE,"Feuil1 (2)"}</definedName>
    <definedName name="wrn.MENSUEL." localSheetId="0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ENSUEL." localSheetId="1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ENSUEL.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OYENNE." localSheetId="0" hidden="1">{#N/A,#N/A,FALSE,"recap";#N/A,#N/A,FALSE,"matNeuf";#N/A,#N/A,FALSE,"matNdie";#N/A,#N/A,FALSE,"incNeuf";#N/A,#N/A,FALSE,"incNdie";#N/A,#N/A,FALSE,"volume";#N/A,#N/A,FALSE,"emballage";#N/A,#N/A,FALSE,"charge"}</definedName>
    <definedName name="wrn.MOYENNE." localSheetId="1" hidden="1">{#N/A,#N/A,FALSE,"recap";#N/A,#N/A,FALSE,"matNeuf";#N/A,#N/A,FALSE,"matNdie";#N/A,#N/A,FALSE,"incNeuf";#N/A,#N/A,FALSE,"incNdie";#N/A,#N/A,FALSE,"volume";#N/A,#N/A,FALSE,"emballage";#N/A,#N/A,FALSE,"charge"}</definedName>
    <definedName name="wrn.MOYENNE." hidden="1">{#N/A,#N/A,FALSE,"recap";#N/A,#N/A,FALSE,"matNeuf";#N/A,#N/A,FALSE,"matNdie";#N/A,#N/A,FALSE,"incNeuf";#N/A,#N/A,FALSE,"incNdie";#N/A,#N/A,FALSE,"volume";#N/A,#N/A,FALSE,"emballage";#N/A,#N/A,FALSE,"charge"}</definedName>
    <definedName name="wrn.novgl.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novgl.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novgl.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Ratios." localSheetId="0" hidden="1">{"Ratios activités",#N/A,FALSE,"Feuil1 (2)"}</definedName>
    <definedName name="wrn.Ratios." localSheetId="1" hidden="1">{"Ratios activités",#N/A,FALSE,"Feuil1 (2)"}</definedName>
    <definedName name="wrn.Ratios." hidden="1">{"Ratios activités",#N/A,FALSE,"Feuil1 (2)"}</definedName>
    <definedName name="wrn.REELBUD." localSheetId="0" hidden="1">{"DETAIL",#N/A,FALSE,"REELBUDGET";"TOTAL",#N/A,FALSE,"REELBUDGET"}</definedName>
    <definedName name="wrn.REELBUD." localSheetId="1" hidden="1">{"DETAIL",#N/A,FALSE,"REELBUDGET";"TOTAL",#N/A,FALSE,"REELBUDGET"}</definedName>
    <definedName name="wrn.REELBUD." hidden="1">{"DETAIL",#N/A,FALSE,"REELBUDGET";"TOTAL",#N/A,FALSE,"REELBUDGET"}</definedName>
    <definedName name="wrn.Résultat." localSheetId="0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Résultat." localSheetId="1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Résultat.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SPA1." localSheetId="0" hidden="1">{#N/A,#N/A,FALSE,"RIEP"}</definedName>
    <definedName name="wrn.SPA1." localSheetId="1" hidden="1">{#N/A,#N/A,FALSE,"RIEP"}</definedName>
    <definedName name="wrn.SPA1." hidden="1">{#N/A,#N/A,FALSE,"RIEP"}</definedName>
    <definedName name="wrn.SPM1." localSheetId="0" hidden="1">{"SPM1",#N/A,FALSE,"RIEP"}</definedName>
    <definedName name="wrn.SPM1." localSheetId="1" hidden="1">{"SPM1",#N/A,FALSE,"RIEP"}</definedName>
    <definedName name="wrn.SPM1." hidden="1">{"SPM1",#N/A,FALSE,"RIEP"}</definedName>
    <definedName name="wrn.SYNTHESE." localSheetId="0" hidden="1">{#N/A,#N/A,TRUE,"ANALYSE";#N/A,#N/A,TRUE,"PM VOLUME";#N/A,#N/A,TRUE,"PM VALEUR";#N/A,#N/A,TRUE,"AR1";#N/A,#N/A,TRUE,"AR2";#N/A,#N/A,TRUE,"RAF";#N/A,#N/A,TRUE,"BILAN";#N/A,#N/A,TRUE,"CASH FLOW";#N/A,#N/A,TRUE,"ETAT FI"}</definedName>
    <definedName name="wrn.SYNTHESE." localSheetId="1" hidden="1">{#N/A,#N/A,TRUE,"ANALYSE";#N/A,#N/A,TRUE,"PM VOLUME";#N/A,#N/A,TRUE,"PM VALEUR";#N/A,#N/A,TRUE,"AR1";#N/A,#N/A,TRUE,"AR2";#N/A,#N/A,TRUE,"RAF";#N/A,#N/A,TRUE,"BILAN";#N/A,#N/A,TRUE,"CASH FLOW";#N/A,#N/A,TRUE,"ETAT FI"}</definedName>
    <definedName name="wrn.SYNTHESE." hidden="1">{#N/A,#N/A,TRUE,"ANALYSE";#N/A,#N/A,TRUE,"PM VOLUME";#N/A,#N/A,TRUE,"PM VALEUR";#N/A,#N/A,TRUE,"AR1";#N/A,#N/A,TRUE,"AR2";#N/A,#N/A,TRUE,"RAF";#N/A,#N/A,TRUE,"BILAN";#N/A,#N/A,TRUE,"CASH FLOW";#N/A,#N/A,TRUE,"ETAT FI"}</definedName>
    <definedName name="wrn.TABLEAUX." localSheetId="0" hidden="1">{#N/A,#N/A,TRUE,"EC COMM-t";#N/A,#N/A,TRUE,"EC PAR PDTS-t";#N/A,#N/A,TRUE,"EC MAT-t";#N/A,#N/A,TRUE,"SUIVI HAUSSES-t"}</definedName>
    <definedName name="wrn.TABLEAUX." localSheetId="1" hidden="1">{#N/A,#N/A,TRUE,"EC COMM-t";#N/A,#N/A,TRUE,"EC PAR PDTS-t";#N/A,#N/A,TRUE,"EC MAT-t";#N/A,#N/A,TRUE,"SUIVI HAUSSES-t"}</definedName>
    <definedName name="wrn.TABLEAUX." hidden="1">{#N/A,#N/A,TRUE,"EC COMM-t";#N/A,#N/A,TRUE,"EC PAR PDTS-t";#N/A,#N/A,TRUE,"EC MAT-t";#N/A,#N/A,TRUE,"SUIVI HAUSSES-t"}</definedName>
    <definedName name="wrn1.CCC." localSheetId="0" hidden="1">{"QQQ",#N/A,FALSE,"RIEP"}</definedName>
    <definedName name="wrn1.CCC." localSheetId="1" hidden="1">{"QQQ",#N/A,FALSE,"RIEP"}</definedName>
    <definedName name="wrn1.CCC." hidden="1">{"QQQ",#N/A,FALSE,"RIEP"}</definedName>
    <definedName name="wwww" localSheetId="0" hidden="1">{#N/A,#N/A,FALSE,"RIEP"}</definedName>
    <definedName name="wwww" localSheetId="1" hidden="1">{#N/A,#N/A,FALSE,"RIEP"}</definedName>
    <definedName name="wwww" hidden="1">{#N/A,#N/A,FALSE,"RIEP"}</definedName>
    <definedName name="wwwwww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wwwwww" localSheetId="0" hidden="1">{"QQQ",#N/A,FALSE,"RIEP"}</definedName>
    <definedName name="wwwwwwwwwwww" localSheetId="1" hidden="1">{"QQQ",#N/A,FALSE,"RIEP"}</definedName>
    <definedName name="wwwwwwwwwwww" hidden="1">{"QQQ",#N/A,FALSE,"RIEP"}</definedName>
    <definedName name="ybukkbyitkituk" localSheetId="0" hidden="1">{#N/A,#N/A,FALSE,"RIEP"}</definedName>
    <definedName name="ybukkbyitkituk" localSheetId="1" hidden="1">{#N/A,#N/A,FALSE,"RIEP"}</definedName>
    <definedName name="ybukkbyitkituk" hidden="1">{#N/A,#N/A,FALSE,"RIEP"}</definedName>
    <definedName name="yertyyyy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rtyyyy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rt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rnukuilky8u" localSheetId="0" hidden="1">{"QQQ",#N/A,FALSE,"RIEP"}</definedName>
    <definedName name="yrnukuilky8u" localSheetId="1" hidden="1">{"QQQ",#N/A,FALSE,"RIEP"}</definedName>
    <definedName name="yrnukuilky8u" hidden="1">{"QQQ",#N/A,FALSE,"RIEP"}</definedName>
    <definedName name="YY" localSheetId="0" hidden="1">{#N/A,#N/A,FALSE,"RIEP"}</definedName>
    <definedName name="YY" localSheetId="1" hidden="1">{#N/A,#N/A,FALSE,"RIEP"}</definedName>
    <definedName name="YY" hidden="1">{#N/A,#N/A,FALSE,"RIEP"}</definedName>
    <definedName name="yyqeyqy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qeyqy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qeyq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aefze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aefz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a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" hidden="1">#REF!</definedName>
    <definedName name="zzfzafz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fzaf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fzaf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" hidden="1">#REF!</definedName>
    <definedName name="zzzzz" hidden="1">#REF!</definedName>
    <definedName name="zzzzzz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localSheetId="0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zzz" localSheetId="0" hidden="1">{#N/A,#N/A,FALSE,"RIEP"}</definedName>
    <definedName name="zzzzzzzzzz" localSheetId="1" hidden="1">{#N/A,#N/A,FALSE,"RIEP"}</definedName>
    <definedName name="zzzzzzzzzz" hidden="1">{#N/A,#N/A,FALSE,"RIEP"}</definedName>
    <definedName name="zzzzzzzzzzzzz" localSheetId="0" hidden="1">{#N/A,#N/A,FALSE,"RIEP"}</definedName>
    <definedName name="zzzzzzzzzzzzz" localSheetId="1" hidden="1">{#N/A,#N/A,FALSE,"RIEP"}</definedName>
    <definedName name="zzzzzzzzzzzzz" hidden="1">{#N/A,#N/A,FALSE,"RIEP"}</definedName>
    <definedName name="zzzzzzzzzzzzzz" localSheetId="0" hidden="1">{"QQQ",#N/A,FALSE,"RIEP"}</definedName>
    <definedName name="zzzzzzzzzzzzzz" localSheetId="1" hidden="1">{"QQQ",#N/A,FALSE,"RIEP"}</definedName>
    <definedName name="zzzzzzzzzzzzzz" hidden="1">{"QQQ",#N/A,FALSE,"RIEP"}</definedName>
    <definedName name="zzzzzzzzzzzzzzzzzz" localSheetId="0" hidden="1">{"QQQ",#N/A,FALSE,"RIEP"}</definedName>
    <definedName name="zzzzzzzzzzzzzzzzzz" localSheetId="1" hidden="1">{"QQQ",#N/A,FALSE,"RIEP"}</definedName>
    <definedName name="zzzzzzzzzzzzzzzzzz" hidden="1">{"QQQ",#N/A,FALSE,"RIEP"}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2" l="1"/>
  <c r="L22" i="2"/>
  <c r="K22" i="2"/>
  <c r="L24" i="2"/>
  <c r="K24" i="2"/>
  <c r="K23" i="2"/>
  <c r="F9" i="2"/>
  <c r="E10" i="2"/>
  <c r="F10" i="2"/>
  <c r="E9" i="2"/>
  <c r="F22" i="2"/>
  <c r="F7" i="2"/>
  <c r="F6" i="2"/>
  <c r="F5" i="2"/>
  <c r="E22" i="2"/>
  <c r="E12" i="2"/>
  <c r="E7" i="2"/>
  <c r="E6" i="2"/>
  <c r="E5" i="2"/>
  <c r="B31" i="2"/>
  <c r="C30" i="2"/>
  <c r="B30" i="2"/>
  <c r="D30" i="2" s="1"/>
  <c r="F30" i="2" s="1"/>
  <c r="B29" i="2"/>
  <c r="C22" i="2"/>
  <c r="C21" i="2"/>
  <c r="B21" i="2"/>
  <c r="C12" i="2"/>
  <c r="G41" i="2" s="1"/>
  <c r="C11" i="2"/>
  <c r="B11" i="2"/>
  <c r="B9" i="2"/>
  <c r="C7" i="2"/>
  <c r="B7" i="2"/>
  <c r="C6" i="2"/>
  <c r="B6" i="2"/>
  <c r="C5" i="2"/>
  <c r="B5" i="2"/>
  <c r="C22" i="1"/>
  <c r="C11" i="1"/>
  <c r="C15" i="1" s="1"/>
  <c r="C31" i="1" s="1"/>
  <c r="B5" i="1"/>
  <c r="C5" i="1"/>
  <c r="B6" i="1"/>
  <c r="C6" i="1"/>
  <c r="B7" i="1"/>
  <c r="C7" i="1"/>
  <c r="B11" i="1"/>
  <c r="B21" i="1" s="1"/>
  <c r="B29" i="1"/>
  <c r="B30" i="1"/>
  <c r="C30" i="1"/>
  <c r="B31" i="1"/>
  <c r="F11" i="2" l="1"/>
  <c r="F13" i="2" s="1"/>
  <c r="F21" i="2"/>
  <c r="F14" i="2"/>
  <c r="F12" i="2"/>
  <c r="E21" i="2"/>
  <c r="E11" i="2"/>
  <c r="F16" i="2"/>
  <c r="E16" i="2"/>
  <c r="E14" i="2"/>
  <c r="H30" i="2"/>
  <c r="J22" i="2"/>
  <c r="I22" i="2"/>
  <c r="G40" i="2"/>
  <c r="C17" i="2"/>
  <c r="C18" i="2" s="1"/>
  <c r="C15" i="2"/>
  <c r="C13" i="2"/>
  <c r="F40" i="2"/>
  <c r="B17" i="2"/>
  <c r="B18" i="2" s="1"/>
  <c r="C34" i="2"/>
  <c r="C16" i="2"/>
  <c r="C14" i="2"/>
  <c r="C35" i="2"/>
  <c r="B35" i="2"/>
  <c r="D35" i="2" s="1"/>
  <c r="E35" i="2" s="1"/>
  <c r="G35" i="2" s="1"/>
  <c r="I35" i="2" s="1"/>
  <c r="B34" i="2"/>
  <c r="D34" i="2" s="1"/>
  <c r="E34" i="2" s="1"/>
  <c r="B33" i="2"/>
  <c r="B12" i="2"/>
  <c r="B13" i="2" s="1"/>
  <c r="D30" i="1"/>
  <c r="F30" i="1" s="1"/>
  <c r="H30" i="1" s="1"/>
  <c r="I30" i="1" s="1"/>
  <c r="C14" i="1"/>
  <c r="C21" i="1"/>
  <c r="G21" i="1" s="1"/>
  <c r="C12" i="1"/>
  <c r="G41" i="1" s="1"/>
  <c r="C34" i="1"/>
  <c r="F40" i="1"/>
  <c r="G40" i="1"/>
  <c r="C17" i="1"/>
  <c r="C18" i="1" s="1"/>
  <c r="B17" i="1"/>
  <c r="B18" i="1" s="1"/>
  <c r="D31" i="1"/>
  <c r="F31" i="1" s="1"/>
  <c r="H31" i="1" s="1"/>
  <c r="I31" i="1" s="1"/>
  <c r="B34" i="1"/>
  <c r="B33" i="1"/>
  <c r="B12" i="1"/>
  <c r="B35" i="1"/>
  <c r="C29" i="1"/>
  <c r="D29" i="1" s="1"/>
  <c r="D32" i="1"/>
  <c r="F32" i="1" s="1"/>
  <c r="H32" i="1" s="1"/>
  <c r="I32" i="1" s="1"/>
  <c r="B9" i="1"/>
  <c r="F15" i="2" l="1"/>
  <c r="F17" i="2"/>
  <c r="F18" i="2" s="1"/>
  <c r="E17" i="2"/>
  <c r="E18" i="2" s="1"/>
  <c r="E15" i="2"/>
  <c r="E13" i="2"/>
  <c r="I30" i="2"/>
  <c r="C29" i="2"/>
  <c r="D29" i="2" s="1"/>
  <c r="C31" i="2"/>
  <c r="D31" i="2" s="1"/>
  <c r="F31" i="2" s="1"/>
  <c r="D32" i="2"/>
  <c r="F32" i="2" s="1"/>
  <c r="H32" i="2" s="1"/>
  <c r="I32" i="2" s="1"/>
  <c r="B42" i="2" s="1"/>
  <c r="G34" i="2"/>
  <c r="E37" i="2"/>
  <c r="B22" i="2"/>
  <c r="F41" i="2"/>
  <c r="H41" i="2" s="1"/>
  <c r="I41" i="2" s="1"/>
  <c r="B10" i="2"/>
  <c r="B14" i="2" s="1"/>
  <c r="H40" i="2"/>
  <c r="I40" i="2" s="1"/>
  <c r="I42" i="2" s="1"/>
  <c r="D36" i="2"/>
  <c r="E36" i="2" s="1"/>
  <c r="G36" i="2" s="1"/>
  <c r="I36" i="2" s="1"/>
  <c r="C33" i="2"/>
  <c r="D33" i="2" s="1"/>
  <c r="F21" i="1"/>
  <c r="C16" i="1"/>
  <c r="D36" i="1" s="1"/>
  <c r="E36" i="1" s="1"/>
  <c r="G36" i="1" s="1"/>
  <c r="I36" i="1" s="1"/>
  <c r="B42" i="1" s="1"/>
  <c r="C13" i="1"/>
  <c r="D34" i="1"/>
  <c r="E34" i="1" s="1"/>
  <c r="G34" i="1" s="1"/>
  <c r="H40" i="1"/>
  <c r="I40" i="1" s="1"/>
  <c r="B10" i="1"/>
  <c r="B14" i="1" s="1"/>
  <c r="B22" i="1"/>
  <c r="B13" i="1"/>
  <c r="F41" i="1"/>
  <c r="H41" i="1" s="1"/>
  <c r="I41" i="1" s="1"/>
  <c r="F37" i="1"/>
  <c r="H37" i="1"/>
  <c r="B40" i="2" l="1"/>
  <c r="F37" i="2"/>
  <c r="H31" i="2"/>
  <c r="I34" i="2"/>
  <c r="G37" i="2"/>
  <c r="I23" i="2"/>
  <c r="J23" i="2"/>
  <c r="J24" i="2" s="1"/>
  <c r="C35" i="1"/>
  <c r="D35" i="1" s="1"/>
  <c r="E35" i="1" s="1"/>
  <c r="G35" i="1" s="1"/>
  <c r="I35" i="1" s="1"/>
  <c r="B41" i="1" s="1"/>
  <c r="C33" i="1"/>
  <c r="D33" i="1" s="1"/>
  <c r="I42" i="1"/>
  <c r="I34" i="1"/>
  <c r="F22" i="1"/>
  <c r="G22" i="1"/>
  <c r="G23" i="1" s="1"/>
  <c r="H37" i="2" l="1"/>
  <c r="I31" i="2"/>
  <c r="G37" i="1"/>
  <c r="E37" i="1"/>
  <c r="B40" i="1"/>
  <c r="B43" i="1" s="1"/>
  <c r="I37" i="1"/>
  <c r="I37" i="2" l="1"/>
  <c r="B41" i="2"/>
  <c r="B43" i="2" s="1"/>
</calcChain>
</file>

<file path=xl/sharedStrings.xml><?xml version="1.0" encoding="utf-8"?>
<sst xmlns="http://schemas.openxmlformats.org/spreadsheetml/2006/main" count="135" uniqueCount="62">
  <si>
    <t>Total</t>
  </si>
  <si>
    <t>Otros efectos no explicados</t>
  </si>
  <si>
    <t>Recuperación (MG+MP)</t>
  </si>
  <si>
    <t>EST (MG + ESM)</t>
  </si>
  <si>
    <t>Valor</t>
  </si>
  <si>
    <t>Dif</t>
  </si>
  <si>
    <t>Real</t>
  </si>
  <si>
    <t>Std</t>
  </si>
  <si>
    <t>Total efectos</t>
  </si>
  <si>
    <t>Total explicado</t>
  </si>
  <si>
    <t>Otros efectos</t>
  </si>
  <si>
    <t>Efecto  rendimiento (recup MP)</t>
  </si>
  <si>
    <t>Efecto EST (composición ESM)</t>
  </si>
  <si>
    <t>MP</t>
  </si>
  <si>
    <t>Efecto rendimiento (recup MG)</t>
  </si>
  <si>
    <t>Efecto EST (composición MG)</t>
  </si>
  <si>
    <t xml:space="preserve">MG </t>
  </si>
  <si>
    <t>Desviaciones por composición queso</t>
  </si>
  <si>
    <t>TOTAL €</t>
  </si>
  <si>
    <t>MG €</t>
  </si>
  <si>
    <t xml:space="preserve">MP € </t>
  </si>
  <si>
    <t>desv kg MG</t>
  </si>
  <si>
    <t>desv kg MP</t>
  </si>
  <si>
    <t xml:space="preserve">Desv </t>
  </si>
  <si>
    <t>kg Real</t>
  </si>
  <si>
    <t>kg Teórico</t>
  </si>
  <si>
    <t>Coste leche en cuba MP (coste compra MP)</t>
  </si>
  <si>
    <t>Coste leche en cuba MG (coste compra MG)</t>
  </si>
  <si>
    <t>MG</t>
  </si>
  <si>
    <t>Consumo g MP/kg queso</t>
  </si>
  <si>
    <t>€ desv</t>
  </si>
  <si>
    <t>kg desv</t>
  </si>
  <si>
    <t>Consumo g MG/kg queso</t>
  </si>
  <si>
    <t>MG pérdida bruta en suero %</t>
  </si>
  <si>
    <t>MG pérdida bruta en suero (kg)</t>
  </si>
  <si>
    <t>Recup MP</t>
  </si>
  <si>
    <t>Recup MG</t>
  </si>
  <si>
    <t>Litraje unitario teórico (L/Kg)</t>
  </si>
  <si>
    <t>factor MG/MP leche cubas</t>
  </si>
  <si>
    <t>KMP puestos en fabricacion (cuba)</t>
  </si>
  <si>
    <t>KMG puestos en fabricacion (cuba)</t>
  </si>
  <si>
    <t>Composición leche en cuba MP (g/L)</t>
  </si>
  <si>
    <t>Composición leche en cuba MG (g/L)</t>
  </si>
  <si>
    <t>Litros leche puestos en fab (cuba)</t>
  </si>
  <si>
    <t>G/ES</t>
  </si>
  <si>
    <t>HFD</t>
  </si>
  <si>
    <t>ESM</t>
  </si>
  <si>
    <t>Celdas, calculadas, no modificar</t>
  </si>
  <si>
    <t>Sin color:</t>
  </si>
  <si>
    <t>Datos reales de la fabricacion a comparar</t>
  </si>
  <si>
    <t>En verde:</t>
  </si>
  <si>
    <t>EST</t>
  </si>
  <si>
    <t>Datos del estándar a completar</t>
  </si>
  <si>
    <t>En azul:</t>
  </si>
  <si>
    <t>Fabricación, KG</t>
  </si>
  <si>
    <t>Estándar</t>
  </si>
  <si>
    <t>Análisis de desviaciones, vaca</t>
  </si>
  <si>
    <t>Kg MG leche</t>
  </si>
  <si>
    <t>Kg MP leche</t>
  </si>
  <si>
    <t>Consumo por kg</t>
  </si>
  <si>
    <t>Real error análisis</t>
  </si>
  <si>
    <t>errores analíticos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</si>
</sst>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#,##0.000_ ;[Red]\-#,##0.000\ "/>
    <numFmt numFmtId="167" formatCode="0.0%"/>
    <numFmt numFmtId="168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6">
    <xf numFmtId="0" fontId="0" fillId="0" borderId="0" xfId="0"/>
    <xf numFmtId="164" fontId="0" fillId="0" borderId="1" xfId="0" applyNumberFormat="1" applyBorder="1"/>
    <xf numFmtId="0" fontId="0" fillId="0" borderId="2" xfId="0" applyBorder="1"/>
    <xf numFmtId="164" fontId="0" fillId="0" borderId="0" xfId="0" applyNumberFormat="1"/>
    <xf numFmtId="164" fontId="0" fillId="0" borderId="3" xfId="0" applyNumberFormat="1" applyBorder="1"/>
    <xf numFmtId="0" fontId="0" fillId="0" borderId="4" xfId="0" applyBorder="1" applyAlignment="1">
      <alignment horizontal="left" indent="1"/>
    </xf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0" fontId="0" fillId="0" borderId="10" xfId="0" applyBorder="1"/>
    <xf numFmtId="165" fontId="0" fillId="0" borderId="0" xfId="0" applyNumberFormat="1"/>
    <xf numFmtId="166" fontId="2" fillId="2" borderId="8" xfId="0" applyNumberFormat="1" applyFont="1" applyFill="1" applyBorder="1" applyAlignment="1">
      <alignment horizontal="center" vertical="center"/>
    </xf>
    <xf numFmtId="0" fontId="0" fillId="2" borderId="11" xfId="0" applyFill="1" applyBorder="1"/>
    <xf numFmtId="0" fontId="2" fillId="2" borderId="12" xfId="0" applyFont="1" applyFill="1" applyBorder="1"/>
    <xf numFmtId="164" fontId="0" fillId="0" borderId="11" xfId="0" applyNumberFormat="1" applyBorder="1"/>
    <xf numFmtId="164" fontId="0" fillId="0" borderId="13" xfId="0" applyNumberFormat="1" applyBorder="1"/>
    <xf numFmtId="164" fontId="0" fillId="0" borderId="12" xfId="0" applyNumberFormat="1" applyBorder="1"/>
    <xf numFmtId="164" fontId="0" fillId="0" borderId="14" xfId="0" applyNumberFormat="1" applyBorder="1"/>
    <xf numFmtId="0" fontId="0" fillId="0" borderId="12" xfId="0" applyBorder="1"/>
    <xf numFmtId="164" fontId="0" fillId="0" borderId="2" xfId="0" applyNumberFormat="1" applyBorder="1"/>
    <xf numFmtId="0" fontId="0" fillId="0" borderId="2" xfId="0" applyBorder="1" applyAlignment="1">
      <alignment horizontal="left" indent="2"/>
    </xf>
    <xf numFmtId="164" fontId="0" fillId="0" borderId="15" xfId="0" applyNumberFormat="1" applyBorder="1"/>
    <xf numFmtId="164" fontId="0" fillId="0" borderId="4" xfId="0" applyNumberFormat="1" applyBorder="1"/>
    <xf numFmtId="0" fontId="0" fillId="0" borderId="4" xfId="0" applyBorder="1" applyAlignment="1">
      <alignment horizontal="left" indent="2"/>
    </xf>
    <xf numFmtId="0" fontId="0" fillId="0" borderId="10" xfId="0" applyBorder="1" applyAlignment="1">
      <alignment horizontal="left" indent="1"/>
    </xf>
    <xf numFmtId="165" fontId="0" fillId="0" borderId="4" xfId="0" applyNumberFormat="1" applyBorder="1" applyAlignment="1">
      <alignment horizontal="left" indent="2"/>
    </xf>
    <xf numFmtId="165" fontId="0" fillId="0" borderId="7" xfId="0" applyNumberFormat="1" applyBorder="1"/>
    <xf numFmtId="165" fontId="0" fillId="0" borderId="8" xfId="0" applyNumberFormat="1" applyBorder="1"/>
    <xf numFmtId="165" fontId="0" fillId="0" borderId="10" xfId="0" applyNumberFormat="1" applyBorder="1"/>
    <xf numFmtId="0" fontId="2" fillId="2" borderId="10" xfId="0" applyFont="1" applyFill="1" applyBorder="1"/>
    <xf numFmtId="165" fontId="2" fillId="2" borderId="7" xfId="0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167" fontId="0" fillId="0" borderId="9" xfId="1" applyNumberFormat="1" applyFont="1" applyFill="1" applyBorder="1"/>
    <xf numFmtId="165" fontId="0" fillId="0" borderId="9" xfId="0" applyNumberFormat="1" applyBorder="1" applyAlignment="1">
      <alignment horizontal="left"/>
    </xf>
    <xf numFmtId="168" fontId="0" fillId="3" borderId="1" xfId="0" applyNumberFormat="1" applyFill="1" applyBorder="1"/>
    <xf numFmtId="165" fontId="0" fillId="0" borderId="1" xfId="0" applyNumberFormat="1" applyBorder="1" applyAlignment="1">
      <alignment horizontal="left"/>
    </xf>
    <xf numFmtId="0" fontId="0" fillId="0" borderId="1" xfId="0" applyBorder="1"/>
    <xf numFmtId="168" fontId="0" fillId="3" borderId="8" xfId="0" applyNumberFormat="1" applyFill="1" applyBorder="1"/>
    <xf numFmtId="165" fontId="0" fillId="0" borderId="8" xfId="0" applyNumberFormat="1" applyBorder="1" applyAlignment="1">
      <alignment horizontal="left"/>
    </xf>
    <xf numFmtId="0" fontId="0" fillId="0" borderId="8" xfId="0" applyBorder="1"/>
    <xf numFmtId="2" fontId="0" fillId="0" borderId="1" xfId="0" applyNumberFormat="1" applyBorder="1"/>
    <xf numFmtId="2" fontId="0" fillId="0" borderId="8" xfId="0" applyNumberFormat="1" applyBorder="1"/>
    <xf numFmtId="165" fontId="0" fillId="0" borderId="0" xfId="0" applyNumberFormat="1" applyAlignment="1">
      <alignment horizontal="left"/>
    </xf>
    <xf numFmtId="10" fontId="0" fillId="0" borderId="1" xfId="1" applyNumberFormat="1" applyFont="1" applyFill="1" applyBorder="1"/>
    <xf numFmtId="10" fontId="0" fillId="0" borderId="2" xfId="1" applyNumberFormat="1" applyFont="1" applyFill="1" applyBorder="1"/>
    <xf numFmtId="165" fontId="0" fillId="0" borderId="1" xfId="0" applyNumberFormat="1" applyBorder="1" applyAlignment="1">
      <alignment horizontal="left" indent="1"/>
    </xf>
    <xf numFmtId="165" fontId="0" fillId="0" borderId="8" xfId="0" applyNumberFormat="1" applyBorder="1" applyAlignment="1">
      <alignment horizontal="left" indent="1"/>
    </xf>
    <xf numFmtId="10" fontId="0" fillId="0" borderId="3" xfId="1" applyNumberFormat="1" applyFont="1" applyFill="1" applyBorder="1"/>
    <xf numFmtId="10" fontId="0" fillId="4" borderId="3" xfId="1" applyNumberFormat="1" applyFont="1" applyFill="1" applyBorder="1"/>
    <xf numFmtId="165" fontId="0" fillId="0" borderId="3" xfId="0" applyNumberFormat="1" applyBorder="1" applyAlignment="1">
      <alignment horizontal="left"/>
    </xf>
    <xf numFmtId="168" fontId="0" fillId="0" borderId="3" xfId="0" applyNumberFormat="1" applyBorder="1"/>
    <xf numFmtId="166" fontId="0" fillId="0" borderId="1" xfId="0" applyNumberFormat="1" applyBorder="1"/>
    <xf numFmtId="164" fontId="0" fillId="5" borderId="3" xfId="0" applyNumberFormat="1" applyFill="1" applyBorder="1"/>
    <xf numFmtId="165" fontId="0" fillId="5" borderId="8" xfId="0" applyNumberFormat="1" applyFill="1" applyBorder="1"/>
    <xf numFmtId="10" fontId="0" fillId="0" borderId="1" xfId="0" applyNumberFormat="1" applyBorder="1"/>
    <xf numFmtId="10" fontId="1" fillId="0" borderId="3" xfId="1" applyNumberFormat="1" applyFont="1" applyFill="1" applyBorder="1"/>
    <xf numFmtId="10" fontId="0" fillId="0" borderId="0" xfId="1" applyNumberFormat="1" applyFont="1"/>
    <xf numFmtId="165" fontId="0" fillId="0" borderId="3" xfId="0" applyNumberFormat="1" applyBorder="1" applyAlignment="1">
      <alignment horizontal="left" indent="1"/>
    </xf>
    <xf numFmtId="10" fontId="0" fillId="5" borderId="3" xfId="1" applyNumberFormat="1" applyFont="1" applyFill="1" applyBorder="1"/>
    <xf numFmtId="0" fontId="0" fillId="5" borderId="0" xfId="0" applyFill="1"/>
    <xf numFmtId="10" fontId="0" fillId="5" borderId="8" xfId="1" applyNumberFormat="1" applyFont="1" applyFill="1" applyBorder="1"/>
    <xf numFmtId="10" fontId="0" fillId="4" borderId="8" xfId="1" applyNumberFormat="1" applyFont="1" applyFill="1" applyBorder="1"/>
    <xf numFmtId="168" fontId="0" fillId="4" borderId="0" xfId="0" applyNumberFormat="1" applyFill="1"/>
    <xf numFmtId="166" fontId="0" fillId="5" borderId="8" xfId="0" applyNumberFormat="1" applyFill="1" applyBorder="1"/>
    <xf numFmtId="0" fontId="2" fillId="6" borderId="13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vertical="center"/>
    </xf>
    <xf numFmtId="165" fontId="0" fillId="0" borderId="0" xfId="0" applyNumberFormat="1" applyAlignment="1">
      <alignment horizontal="left" indent="1"/>
    </xf>
    <xf numFmtId="10" fontId="0" fillId="0" borderId="0" xfId="1" applyNumberFormat="1" applyFont="1" applyFill="1" applyBorder="1"/>
    <xf numFmtId="0" fontId="0" fillId="0" borderId="11" xfId="0" applyBorder="1"/>
    <xf numFmtId="164" fontId="0" fillId="7" borderId="3" xfId="0" applyNumberFormat="1" applyFill="1" applyBorder="1"/>
    <xf numFmtId="166" fontId="2" fillId="2" borderId="10" xfId="0" applyNumberFormat="1" applyFont="1" applyFill="1" applyBorder="1" applyAlignment="1">
      <alignment horizontal="center" vertical="center"/>
    </xf>
    <xf numFmtId="166" fontId="2" fillId="7" borderId="12" xfId="0" applyNumberFormat="1" applyFont="1" applyFill="1" applyBorder="1" applyAlignment="1">
      <alignment horizontal="left"/>
    </xf>
    <xf numFmtId="166" fontId="2" fillId="7" borderId="11" xfId="0" applyNumberFormat="1" applyFont="1" applyFill="1" applyBorder="1" applyAlignment="1">
      <alignment horizontal="left"/>
    </xf>
    <xf numFmtId="164" fontId="0" fillId="7" borderId="1" xfId="0" applyNumberForma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s001688/Lactalis%20Industrial/Presupuesto%202017/VR/B11%20BVR%2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mercial\Cheddar\Analysis\2009\01-%20Janary%202009\Performance%20Metrics%20Jan%20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naigeeg.UK\Local%20Settings\Temporary%20Internet%20Files\OLK4\BR%20Variance%20analysis%20Cust%20Clas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GEST\BDG%2005\ScTempi\TempiFusi2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ommercial\2007\09%20September\Variance%20analysis%20by%20Cust%20Class%20Mar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dcdg\indcdg\Usines%20Industriel\Budget%202013\0-Synth&#232;se\Analyses%20transversales\Synth&#232;se%20comp%20usine%20budget%20201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recdg/INDUSTRIEL/Budget%20Industriel/BUDGET%20INDUSTRIEL%202009/BOUVRON/Precdg/INDUSTRIEL/PCI/CREATIONS%20DE%20PCI/PPC%20&amp;%20PPNC/BOUVRON%20PPC/071029%20-%20Mozza%20Galbani/071030%20-%20B08%20BVR%20-%20Mozza%20R&#226;p&#233;%20Galbani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IntInd\Res%20Mens\0CONSO\RECAPVOLUME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T (2)"/>
      <sheetName val="VERIF"/>
      <sheetName val="Atterrissage PPNC"/>
      <sheetName val="Atterrissage PPC"/>
      <sheetName val="Synthèse Usine PPC"/>
      <sheetName val="Synthèse Usine PPNC"/>
      <sheetName val="SYNT"/>
      <sheetName val="PE"/>
      <sheetName val="U1"/>
      <sheetName val="DI"/>
      <sheetName val="SIG"/>
      <sheetName val="VOL"/>
      <sheetName val="ACTIVITE"/>
      <sheetName val="FR22"/>
      <sheetName val="MIXM"/>
      <sheetName val="RDT"/>
      <sheetName val="FACON"/>
      <sheetName val="PRODté"/>
      <sheetName val="PCI PPNC"/>
      <sheetName val="PCI PPC"/>
      <sheetName val="Nvx Codes apres Bud"/>
      <sheetName val="INTERFACE"/>
    </sheetNames>
    <sheetDataSet>
      <sheetData sheetId="0" refreshError="1"/>
      <sheetData sheetId="1">
        <row r="10">
          <cell r="B10" t="str">
            <v>2010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O6">
            <v>29.297000000000001</v>
          </cell>
        </row>
      </sheetData>
      <sheetData sheetId="12">
        <row r="73">
          <cell r="G73">
            <v>1.54</v>
          </cell>
        </row>
      </sheetData>
      <sheetData sheetId="13" refreshError="1"/>
      <sheetData sheetId="14">
        <row r="258">
          <cell r="F258">
            <v>2.2000000000000002</v>
          </cell>
        </row>
      </sheetData>
      <sheetData sheetId="15"/>
      <sheetData sheetId="16">
        <row r="270">
          <cell r="C270" t="str">
            <v>E1</v>
          </cell>
        </row>
      </sheetData>
      <sheetData sheetId="17" refreshError="1"/>
      <sheetData sheetId="18" refreshError="1"/>
      <sheetData sheetId="19">
        <row r="9">
          <cell r="AD9">
            <v>4.3841000000000001</v>
          </cell>
        </row>
      </sheetData>
      <sheetData sheetId="20" refreshError="1"/>
      <sheetData sheetId="21">
        <row r="3">
          <cell r="E3" t="str">
            <v>JAN2010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Cover"/>
      <sheetName val="Contents"/>
      <sheetName val="Summary Superfamily"/>
      <sheetName val="_pcSlicerSheet13"/>
      <sheetName val="_pcHiddenSheet93"/>
      <sheetName val="Customer Continental"/>
      <sheetName val="Customer Cheddar"/>
      <sheetName val="_pcSlicerSheet14"/>
      <sheetName val="_pcHiddenSheet96"/>
      <sheetName val="_pcSlicerSheet15"/>
      <sheetName val="_pcHiddenSheet97"/>
      <sheetName val="_pcSlicerSheet16"/>
      <sheetName val="_pcHiddenSheet98"/>
      <sheetName val="_pcSlicerSheet1"/>
      <sheetName val="_pcHiddenSheet13"/>
      <sheetName val="_pcSlicerSheet4"/>
      <sheetName val="_pcHiddenSheet14"/>
      <sheetName val="Product Analysis"/>
      <sheetName val="_pcSlicerSheet"/>
      <sheetName val="_pcHiddenSheet12"/>
      <sheetName val="Promotions"/>
      <sheetName val="Brand Analysis"/>
      <sheetName val="Ratios"/>
      <sheetName val="Wastage"/>
      <sheetName val="1. Summary DB"/>
      <sheetName val="_pcHiddenSheet95"/>
      <sheetName val="2. Customer Analysis DB"/>
      <sheetName val="Glasgow"/>
      <sheetName val="_pcSlicerSheet57"/>
      <sheetName val="_pcHiddenSheet87"/>
      <sheetName val="_pcSlicerSheet3"/>
      <sheetName val="_pcHiddenSheet47"/>
      <sheetName val="_pcSlicerSheet2"/>
      <sheetName val="_pcHiddenSheet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0"/>
      <sheetData sheetId="11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2"/>
      <sheetData sheetId="13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4"/>
      <sheetData sheetId="15"/>
      <sheetData sheetId="16"/>
      <sheetData sheetId="17" refreshError="1">
        <row r="2">
          <cell r="A2" t="str">
            <v>December 2008</v>
          </cell>
        </row>
        <row r="3">
          <cell r="A3" t="str">
            <v>January 2009</v>
          </cell>
        </row>
        <row r="4">
          <cell r="A4" t="str">
            <v>February 2009</v>
          </cell>
        </row>
        <row r="5">
          <cell r="A5" t="str">
            <v>March 2009</v>
          </cell>
        </row>
        <row r="6">
          <cell r="A6" t="str">
            <v>April 2009</v>
          </cell>
        </row>
        <row r="7">
          <cell r="A7" t="str">
            <v>May 2009</v>
          </cell>
        </row>
        <row r="8">
          <cell r="A8" t="str">
            <v>June 2009</v>
          </cell>
        </row>
        <row r="9">
          <cell r="A9" t="str">
            <v>July 2009</v>
          </cell>
        </row>
        <row r="10">
          <cell r="A10" t="str">
            <v>August 2009</v>
          </cell>
        </row>
        <row r="11">
          <cell r="A11" t="str">
            <v>September 2009</v>
          </cell>
        </row>
        <row r="12">
          <cell r="A12" t="str">
            <v>October 2009</v>
          </cell>
        </row>
        <row r="13">
          <cell r="A13" t="str">
            <v>November 2009</v>
          </cell>
        </row>
        <row r="14">
          <cell r="A14" t="str">
            <v>December 2009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Vol and GP Report"/>
      <sheetName val="CUST LOOKUP"/>
      <sheetName val="_pcSlicerSheet1"/>
      <sheetName val="_pcHiddenSheet2"/>
      <sheetName val="TRADING REPORT"/>
      <sheetName val="Jnl breakdown"/>
      <sheetName val="_pcHiddenSheet3"/>
      <sheetName val="PROMOTION VOLS"/>
    </sheetNames>
    <sheetDataSet>
      <sheetData sheetId="0"/>
      <sheetData sheetId="1" refreshError="1">
        <row r="4">
          <cell r="A4" t="str">
            <v>__Amount_for_Monthly_1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HAN"/>
      <sheetName val="2409_10"/>
      <sheetName val="2410_10"/>
      <sheetName val="2410_10 xRAI"/>
      <sheetName val="2410_ K1 (2)"/>
      <sheetName val="CBP +_K1 (2)"/>
      <sheetName val="SALSA 4F_ K1  (2)"/>
      <sheetName val="TIRAMISU"/>
      <sheetName val="PROCESSATO"/>
      <sheetName val="FABB_ K1"/>
      <sheetName val="Invest Wolf"/>
      <sheetName val="2411_10"/>
      <sheetName val="2430_10"/>
      <sheetName val="2458_10"/>
      <sheetName val="2462_10"/>
      <sheetName val="Mellin x 6 IPO 4H"/>
      <sheetName val="Mellin x 6 IPO 8H"/>
      <sheetName val="2465_10"/>
      <sheetName val="2476_60"/>
      <sheetName val="2510_10"/>
      <sheetName val="2512_10"/>
      <sheetName val="2530_10"/>
      <sheetName val="2580_10"/>
      <sheetName val="Foglio1"/>
      <sheetName val="Foglio1 (2)"/>
      <sheetName val="FILONE MOZZARELLA K2"/>
      <sheetName val="FILONE MOZZARELLA K1,2 UK"/>
      <sheetName val="FILONE MOZZARELLA K4"/>
      <sheetName val="RAPE"/>
      <sheetName val="CUBETTATO"/>
      <sheetName val="TRASPORTI"/>
      <sheetName val="LABCHIM"/>
      <sheetName val="CAPIREP"/>
      <sheetName val="PROGRES"/>
      <sheetName val="2410_10_xRAI"/>
      <sheetName val="2410__K1_(2)"/>
      <sheetName val="CBP_+_K1_(2)"/>
      <sheetName val="SALSA_4F__K1__(2)"/>
      <sheetName val="FABB__K1"/>
      <sheetName val="Invest_Wolf"/>
      <sheetName val="Mellin_x_6_IPO_4H"/>
      <sheetName val="Mellin_x_6_IPO_8H"/>
      <sheetName val="Foglio1_(2)"/>
      <sheetName val="FILONE_MOZZARELLA_K2"/>
      <sheetName val="FILONE_MOZZARELLA_K1,2_UK"/>
      <sheetName val="FILONE_MOZZARELLA_K4"/>
      <sheetName val="2410_10_xRAI1"/>
      <sheetName val="2410__K1_(2)1"/>
      <sheetName val="CBP_+_K1_(2)1"/>
      <sheetName val="SALSA_4F__K1__(2)1"/>
      <sheetName val="FABB__K11"/>
      <sheetName val="Invest_Wolf1"/>
      <sheetName val="Mellin_x_6_IPO_4H1"/>
      <sheetName val="Mellin_x_6_IPO_8H1"/>
      <sheetName val="Foglio1_(2)1"/>
      <sheetName val="FILONE_MOZZARELLA_K21"/>
      <sheetName val="FILONE_MOZZARELLA_K1,2_UK1"/>
      <sheetName val="FILONE_MOZZARELLA_K41"/>
      <sheetName val="Liste"/>
      <sheetName val="MENU"/>
      <sheetName val="TABLE"/>
      <sheetName val="DATA"/>
    </sheetNames>
    <sheetDataSet>
      <sheetData sheetId="0" refreshError="1">
        <row r="2">
          <cell r="B2" t="str">
            <v xml:space="preserve"> Stabilimento di</v>
          </cell>
          <cell r="H2" t="str">
            <v>SCHEDA RILEVAZIONE TEMPI</v>
          </cell>
          <cell r="O2" t="str">
            <v xml:space="preserve"> Data :</v>
          </cell>
        </row>
        <row r="3">
          <cell r="B3" t="str">
            <v xml:space="preserve"> CERTOSA </v>
          </cell>
          <cell r="D3">
            <v>220</v>
          </cell>
          <cell r="F3" t="str">
            <v>Reparto :</v>
          </cell>
          <cell r="G3" t="str">
            <v>FUSI</v>
          </cell>
          <cell r="H3">
            <v>210</v>
          </cell>
          <cell r="I3" t="str">
            <v>PREPARAZIONE IMPASTI E FUSIONE</v>
          </cell>
          <cell r="O3" t="str">
            <v xml:space="preserve"> Gennaio 2004</v>
          </cell>
        </row>
        <row r="4">
          <cell r="B4" t="str">
            <v xml:space="preserve"> PRODUZIONE :</v>
          </cell>
          <cell r="D4" t="str">
            <v xml:space="preserve">CREMA BEL PAESE  NORMALE + BIANCO + CREMOZOLA </v>
          </cell>
        </row>
        <row r="5">
          <cell r="D5" t="str">
            <v>+ FILANTE + FILANTE x PIZZA + IDEA PIZZA + FORMAGGIO PER PIZZA</v>
          </cell>
        </row>
        <row r="6">
          <cell r="F6" t="str">
            <v>Persone</v>
          </cell>
          <cell r="G6" t="str">
            <v>Tempo impiegato</v>
          </cell>
          <cell r="J6" t="str">
            <v>Quantità</v>
          </cell>
          <cell r="L6" t="str">
            <v>Tempo</v>
          </cell>
          <cell r="M6" t="str">
            <v>Prodotti destinatari</v>
          </cell>
        </row>
        <row r="7">
          <cell r="D7" t="str">
            <v>OPERAZIONI</v>
          </cell>
          <cell r="F7" t="str">
            <v>occupate</v>
          </cell>
          <cell r="G7" t="str">
            <v>Ore</v>
          </cell>
          <cell r="H7" t="str">
            <v>Ore</v>
          </cell>
          <cell r="I7" t="str">
            <v>Totale</v>
          </cell>
          <cell r="L7" t="str">
            <v>in ore</v>
          </cell>
          <cell r="M7" t="str">
            <v>C.B.P.</v>
          </cell>
          <cell r="N7" t="str">
            <v>C.B.P +.</v>
          </cell>
          <cell r="P7" t="str">
            <v>Filante</v>
          </cell>
        </row>
        <row r="8">
          <cell r="F8" t="str">
            <v>Posizioni</v>
          </cell>
          <cell r="G8" t="str">
            <v>squadra</v>
          </cell>
          <cell r="H8" t="str">
            <v>squadra</v>
          </cell>
          <cell r="I8" t="str">
            <v>ore ind</v>
          </cell>
          <cell r="J8" t="str">
            <v>Kg</v>
          </cell>
          <cell r="K8" t="str">
            <v>Kg</v>
          </cell>
          <cell r="L8" t="str">
            <v>riferito a</v>
          </cell>
          <cell r="M8" t="str">
            <v>Normale</v>
          </cell>
          <cell r="N8" t="str">
            <v>Dolc. Crem.</v>
          </cell>
          <cell r="O8" t="str">
            <v>K 1</v>
          </cell>
          <cell r="P8" t="str">
            <v>Idea Pizza</v>
          </cell>
        </row>
        <row r="9">
          <cell r="F9" t="str">
            <v>occupate</v>
          </cell>
          <cell r="G9" t="str">
            <v>in '</v>
          </cell>
          <cell r="H9" t="str">
            <v>decimali</v>
          </cell>
          <cell r="I9" t="str">
            <v>decimali</v>
          </cell>
          <cell r="J9" t="str">
            <v>settimana</v>
          </cell>
          <cell r="K9" t="str">
            <v>giorno</v>
          </cell>
          <cell r="L9" t="str">
            <v>100 Kg</v>
          </cell>
          <cell r="N9" t="str">
            <v xml:space="preserve">4 F-Proc.-Tir. </v>
          </cell>
          <cell r="P9" t="str">
            <v>Rapè - Mozz.</v>
          </cell>
        </row>
        <row r="11">
          <cell r="G11" t="str">
            <v xml:space="preserve"> x C.B.P. Normale</v>
          </cell>
          <cell r="J11" t="str">
            <v xml:space="preserve"> x C.B.P. +  e  Dolcelatte Cremoso</v>
          </cell>
          <cell r="M11" t="str">
            <v xml:space="preserve">  x Filante + Idea Pizza + Filante Rapè</v>
          </cell>
        </row>
        <row r="12">
          <cell r="C12" t="str">
            <v xml:space="preserve"> Determinazione gg./anno lavorati</v>
          </cell>
          <cell r="G12" t="str">
            <v>gg/sett.</v>
          </cell>
          <cell r="H12" t="str">
            <v>sett/anno</v>
          </cell>
          <cell r="I12" t="str">
            <v>gg/anno</v>
          </cell>
          <cell r="J12" t="str">
            <v>gg/sett.</v>
          </cell>
          <cell r="K12" t="str">
            <v>sett/anno</v>
          </cell>
          <cell r="L12" t="str">
            <v>gg/anno</v>
          </cell>
          <cell r="M12" t="str">
            <v>gg/sett.</v>
          </cell>
          <cell r="N12" t="str">
            <v>sett/anno</v>
          </cell>
          <cell r="O12" t="str">
            <v>gg/anno</v>
          </cell>
        </row>
        <row r="15">
          <cell r="G15">
            <v>5</v>
          </cell>
          <cell r="H15">
            <v>50</v>
          </cell>
          <cell r="I15">
            <v>250</v>
          </cell>
          <cell r="J15">
            <v>5</v>
          </cell>
          <cell r="K15">
            <v>50</v>
          </cell>
          <cell r="L15">
            <v>250</v>
          </cell>
          <cell r="M15">
            <v>5</v>
          </cell>
          <cell r="N15">
            <v>50</v>
          </cell>
          <cell r="O15">
            <v>250</v>
          </cell>
        </row>
        <row r="16">
          <cell r="B16" t="str">
            <v>A</v>
          </cell>
          <cell r="C16" t="str">
            <v xml:space="preserve"> OPERAZIONI PRELIMINARI</v>
          </cell>
        </row>
        <row r="17">
          <cell r="M17" t="str">
            <v xml:space="preserve">Tempo in ore riferito a 100/kg </v>
          </cell>
        </row>
        <row r="18">
          <cell r="B18">
            <v>1</v>
          </cell>
          <cell r="C18" t="str">
            <v xml:space="preserve"> Rifornimento materie prime a reparto :</v>
          </cell>
        </row>
        <row r="19">
          <cell r="C19" t="str">
            <v xml:space="preserve"> - Scarico camions, pesatura palbox e stoccaggio in cella</v>
          </cell>
        </row>
        <row r="20">
          <cell r="C20" t="str">
            <v xml:space="preserve"> - Prelievo campioni x analisi, controllo</v>
          </cell>
        </row>
        <row r="21">
          <cell r="C21" t="str">
            <v xml:space="preserve">   rimanenze celle dinamica e formaggi</v>
          </cell>
          <cell r="F21">
            <v>2</v>
          </cell>
          <cell r="G21">
            <v>8</v>
          </cell>
          <cell r="H21">
            <v>16</v>
          </cell>
          <cell r="I21">
            <v>16</v>
          </cell>
          <cell r="K21">
            <v>59868</v>
          </cell>
          <cell r="L21">
            <v>2.6725462684572727E-2</v>
          </cell>
          <cell r="M21">
            <v>2.6725462684572727E-2</v>
          </cell>
          <cell r="N21">
            <v>2.6725462684572727E-2</v>
          </cell>
          <cell r="O21">
            <v>2.6725462684572727E-2</v>
          </cell>
          <cell r="P21">
            <v>2.6725462684572727E-2</v>
          </cell>
        </row>
        <row r="22">
          <cell r="B22">
            <v>2</v>
          </cell>
          <cell r="C22" t="str">
            <v xml:space="preserve"> Trasporto materie prime a reparto</v>
          </cell>
          <cell r="F22">
            <v>2</v>
          </cell>
          <cell r="G22">
            <v>8</v>
          </cell>
          <cell r="H22">
            <v>8</v>
          </cell>
          <cell r="I22">
            <v>16</v>
          </cell>
          <cell r="K22">
            <v>59868</v>
          </cell>
          <cell r="L22">
            <v>2.6725462684572727E-2</v>
          </cell>
          <cell r="M22">
            <v>2.6725462684572727E-2</v>
          </cell>
          <cell r="N22">
            <v>2.6725462684572727E-2</v>
          </cell>
          <cell r="O22">
            <v>2.6725462684572727E-2</v>
          </cell>
          <cell r="P22">
            <v>2.6725462684572727E-2</v>
          </cell>
        </row>
        <row r="23">
          <cell r="B23">
            <v>3</v>
          </cell>
          <cell r="C23" t="str">
            <v xml:space="preserve"> Lavaggio palbox m.p. + travaso da cartonbox altri</v>
          </cell>
          <cell r="F23">
            <v>2</v>
          </cell>
          <cell r="G23">
            <v>8</v>
          </cell>
          <cell r="H23">
            <v>8</v>
          </cell>
          <cell r="I23">
            <v>16</v>
          </cell>
          <cell r="K23">
            <v>59868</v>
          </cell>
          <cell r="L23">
            <v>2.6725462684572727E-2</v>
          </cell>
          <cell r="M23">
            <v>2.6725462684572727E-2</v>
          </cell>
          <cell r="N23">
            <v>2.6725462684572727E-2</v>
          </cell>
          <cell r="O23">
            <v>2.6725462684572727E-2</v>
          </cell>
          <cell r="P23">
            <v>2.6725462684572727E-2</v>
          </cell>
        </row>
        <row r="24">
          <cell r="C24" t="str">
            <v xml:space="preserve"> Analisi materie prime</v>
          </cell>
          <cell r="G24">
            <v>8</v>
          </cell>
          <cell r="H24">
            <v>0</v>
          </cell>
          <cell r="I24">
            <v>0</v>
          </cell>
          <cell r="K24">
            <v>22660</v>
          </cell>
          <cell r="L24">
            <v>0</v>
          </cell>
          <cell r="M24">
            <v>0</v>
          </cell>
        </row>
        <row r="25">
          <cell r="B25" t="str">
            <v>B</v>
          </cell>
        </row>
        <row r="26">
          <cell r="C26" t="str">
            <v xml:space="preserve"> PREPARAZIONI IMPASTI E FUSIONE</v>
          </cell>
        </row>
        <row r="27">
          <cell r="B27">
            <v>1</v>
          </cell>
          <cell r="C27" t="str">
            <v xml:space="preserve"> Impostazione ricette + carico + analisi</v>
          </cell>
          <cell r="F27">
            <v>2</v>
          </cell>
          <cell r="G27">
            <v>8</v>
          </cell>
          <cell r="H27">
            <v>8</v>
          </cell>
          <cell r="I27">
            <v>16</v>
          </cell>
          <cell r="K27">
            <v>22660</v>
          </cell>
          <cell r="L27">
            <v>7.0609002647837593E-2</v>
          </cell>
          <cell r="M27">
            <v>7.0609002647837593E-2</v>
          </cell>
        </row>
        <row r="29">
          <cell r="B29">
            <v>2</v>
          </cell>
          <cell r="C29" t="str">
            <v xml:space="preserve"> Assistenza impianto sterilizzazione e cremificazione</v>
          </cell>
          <cell r="F29">
            <v>2</v>
          </cell>
          <cell r="G29">
            <v>8</v>
          </cell>
          <cell r="H29">
            <v>8</v>
          </cell>
          <cell r="I29">
            <v>16</v>
          </cell>
          <cell r="K29">
            <v>22660</v>
          </cell>
          <cell r="L29">
            <v>7.0609002647837593E-2</v>
          </cell>
          <cell r="M29">
            <v>7.0609002647837593E-2</v>
          </cell>
        </row>
        <row r="30">
          <cell r="C30" t="str">
            <v xml:space="preserve"> Stephan + preparazione e carico caseina</v>
          </cell>
        </row>
        <row r="31">
          <cell r="B31">
            <v>3</v>
          </cell>
          <cell r="C31" t="str">
            <v xml:space="preserve"> Carico burro, fusione burro </v>
          </cell>
          <cell r="G31">
            <v>0</v>
          </cell>
          <cell r="H31">
            <v>0</v>
          </cell>
          <cell r="I31">
            <v>0</v>
          </cell>
          <cell r="K31">
            <v>22660</v>
          </cell>
          <cell r="L31">
            <v>0</v>
          </cell>
          <cell r="M31">
            <v>0</v>
          </cell>
        </row>
        <row r="33">
          <cell r="B33">
            <v>4</v>
          </cell>
          <cell r="C33" t="str">
            <v xml:space="preserve"> Assistenza e controllo cremificazione</v>
          </cell>
          <cell r="H33">
            <v>0</v>
          </cell>
          <cell r="I33">
            <v>0</v>
          </cell>
          <cell r="K33">
            <v>22660</v>
          </cell>
          <cell r="L33">
            <v>0</v>
          </cell>
          <cell r="M33">
            <v>0</v>
          </cell>
        </row>
        <row r="34">
          <cell r="B34">
            <v>5</v>
          </cell>
          <cell r="C34" t="str">
            <v xml:space="preserve"> Cottura in 1 Ks : addetti Stephan + pesatura sali di fusione</v>
          </cell>
          <cell r="H34">
            <v>0</v>
          </cell>
          <cell r="I34">
            <v>0</v>
          </cell>
          <cell r="K34">
            <v>22660</v>
          </cell>
          <cell r="L34">
            <v>0</v>
          </cell>
        </row>
        <row r="35">
          <cell r="B35">
            <v>6</v>
          </cell>
          <cell r="C35" t="str">
            <v xml:space="preserve"> Pressatura porzioni fusi + filante</v>
          </cell>
          <cell r="H35">
            <v>0</v>
          </cell>
          <cell r="I35">
            <v>0</v>
          </cell>
          <cell r="K35">
            <v>59868</v>
          </cell>
          <cell r="L35">
            <v>0</v>
          </cell>
          <cell r="M35">
            <v>0</v>
          </cell>
        </row>
        <row r="37">
          <cell r="B37">
            <v>7</v>
          </cell>
          <cell r="C37" t="str">
            <v xml:space="preserve"> Preparazione e cottura form. prefuso settimanale</v>
          </cell>
          <cell r="H37">
            <v>0</v>
          </cell>
          <cell r="I37">
            <v>0</v>
          </cell>
          <cell r="K37">
            <v>113300</v>
          </cell>
          <cell r="L37">
            <v>0</v>
          </cell>
          <cell r="M37">
            <v>0</v>
          </cell>
        </row>
        <row r="39">
          <cell r="B39">
            <v>8</v>
          </cell>
          <cell r="C39" t="str">
            <v xml:space="preserve"> Colatura linee + trasporto pasta a Stephan</v>
          </cell>
          <cell r="F39">
            <v>2</v>
          </cell>
          <cell r="G39">
            <v>8</v>
          </cell>
          <cell r="H39">
            <v>8</v>
          </cell>
          <cell r="I39">
            <v>16</v>
          </cell>
          <cell r="K39">
            <v>29528</v>
          </cell>
          <cell r="L39">
            <v>5.4185857491194797E-2</v>
          </cell>
          <cell r="M39">
            <v>5.4185857491194797E-2</v>
          </cell>
        </row>
        <row r="41">
          <cell r="B41">
            <v>9</v>
          </cell>
          <cell r="C41" t="str">
            <v xml:space="preserve"> Lavaggio iniziale e finale Stephan</v>
          </cell>
          <cell r="F41">
            <v>1</v>
          </cell>
          <cell r="G41">
            <v>8</v>
          </cell>
          <cell r="H41">
            <v>8</v>
          </cell>
          <cell r="I41">
            <v>8</v>
          </cell>
          <cell r="K41">
            <v>22660</v>
          </cell>
          <cell r="L41">
            <v>3.5304501323918797E-2</v>
          </cell>
          <cell r="M41">
            <v>3.5304501323918797E-2</v>
          </cell>
        </row>
        <row r="43">
          <cell r="B43">
            <v>10</v>
          </cell>
          <cell r="C43" t="str">
            <v xml:space="preserve"> Lavaggio iniziale + finale Combinator e linee, preparazione</v>
          </cell>
          <cell r="G43">
            <v>8</v>
          </cell>
          <cell r="H43">
            <v>8</v>
          </cell>
          <cell r="I43">
            <v>0</v>
          </cell>
          <cell r="K43">
            <v>29528</v>
          </cell>
          <cell r="L43">
            <v>0</v>
          </cell>
          <cell r="M43">
            <v>0</v>
          </cell>
        </row>
        <row r="44">
          <cell r="C44" t="str">
            <v xml:space="preserve"> macchine formatrici e lavaggio allibert</v>
          </cell>
        </row>
        <row r="46">
          <cell r="B46">
            <v>11</v>
          </cell>
          <cell r="C46" t="str">
            <v>Lavaggio ferri</v>
          </cell>
          <cell r="F46">
            <v>1</v>
          </cell>
          <cell r="G46">
            <v>8</v>
          </cell>
          <cell r="H46">
            <v>8</v>
          </cell>
          <cell r="I46">
            <v>8</v>
          </cell>
          <cell r="K46">
            <v>29528</v>
          </cell>
          <cell r="L46">
            <v>2.7092928745597399E-2</v>
          </cell>
          <cell r="M46">
            <v>2.7092928745597399E-2</v>
          </cell>
        </row>
        <row r="48">
          <cell r="B48">
            <v>12</v>
          </cell>
          <cell r="C48" t="str">
            <v>Travaso pasta a fusione da cartonbox a palbox</v>
          </cell>
          <cell r="H48">
            <v>0</v>
          </cell>
          <cell r="I48">
            <v>0</v>
          </cell>
          <cell r="K48">
            <v>29528</v>
          </cell>
          <cell r="L48">
            <v>0</v>
          </cell>
          <cell r="M48">
            <v>0</v>
          </cell>
        </row>
        <row r="49">
          <cell r="C49" t="str">
            <v xml:space="preserve"> Addetti Ks x Dolc. Cr. / CBP +/ 4 Form. / Process./ Tiramisù</v>
          </cell>
          <cell r="F49">
            <v>2</v>
          </cell>
          <cell r="G49">
            <v>8</v>
          </cell>
          <cell r="H49">
            <v>8</v>
          </cell>
          <cell r="I49">
            <v>16</v>
          </cell>
          <cell r="K49">
            <v>6868</v>
          </cell>
          <cell r="L49">
            <v>0.23296447291788003</v>
          </cell>
          <cell r="N49">
            <v>0.23296447291788003</v>
          </cell>
        </row>
        <row r="50">
          <cell r="C50" t="str">
            <v xml:space="preserve"> Capi reparto (vedi scheda allegato 3)</v>
          </cell>
          <cell r="L50">
            <v>1.2026458208057728E-2</v>
          </cell>
          <cell r="M50">
            <v>1.2026458208057728E-2</v>
          </cell>
          <cell r="N50">
            <v>1.2026458208057728E-2</v>
          </cell>
          <cell r="O50">
            <v>1.2026458208057728E-2</v>
          </cell>
          <cell r="P50">
            <v>1.2026458208057728E-2</v>
          </cell>
        </row>
        <row r="52">
          <cell r="C52" t="str">
            <v>NB  tener conto di 1 x 8 ore Magor</v>
          </cell>
          <cell r="F52">
            <v>1</v>
          </cell>
          <cell r="G52">
            <v>8</v>
          </cell>
          <cell r="H52">
            <v>8</v>
          </cell>
          <cell r="I52">
            <v>8</v>
          </cell>
        </row>
        <row r="56">
          <cell r="C56" t="str">
            <v xml:space="preserve"> TEMPO TOTALE</v>
          </cell>
          <cell r="E56" t="str">
            <v>ORE/100 KG.</v>
          </cell>
          <cell r="I56">
            <v>136</v>
          </cell>
          <cell r="L56">
            <v>0.58296861203604211</v>
          </cell>
          <cell r="M56">
            <v>0.35000413911816208</v>
          </cell>
          <cell r="N56">
            <v>0.32516731917965591</v>
          </cell>
          <cell r="O56">
            <v>9.2202846261775911E-2</v>
          </cell>
          <cell r="P56">
            <v>9.2202846261775911E-2</v>
          </cell>
        </row>
        <row r="60">
          <cell r="C60" t="str">
            <v xml:space="preserve"> Determinanti 2004</v>
          </cell>
          <cell r="F60" t="str">
            <v>KG/ANNO</v>
          </cell>
          <cell r="G60" t="str">
            <v>GG/ANNO</v>
          </cell>
          <cell r="H60" t="str">
            <v>KG/GIORNO</v>
          </cell>
        </row>
        <row r="61">
          <cell r="C61" t="str">
            <v xml:space="preserve"> C.B.P. Normale</v>
          </cell>
          <cell r="F61">
            <v>5665000</v>
          </cell>
          <cell r="G61">
            <v>250</v>
          </cell>
          <cell r="H61">
            <v>22660</v>
          </cell>
          <cell r="K61" t="str">
            <v xml:space="preserve"> SEGUE SU SCHEDE DI CONFEZIONAMENTO</v>
          </cell>
        </row>
        <row r="62">
          <cell r="C62" t="str">
            <v xml:space="preserve"> C.B.P. +,  Dolcelatte cremoso, Crema 4 formaggi, Processato</v>
          </cell>
          <cell r="F62">
            <v>1717000</v>
          </cell>
          <cell r="G62">
            <v>250</v>
          </cell>
          <cell r="H62">
            <v>6868</v>
          </cell>
          <cell r="K62" t="str">
            <v xml:space="preserve"> - FUSI PORZIONI</v>
          </cell>
        </row>
        <row r="63">
          <cell r="H63" t="str">
            <v/>
          </cell>
          <cell r="K63" t="str">
            <v xml:space="preserve"> - FILANTE</v>
          </cell>
        </row>
        <row r="64">
          <cell r="C64" t="str">
            <v xml:space="preserve"> Filante + Idea Pizza + Fil. Rapè + Filone Mozz.</v>
          </cell>
          <cell r="F64">
            <v>7585000</v>
          </cell>
          <cell r="G64">
            <v>250</v>
          </cell>
          <cell r="H64">
            <v>30340</v>
          </cell>
          <cell r="K64" t="str">
            <v xml:space="preserve"> - FILANTE x PIZZA</v>
          </cell>
        </row>
        <row r="65">
          <cell r="K65" t="str">
            <v xml:space="preserve"> - IDEA PIZZA</v>
          </cell>
        </row>
        <row r="66">
          <cell r="K66" t="str">
            <v xml:space="preserve"> - FORMAGGIO PER PIZZA</v>
          </cell>
        </row>
        <row r="68">
          <cell r="C68" t="str">
            <v xml:space="preserve"> TOTALI</v>
          </cell>
          <cell r="F68">
            <v>14967000</v>
          </cell>
          <cell r="G68">
            <v>248</v>
          </cell>
          <cell r="H68">
            <v>59868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Vol and GP Report"/>
      <sheetName val="CUST LOOKUP"/>
      <sheetName val="_pcSlicerSheet1"/>
      <sheetName val="_pcHiddenSheet2"/>
      <sheetName val="TRADING REPORT"/>
      <sheetName val="_pcHiddenSheet3"/>
      <sheetName val="PROMOTION VOLS"/>
    </sheetNames>
    <sheetDataSet>
      <sheetData sheetId="0"/>
      <sheetData sheetId="1" refreshError="1">
        <row r="3">
          <cell r="A3" t="str">
            <v>_Amount_for_Monthly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synth"/>
      <sheetName val="pts attention"/>
      <sheetName val="taux de perte MP-MG"/>
      <sheetName val="perte MP-MG av quai"/>
      <sheetName val="rendements sérum"/>
      <sheetName val="dco"/>
      <sheetName val="charges"/>
      <sheetName val="Nrj ratios"/>
      <sheetName val="Prix Nrj"/>
      <sheetName val="Nrj présentat°"/>
      <sheetName val="Eau présentat°"/>
      <sheetName val="détail effectifs"/>
      <sheetName val="productivité"/>
      <sheetName val="pdvté.laval"/>
      <sheetName val="effectifs"/>
      <sheetName val="évolut° eff"/>
      <sheetName val="évolut° masse"/>
      <sheetName val="synthèse.perso"/>
      <sheetName val="eff &amp; frais perso"/>
      <sheetName val="tnp"/>
      <sheetName val="Prod chim"/>
      <sheetName val="Laboratoire"/>
      <sheetName val="analyses"/>
      <sheetName val="PTT EPI"/>
      <sheetName val="info et clean"/>
      <sheetName val="déchets"/>
      <sheetName val="stk ext"/>
      <sheetName val="Shéma palette"/>
      <sheetName val="Emballages"/>
      <sheetName val="Ecremeu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>
        <row r="2">
          <cell r="AR2">
            <v>0.83</v>
          </cell>
        </row>
        <row r="3">
          <cell r="AR3">
            <v>1.27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6">
          <cell r="H6">
            <v>82589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"/>
      <sheetName val="PE"/>
      <sheetName val="U1"/>
      <sheetName val="DI"/>
      <sheetName val="VERIF"/>
      <sheetName val="SIG"/>
      <sheetName val="VOL"/>
      <sheetName val="ACTIVITE"/>
      <sheetName val="RDT"/>
      <sheetName val="FR22"/>
      <sheetName val="MIXM"/>
      <sheetName val="PRODté"/>
      <sheetName val="FACON"/>
      <sheetName val="PCI PPNC"/>
      <sheetName val="PCI PPC"/>
      <sheetName val="RAPE GALBANI"/>
      <sheetName val="INTERFA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 Activité"/>
      <sheetName val="VOLUMES"/>
      <sheetName val="Grille"/>
    </sheetNames>
    <sheetDataSet>
      <sheetData sheetId="0"/>
      <sheetData sheetId="1"/>
      <sheetData sheetId="2" refreshError="1">
        <row r="3">
          <cell r="B3">
            <v>1</v>
          </cell>
          <cell r="C3" t="str">
            <v>JANVIER</v>
          </cell>
        </row>
        <row r="4">
          <cell r="B4">
            <v>2</v>
          </cell>
          <cell r="C4" t="str">
            <v>FÉVRIER</v>
          </cell>
        </row>
        <row r="5">
          <cell r="B5">
            <v>3</v>
          </cell>
          <cell r="C5" t="str">
            <v>MARS</v>
          </cell>
        </row>
        <row r="6">
          <cell r="B6">
            <v>4</v>
          </cell>
          <cell r="C6" t="str">
            <v>AVRIL</v>
          </cell>
        </row>
        <row r="7">
          <cell r="B7">
            <v>5</v>
          </cell>
          <cell r="C7" t="str">
            <v>MAI</v>
          </cell>
        </row>
        <row r="8">
          <cell r="B8">
            <v>6</v>
          </cell>
          <cell r="C8" t="str">
            <v>JUIN</v>
          </cell>
        </row>
        <row r="9">
          <cell r="B9">
            <v>7</v>
          </cell>
          <cell r="C9" t="str">
            <v>JUILLET</v>
          </cell>
        </row>
        <row r="10">
          <cell r="B10">
            <v>8</v>
          </cell>
          <cell r="C10" t="str">
            <v>AOÛT</v>
          </cell>
        </row>
        <row r="11">
          <cell r="B11">
            <v>9</v>
          </cell>
          <cell r="C11" t="str">
            <v>SEPTEMBRE</v>
          </cell>
        </row>
        <row r="12">
          <cell r="B12">
            <v>10</v>
          </cell>
          <cell r="C12" t="str">
            <v>OCTOBRE</v>
          </cell>
        </row>
        <row r="13">
          <cell r="B13">
            <v>11</v>
          </cell>
          <cell r="C13" t="str">
            <v>NOVEMBRE</v>
          </cell>
        </row>
        <row r="14">
          <cell r="B14">
            <v>12</v>
          </cell>
          <cell r="C14" t="str">
            <v>DÉCEMBRE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ACFB6-FAD6-4694-8C73-DAAD36FB549F}">
  <sheetPr>
    <pageSetUpPr fitToPage="1"/>
  </sheetPr>
  <dimension ref="A1:L43"/>
  <sheetViews>
    <sheetView zoomScale="90" zoomScaleNormal="90" workbookViewId="0">
      <selection activeCell="C5" sqref="C5"/>
    </sheetView>
  </sheetViews>
  <sheetFormatPr baseColWidth="10" defaultRowHeight="15" x14ac:dyDescent="0.25"/>
  <cols>
    <col min="1" max="1" width="51" customWidth="1"/>
    <col min="2" max="4" width="13.5703125" customWidth="1"/>
    <col min="5" max="5" width="17" customWidth="1"/>
    <col min="6" max="6" width="11.85546875" customWidth="1"/>
    <col min="7" max="9" width="10.140625" customWidth="1"/>
  </cols>
  <sheetData>
    <row r="1" spans="1:11" ht="21" x14ac:dyDescent="0.25">
      <c r="A1" s="67" t="s">
        <v>56</v>
      </c>
      <c r="B1" s="66" t="s">
        <v>55</v>
      </c>
      <c r="C1" s="66" t="s">
        <v>6</v>
      </c>
    </row>
    <row r="2" spans="1:11" x14ac:dyDescent="0.25">
      <c r="A2" s="40" t="s">
        <v>54</v>
      </c>
      <c r="B2" s="41"/>
      <c r="C2" s="65">
        <v>1960</v>
      </c>
      <c r="E2" s="64" t="s">
        <v>53</v>
      </c>
      <c r="F2" t="s">
        <v>52</v>
      </c>
    </row>
    <row r="3" spans="1:11" x14ac:dyDescent="0.25">
      <c r="A3" s="40" t="s">
        <v>51</v>
      </c>
      <c r="B3" s="63">
        <v>0.55630000000000002</v>
      </c>
      <c r="C3" s="62">
        <v>0.55940000000000001</v>
      </c>
      <c r="E3" s="61" t="s">
        <v>50</v>
      </c>
      <c r="F3" t="s">
        <v>49</v>
      </c>
    </row>
    <row r="4" spans="1:11" x14ac:dyDescent="0.25">
      <c r="A4" s="59" t="s">
        <v>28</v>
      </c>
      <c r="B4" s="50">
        <v>0.30049999999999999</v>
      </c>
      <c r="C4" s="60">
        <v>0.29499999999999998</v>
      </c>
      <c r="E4" s="12" t="s">
        <v>48</v>
      </c>
      <c r="F4" s="58" t="s">
        <v>47</v>
      </c>
    </row>
    <row r="5" spans="1:11" x14ac:dyDescent="0.25">
      <c r="A5" s="59" t="s">
        <v>46</v>
      </c>
      <c r="B5" s="49">
        <f>B3-B4</f>
        <v>0.25580000000000003</v>
      </c>
      <c r="C5" s="49">
        <f>C3-C4</f>
        <v>0.26440000000000002</v>
      </c>
      <c r="E5" s="12"/>
      <c r="F5" s="58"/>
    </row>
    <row r="6" spans="1:11" x14ac:dyDescent="0.25">
      <c r="A6" s="51" t="s">
        <v>45</v>
      </c>
      <c r="B6" s="57">
        <f>(1-B3)/(1-B4)</f>
        <v>0.63431022158684769</v>
      </c>
      <c r="C6" s="57">
        <f>(1-C3)/(1-C4)</f>
        <v>0.62496453900709215</v>
      </c>
    </row>
    <row r="7" spans="1:11" x14ac:dyDescent="0.25">
      <c r="A7" s="37" t="s">
        <v>44</v>
      </c>
      <c r="B7" s="56">
        <f>B4/B3</f>
        <v>0.54017616394031998</v>
      </c>
      <c r="C7" s="56">
        <f>C4/C3</f>
        <v>0.52735073292813728</v>
      </c>
    </row>
    <row r="8" spans="1:11" x14ac:dyDescent="0.25">
      <c r="A8" s="40" t="s">
        <v>43</v>
      </c>
      <c r="B8" s="29"/>
      <c r="C8" s="55">
        <v>15350</v>
      </c>
    </row>
    <row r="9" spans="1:11" x14ac:dyDescent="0.25">
      <c r="A9" s="51" t="s">
        <v>42</v>
      </c>
      <c r="B9" s="4">
        <f>B11*1000/C8</f>
        <v>42.267055048788173</v>
      </c>
      <c r="C9" s="54">
        <v>39.03</v>
      </c>
    </row>
    <row r="10" spans="1:11" x14ac:dyDescent="0.25">
      <c r="A10" s="51" t="s">
        <v>41</v>
      </c>
      <c r="B10" s="4">
        <f>B12*1000/C8</f>
        <v>35.310713971300295</v>
      </c>
      <c r="C10" s="54">
        <v>34.17</v>
      </c>
    </row>
    <row r="11" spans="1:11" x14ac:dyDescent="0.25">
      <c r="A11" s="51" t="s">
        <v>40</v>
      </c>
      <c r="B11" s="4">
        <f>B$4/B$15*C$2</f>
        <v>648.7992949988984</v>
      </c>
      <c r="C11" s="4">
        <f>C9*C8/1000</f>
        <v>599.1105</v>
      </c>
      <c r="D11" s="12"/>
      <c r="E11" s="3"/>
    </row>
    <row r="12" spans="1:11" x14ac:dyDescent="0.25">
      <c r="A12" s="51" t="s">
        <v>39</v>
      </c>
      <c r="B12" s="4">
        <f>C$2*B$5/B$16</f>
        <v>542.01945945945954</v>
      </c>
      <c r="C12" s="4">
        <f>C10*C8/1000</f>
        <v>524.5095</v>
      </c>
      <c r="D12" s="12"/>
      <c r="E12" s="3"/>
      <c r="K12" s="12"/>
    </row>
    <row r="13" spans="1:11" x14ac:dyDescent="0.25">
      <c r="A13" s="37" t="s">
        <v>38</v>
      </c>
      <c r="B13" s="53">
        <f>B11/B12</f>
        <v>1.1970036936421569</v>
      </c>
      <c r="C13" s="53">
        <f>C11/C12</f>
        <v>1.1422300263388938</v>
      </c>
    </row>
    <row r="14" spans="1:11" x14ac:dyDescent="0.25">
      <c r="A14" s="51" t="s">
        <v>37</v>
      </c>
      <c r="B14" s="52">
        <f>(B5*1000/B10)</f>
        <v>7.2442602040816331</v>
      </c>
      <c r="C14" s="52">
        <f>(C5*1000/C10)</f>
        <v>7.7377816798361145</v>
      </c>
      <c r="I14" s="12"/>
    </row>
    <row r="15" spans="1:11" x14ac:dyDescent="0.25">
      <c r="A15" s="51" t="s">
        <v>36</v>
      </c>
      <c r="B15" s="50">
        <v>0.90780000000000005</v>
      </c>
      <c r="C15" s="49">
        <f>C4*C2/C11</f>
        <v>0.96509742359714934</v>
      </c>
    </row>
    <row r="16" spans="1:11" x14ac:dyDescent="0.25">
      <c r="A16" s="51" t="s">
        <v>35</v>
      </c>
      <c r="B16" s="50">
        <v>0.92500000000000004</v>
      </c>
      <c r="C16" s="49">
        <f>C5*C2/C12</f>
        <v>0.98801642296278724</v>
      </c>
    </row>
    <row r="17" spans="1:12" x14ac:dyDescent="0.25">
      <c r="A17" s="48" t="s">
        <v>34</v>
      </c>
      <c r="B17" s="9">
        <f>(B4*C2)-B11</f>
        <v>-59.819294998898386</v>
      </c>
      <c r="C17" s="9">
        <f>(C4*C2)-C11</f>
        <v>-20.91050000000007</v>
      </c>
    </row>
    <row r="18" spans="1:12" x14ac:dyDescent="0.25">
      <c r="A18" s="47" t="s">
        <v>33</v>
      </c>
      <c r="B18" s="46">
        <f>B17/B11</f>
        <v>-9.2199999999999921E-2</v>
      </c>
      <c r="C18" s="45">
        <f>C17/C11</f>
        <v>-3.4902576402850674E-2</v>
      </c>
    </row>
    <row r="19" spans="1:12" x14ac:dyDescent="0.25">
      <c r="A19" s="68"/>
      <c r="B19" s="69"/>
      <c r="C19" s="69"/>
    </row>
    <row r="20" spans="1:12" x14ac:dyDescent="0.25">
      <c r="A20" s="44"/>
      <c r="B20" s="44"/>
      <c r="C20" s="44"/>
      <c r="E20" s="13" t="s">
        <v>59</v>
      </c>
      <c r="F20" s="13" t="s">
        <v>31</v>
      </c>
      <c r="G20" s="13" t="s">
        <v>30</v>
      </c>
      <c r="J20" s="12"/>
      <c r="K20" s="12"/>
      <c r="L20" s="12"/>
    </row>
    <row r="21" spans="1:12" x14ac:dyDescent="0.25">
      <c r="A21" s="40" t="s">
        <v>32</v>
      </c>
      <c r="B21" s="43">
        <f>B11/C2*1000</f>
        <v>331.02004846882573</v>
      </c>
      <c r="C21" s="43">
        <f>C9*C8/C2</f>
        <v>305.66862244897959</v>
      </c>
      <c r="E21" s="41" t="s">
        <v>28</v>
      </c>
      <c r="F21" s="9">
        <f>(B21-C21)/1000*$C$2</f>
        <v>49.688794998898445</v>
      </c>
      <c r="G21" s="9">
        <f>((B21-C21)*C2*B23/1000)</f>
        <v>249.93463884445916</v>
      </c>
    </row>
    <row r="22" spans="1:12" x14ac:dyDescent="0.25">
      <c r="A22" s="37" t="s">
        <v>29</v>
      </c>
      <c r="B22" s="42">
        <f>B12/C2*1000</f>
        <v>276.54054054054058</v>
      </c>
      <c r="C22" s="42">
        <f>C10*C8/C2</f>
        <v>267.60688775510204</v>
      </c>
      <c r="E22" s="38" t="s">
        <v>13</v>
      </c>
      <c r="F22" s="1">
        <f>(B22-C22)/1000*$C$2</f>
        <v>17.509959459459537</v>
      </c>
      <c r="G22" s="1">
        <f>((B22-C22)*C2*B24/1000)</f>
        <v>156.01373878378448</v>
      </c>
    </row>
    <row r="23" spans="1:12" x14ac:dyDescent="0.25">
      <c r="A23" s="40" t="s">
        <v>27</v>
      </c>
      <c r="B23" s="39">
        <v>5.03</v>
      </c>
      <c r="C23" s="39">
        <v>5.03</v>
      </c>
      <c r="E23" s="20" t="s">
        <v>0</v>
      </c>
      <c r="F23" s="70"/>
      <c r="G23" s="17">
        <f>SUM(G21:G22)</f>
        <v>405.94837762824363</v>
      </c>
    </row>
    <row r="24" spans="1:12" x14ac:dyDescent="0.25">
      <c r="A24" s="37" t="s">
        <v>26</v>
      </c>
      <c r="B24" s="36">
        <v>8.91</v>
      </c>
      <c r="C24" s="36">
        <v>8.91</v>
      </c>
    </row>
    <row r="25" spans="1:12" x14ac:dyDescent="0.25">
      <c r="A25" s="35"/>
      <c r="B25" s="34"/>
      <c r="I25" s="12"/>
      <c r="J25" s="12"/>
      <c r="K25" s="12"/>
      <c r="L25" s="12"/>
    </row>
    <row r="27" spans="1:12" x14ac:dyDescent="0.25">
      <c r="B27" s="33" t="s">
        <v>25</v>
      </c>
      <c r="C27" s="33" t="s">
        <v>24</v>
      </c>
      <c r="D27" s="33" t="s">
        <v>23</v>
      </c>
      <c r="E27" s="13" t="s">
        <v>22</v>
      </c>
      <c r="F27" s="13" t="s">
        <v>21</v>
      </c>
      <c r="G27" s="13" t="s">
        <v>20</v>
      </c>
      <c r="H27" s="33" t="s">
        <v>19</v>
      </c>
      <c r="I27" s="32" t="s">
        <v>18</v>
      </c>
    </row>
    <row r="28" spans="1:12" x14ac:dyDescent="0.25">
      <c r="A28" s="31" t="s">
        <v>17</v>
      </c>
      <c r="B28" s="29"/>
      <c r="C28" s="29"/>
      <c r="D28" s="28"/>
      <c r="E28" s="30"/>
      <c r="F28" s="30"/>
      <c r="G28" s="29"/>
      <c r="H28" s="29"/>
      <c r="I28" s="28"/>
    </row>
    <row r="29" spans="1:12" x14ac:dyDescent="0.25">
      <c r="A29" s="26" t="s">
        <v>16</v>
      </c>
      <c r="B29" s="17">
        <f>C$2*B$4/B$15</f>
        <v>648.7992949988984</v>
      </c>
      <c r="C29" s="17">
        <f>$C$2*$C$4/$C$15</f>
        <v>599.1105</v>
      </c>
      <c r="D29" s="16">
        <f>B29-C29</f>
        <v>49.688794998898402</v>
      </c>
      <c r="E29" s="18"/>
      <c r="F29" s="18"/>
      <c r="G29" s="17"/>
      <c r="H29" s="17"/>
      <c r="I29" s="16"/>
    </row>
    <row r="30" spans="1:12" x14ac:dyDescent="0.25">
      <c r="A30" s="25" t="s">
        <v>15</v>
      </c>
      <c r="B30" s="4">
        <f>C$2*B$4/B$15</f>
        <v>648.7992949988984</v>
      </c>
      <c r="C30" s="4">
        <f>$C$2*$C$4/$B$15</f>
        <v>636.92443269442595</v>
      </c>
      <c r="D30" s="23">
        <f>B30-C30</f>
        <v>11.874862304472458</v>
      </c>
      <c r="E30" s="24"/>
      <c r="F30" s="24">
        <f>D30</f>
        <v>11.874862304472458</v>
      </c>
      <c r="G30" s="4"/>
      <c r="H30" s="4">
        <f>F30*B$23</f>
        <v>59.730557391496468</v>
      </c>
      <c r="I30" s="23">
        <f>SUM(G30:H30)</f>
        <v>59.730557391496468</v>
      </c>
    </row>
    <row r="31" spans="1:12" x14ac:dyDescent="0.25">
      <c r="A31" s="27" t="s">
        <v>14</v>
      </c>
      <c r="B31" s="4">
        <f>C$2*B$4/B$15</f>
        <v>648.7992949988984</v>
      </c>
      <c r="C31" s="4">
        <f>$C$2*$B$4/$C$15</f>
        <v>610.28035677966113</v>
      </c>
      <c r="D31" s="23">
        <f>B31-C31</f>
        <v>38.51893821923727</v>
      </c>
      <c r="E31" s="24"/>
      <c r="F31" s="24">
        <f>D31</f>
        <v>38.51893821923727</v>
      </c>
      <c r="G31" s="4"/>
      <c r="H31" s="4">
        <f>F31*B$23</f>
        <v>193.75025924276349</v>
      </c>
      <c r="I31" s="23">
        <f>SUM(G31:H31)</f>
        <v>193.75025924276349</v>
      </c>
    </row>
    <row r="32" spans="1:12" x14ac:dyDescent="0.25">
      <c r="A32" s="22" t="s">
        <v>10</v>
      </c>
      <c r="B32" s="1"/>
      <c r="C32" s="1"/>
      <c r="D32" s="6">
        <f>(B15-C15)*(B4-C4)*C2</f>
        <v>-0.61766622637726987</v>
      </c>
      <c r="E32" s="21"/>
      <c r="F32" s="21">
        <f>D32</f>
        <v>-0.61766622637726987</v>
      </c>
      <c r="G32" s="1"/>
      <c r="H32" s="1">
        <f>F32*B$23</f>
        <v>-3.1068611186776676</v>
      </c>
      <c r="I32" s="6">
        <f>SUM(G32:H32)</f>
        <v>-3.1068611186776676</v>
      </c>
    </row>
    <row r="33" spans="1:9" x14ac:dyDescent="0.25">
      <c r="A33" s="26" t="s">
        <v>13</v>
      </c>
      <c r="B33" s="17">
        <f>C$2*B$5/B$16</f>
        <v>542.01945945945954</v>
      </c>
      <c r="C33" s="17">
        <f>$C$2*$C$5/$C$16</f>
        <v>524.5095</v>
      </c>
      <c r="D33" s="16">
        <f>B33-C33</f>
        <v>17.509959459459537</v>
      </c>
      <c r="E33" s="18"/>
      <c r="F33" s="18"/>
      <c r="G33" s="17"/>
      <c r="H33" s="17"/>
      <c r="I33" s="16"/>
    </row>
    <row r="34" spans="1:9" x14ac:dyDescent="0.25">
      <c r="A34" s="25" t="s">
        <v>12</v>
      </c>
      <c r="B34" s="4">
        <f>C$2*B$5/B$16</f>
        <v>542.01945945945954</v>
      </c>
      <c r="C34" s="4">
        <f>C2*C5/B16</f>
        <v>560.24216216216223</v>
      </c>
      <c r="D34" s="23">
        <f>B34-C34</f>
        <v>-18.222702702702691</v>
      </c>
      <c r="E34" s="24">
        <f>D34</f>
        <v>-18.222702702702691</v>
      </c>
      <c r="F34" s="24"/>
      <c r="G34" s="4">
        <f>E34*B$24</f>
        <v>-162.36428108108097</v>
      </c>
      <c r="H34" s="4"/>
      <c r="I34" s="23">
        <f>SUM(G34:H34)</f>
        <v>-162.36428108108097</v>
      </c>
    </row>
    <row r="35" spans="1:9" x14ac:dyDescent="0.25">
      <c r="A35" s="25" t="s">
        <v>11</v>
      </c>
      <c r="B35" s="4">
        <f>C$2*B$5/B$16</f>
        <v>542.01945945945954</v>
      </c>
      <c r="C35" s="4">
        <f>C2*B5/C16</f>
        <v>507.44905484114975</v>
      </c>
      <c r="D35" s="23">
        <f>B35-C35</f>
        <v>34.570404618309794</v>
      </c>
      <c r="E35" s="24">
        <f>D35</f>
        <v>34.570404618309794</v>
      </c>
      <c r="F35" s="24"/>
      <c r="G35" s="4">
        <f>E35*B$24</f>
        <v>308.02230514914027</v>
      </c>
      <c r="H35" s="4"/>
      <c r="I35" s="23">
        <f>SUM(G35:H35)</f>
        <v>308.02230514914027</v>
      </c>
    </row>
    <row r="36" spans="1:9" x14ac:dyDescent="0.25">
      <c r="A36" s="22" t="s">
        <v>10</v>
      </c>
      <c r="B36" s="1"/>
      <c r="C36" s="7"/>
      <c r="D36" s="1">
        <f>(B16-C16)*(B5-C5)*C2</f>
        <v>1.0622048254607406</v>
      </c>
      <c r="E36" s="21">
        <f>D36</f>
        <v>1.0622048254607406</v>
      </c>
      <c r="F36" s="21"/>
      <c r="G36" s="1">
        <f>E36*B$24</f>
        <v>9.4642449948551981</v>
      </c>
      <c r="H36" s="1"/>
      <c r="I36" s="6">
        <f>SUM(G36:H36)</f>
        <v>9.4642449948551981</v>
      </c>
    </row>
    <row r="37" spans="1:9" x14ac:dyDescent="0.25">
      <c r="A37" s="20" t="s">
        <v>9</v>
      </c>
      <c r="B37" s="17"/>
      <c r="C37" s="19"/>
      <c r="D37" s="17"/>
      <c r="E37" s="18">
        <f>SUM(E29:E36)</f>
        <v>17.409906741067843</v>
      </c>
      <c r="F37" s="18">
        <f>SUM(F29:F36)</f>
        <v>49.776134297332462</v>
      </c>
      <c r="G37" s="17">
        <f>SUM(G29:G36)</f>
        <v>155.12226906291448</v>
      </c>
      <c r="H37" s="17">
        <f>SUM(H29:H36)</f>
        <v>250.37395551558228</v>
      </c>
      <c r="I37" s="16">
        <f>SUM(I29:I36)</f>
        <v>405.49622457849682</v>
      </c>
    </row>
    <row r="39" spans="1:9" x14ac:dyDescent="0.25">
      <c r="A39" s="15" t="s">
        <v>8</v>
      </c>
      <c r="B39" s="14"/>
      <c r="F39" s="13" t="s">
        <v>7</v>
      </c>
      <c r="G39" s="13" t="s">
        <v>6</v>
      </c>
      <c r="H39" s="13" t="s">
        <v>5</v>
      </c>
      <c r="I39" s="13" t="s">
        <v>4</v>
      </c>
    </row>
    <row r="40" spans="1:9" x14ac:dyDescent="0.25">
      <c r="A40" s="5" t="s">
        <v>3</v>
      </c>
      <c r="B40" s="9">
        <f>SUM(I30,I34)</f>
        <v>-102.63372368958451</v>
      </c>
      <c r="D40" s="12"/>
      <c r="E40" s="11" t="s">
        <v>57</v>
      </c>
      <c r="F40" s="9">
        <f>B11</f>
        <v>648.7992949988984</v>
      </c>
      <c r="G40" s="10">
        <f>C11</f>
        <v>599.1105</v>
      </c>
      <c r="H40" s="9">
        <f>F40-G40</f>
        <v>49.688794998898402</v>
      </c>
      <c r="I40" s="8">
        <f>H40*B23</f>
        <v>249.93463884445899</v>
      </c>
    </row>
    <row r="41" spans="1:9" x14ac:dyDescent="0.25">
      <c r="A41" s="5" t="s">
        <v>2</v>
      </c>
      <c r="B41" s="4">
        <f>SUM(I31,I35)</f>
        <v>501.77256439190376</v>
      </c>
      <c r="E41" s="2" t="s">
        <v>58</v>
      </c>
      <c r="F41" s="1">
        <f>B12</f>
        <v>542.01945945945954</v>
      </c>
      <c r="G41" s="7">
        <f>C12</f>
        <v>524.5095</v>
      </c>
      <c r="H41" s="1">
        <f>F41-G41</f>
        <v>17.509959459459537</v>
      </c>
      <c r="I41" s="6">
        <f>H41*B24</f>
        <v>156.01373878378448</v>
      </c>
    </row>
    <row r="42" spans="1:9" x14ac:dyDescent="0.25">
      <c r="A42" s="5" t="s">
        <v>1</v>
      </c>
      <c r="B42" s="4">
        <f>SUM(I32+I36)</f>
        <v>6.357383876177531</v>
      </c>
      <c r="E42" s="20" t="s">
        <v>0</v>
      </c>
      <c r="F42" s="19"/>
      <c r="G42" s="19"/>
      <c r="H42" s="19"/>
      <c r="I42" s="17">
        <f>SUM(I40:I41)</f>
        <v>405.94837762824346</v>
      </c>
    </row>
    <row r="43" spans="1:9" x14ac:dyDescent="0.25">
      <c r="A43" s="2" t="s">
        <v>0</v>
      </c>
      <c r="B43" s="1">
        <f>SUM(B40:B42)</f>
        <v>405.49622457849682</v>
      </c>
    </row>
  </sheetData>
  <pageMargins left="0.25" right="0.25" top="0.75" bottom="0.75" header="0.3" footer="0.3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4B7AF-4A19-43C6-8A13-3A5EBCA6F48D}">
  <sheetPr>
    <pageSetUpPr fitToPage="1"/>
  </sheetPr>
  <dimension ref="A1:L43"/>
  <sheetViews>
    <sheetView tabSelected="1" topLeftCell="B1" zoomScale="90" zoomScaleNormal="90" workbookViewId="0">
      <selection activeCell="H6" sqref="H6"/>
    </sheetView>
  </sheetViews>
  <sheetFormatPr baseColWidth="10" defaultRowHeight="15" x14ac:dyDescent="0.25"/>
  <cols>
    <col min="1" max="1" width="51" customWidth="1"/>
    <col min="2" max="4" width="13.5703125" customWidth="1"/>
    <col min="5" max="5" width="13.85546875" customWidth="1"/>
    <col min="6" max="6" width="12.85546875" customWidth="1"/>
    <col min="7" max="7" width="10.140625" customWidth="1"/>
    <col min="8" max="8" width="16.7109375" customWidth="1"/>
    <col min="9" max="9" width="10.140625" customWidth="1"/>
  </cols>
  <sheetData>
    <row r="1" spans="1:12" ht="30" x14ac:dyDescent="0.25">
      <c r="A1" s="67" t="s">
        <v>56</v>
      </c>
      <c r="B1" s="66" t="s">
        <v>55</v>
      </c>
      <c r="C1" s="66" t="s">
        <v>6</v>
      </c>
      <c r="E1" s="66" t="s">
        <v>60</v>
      </c>
      <c r="F1" s="66" t="s">
        <v>60</v>
      </c>
    </row>
    <row r="2" spans="1:12" x14ac:dyDescent="0.25">
      <c r="A2" s="40" t="s">
        <v>54</v>
      </c>
      <c r="B2" s="41"/>
      <c r="C2" s="65">
        <v>1960</v>
      </c>
      <c r="E2" s="65">
        <v>1960</v>
      </c>
      <c r="F2" s="65">
        <v>1960</v>
      </c>
      <c r="H2" s="64" t="s">
        <v>53</v>
      </c>
      <c r="I2" t="s">
        <v>52</v>
      </c>
    </row>
    <row r="3" spans="1:12" x14ac:dyDescent="0.25">
      <c r="A3" s="40" t="s">
        <v>51</v>
      </c>
      <c r="B3" s="63">
        <v>0.55630000000000002</v>
      </c>
      <c r="C3" s="62">
        <v>0.55940000000000001</v>
      </c>
      <c r="E3" s="62">
        <v>0.55940000000000001</v>
      </c>
      <c r="F3" s="62">
        <v>0.55940000000000001</v>
      </c>
      <c r="H3" s="61" t="s">
        <v>50</v>
      </c>
      <c r="I3" t="s">
        <v>49</v>
      </c>
    </row>
    <row r="4" spans="1:12" x14ac:dyDescent="0.25">
      <c r="A4" s="59" t="s">
        <v>28</v>
      </c>
      <c r="B4" s="50">
        <v>0.30049999999999999</v>
      </c>
      <c r="C4" s="60">
        <v>0.29499999999999998</v>
      </c>
      <c r="E4" s="60">
        <v>0.29499999999999998</v>
      </c>
      <c r="F4" s="60">
        <v>0.29499999999999998</v>
      </c>
      <c r="H4" s="12" t="s">
        <v>48</v>
      </c>
      <c r="I4" s="58" t="s">
        <v>47</v>
      </c>
    </row>
    <row r="5" spans="1:12" x14ac:dyDescent="0.25">
      <c r="A5" s="59" t="s">
        <v>46</v>
      </c>
      <c r="B5" s="49">
        <f>B3-B4</f>
        <v>0.25580000000000003</v>
      </c>
      <c r="C5" s="49">
        <f>C3-C4</f>
        <v>0.26440000000000002</v>
      </c>
      <c r="E5" s="49">
        <f>E3-E4</f>
        <v>0.26440000000000002</v>
      </c>
      <c r="F5" s="49">
        <f>F3-F4</f>
        <v>0.26440000000000002</v>
      </c>
      <c r="H5" s="12"/>
      <c r="I5" s="58"/>
    </row>
    <row r="6" spans="1:12" x14ac:dyDescent="0.25">
      <c r="A6" s="51" t="s">
        <v>45</v>
      </c>
      <c r="B6" s="57">
        <f>(1-B3)/(1-B4)</f>
        <v>0.63431022158684769</v>
      </c>
      <c r="C6" s="57">
        <f>(1-C3)/(1-C4)</f>
        <v>0.62496453900709215</v>
      </c>
      <c r="E6" s="57">
        <f>(1-E3)/(1-E4)</f>
        <v>0.62496453900709215</v>
      </c>
      <c r="F6" s="57">
        <f>(1-F3)/(1-F4)</f>
        <v>0.62496453900709215</v>
      </c>
    </row>
    <row r="7" spans="1:12" x14ac:dyDescent="0.25">
      <c r="A7" s="37" t="s">
        <v>44</v>
      </c>
      <c r="B7" s="56">
        <f>B4/B3</f>
        <v>0.54017616394031998</v>
      </c>
      <c r="C7" s="56">
        <f>C4/C3</f>
        <v>0.52735073292813728</v>
      </c>
      <c r="E7" s="56">
        <f>E4/E3</f>
        <v>0.52735073292813728</v>
      </c>
      <c r="F7" s="56">
        <f>F4/F3</f>
        <v>0.52735073292813728</v>
      </c>
    </row>
    <row r="8" spans="1:12" x14ac:dyDescent="0.25">
      <c r="A8" s="40" t="s">
        <v>43</v>
      </c>
      <c r="B8" s="29"/>
      <c r="C8" s="55">
        <v>15350</v>
      </c>
      <c r="E8" s="55">
        <v>15350</v>
      </c>
      <c r="F8" s="55">
        <v>15350</v>
      </c>
    </row>
    <row r="9" spans="1:12" x14ac:dyDescent="0.25">
      <c r="A9" s="51" t="s">
        <v>42</v>
      </c>
      <c r="B9" s="4">
        <f>B11*1000/C8</f>
        <v>42.267055048788173</v>
      </c>
      <c r="C9" s="54">
        <v>39.03</v>
      </c>
      <c r="E9" s="71">
        <f>C9*1.025</f>
        <v>40.005749999999999</v>
      </c>
      <c r="F9" s="71">
        <f>C9*0.975</f>
        <v>38.054250000000003</v>
      </c>
      <c r="H9" s="3"/>
    </row>
    <row r="10" spans="1:12" x14ac:dyDescent="0.25">
      <c r="A10" s="51" t="s">
        <v>41</v>
      </c>
      <c r="B10" s="4">
        <f>B12*1000/C8</f>
        <v>35.310713971300295</v>
      </c>
      <c r="C10" s="54">
        <v>34.17</v>
      </c>
      <c r="E10" s="71">
        <f>C10*0.975</f>
        <v>33.315750000000001</v>
      </c>
      <c r="F10" s="71">
        <f>C10*1.025</f>
        <v>35.024250000000002</v>
      </c>
      <c r="H10" s="3"/>
    </row>
    <row r="11" spans="1:12" x14ac:dyDescent="0.25">
      <c r="A11" s="51" t="s">
        <v>40</v>
      </c>
      <c r="B11" s="4">
        <f>B$4/B$15*C$2</f>
        <v>648.7992949988984</v>
      </c>
      <c r="C11" s="4">
        <f>C9*C8/1000</f>
        <v>599.1105</v>
      </c>
      <c r="D11" s="12"/>
      <c r="E11" s="4">
        <f>E9*E8/1000</f>
        <v>614.08826249999993</v>
      </c>
      <c r="F11" s="4">
        <f>F9*F8/1000</f>
        <v>584.13273750000008</v>
      </c>
      <c r="H11" s="3"/>
    </row>
    <row r="12" spans="1:12" x14ac:dyDescent="0.25">
      <c r="A12" s="51" t="s">
        <v>39</v>
      </c>
      <c r="B12" s="4">
        <f>C$2*B$5/B$16</f>
        <v>542.01945945945954</v>
      </c>
      <c r="C12" s="4">
        <f>C10*C8/1000</f>
        <v>524.5095</v>
      </c>
      <c r="D12" s="12"/>
      <c r="E12" s="4">
        <f>E10*E8/1000</f>
        <v>511.39676250000002</v>
      </c>
      <c r="F12" s="4">
        <f>F10*F8/1000</f>
        <v>537.6222375000001</v>
      </c>
      <c r="H12" s="3"/>
    </row>
    <row r="13" spans="1:12" x14ac:dyDescent="0.25">
      <c r="A13" s="37" t="s">
        <v>38</v>
      </c>
      <c r="B13" s="53">
        <f>B11/B12</f>
        <v>1.1970036936421569</v>
      </c>
      <c r="C13" s="53">
        <f>C11/C12</f>
        <v>1.1422300263388938</v>
      </c>
      <c r="E13" s="53">
        <f>E11/E12</f>
        <v>1.2008059251255034</v>
      </c>
      <c r="F13" s="53">
        <f>F11/F12</f>
        <v>1.0865114884687037</v>
      </c>
    </row>
    <row r="14" spans="1:12" x14ac:dyDescent="0.25">
      <c r="A14" s="51" t="s">
        <v>37</v>
      </c>
      <c r="B14" s="52">
        <f>(B5*1000/B10)</f>
        <v>7.2442602040816331</v>
      </c>
      <c r="C14" s="52">
        <f>(C5*1000/C10)</f>
        <v>7.7377816798361145</v>
      </c>
      <c r="E14" s="52">
        <f>(E5*1000/E10)</f>
        <v>7.9361863382934503</v>
      </c>
      <c r="F14" s="52">
        <f>(F5*1000/F10)</f>
        <v>7.5490552974010869</v>
      </c>
      <c r="L14" s="12"/>
    </row>
    <row r="15" spans="1:12" x14ac:dyDescent="0.25">
      <c r="A15" s="51" t="s">
        <v>36</v>
      </c>
      <c r="B15" s="50">
        <v>0.90780000000000005</v>
      </c>
      <c r="C15" s="49">
        <f>C4*C2/C11</f>
        <v>0.96509742359714934</v>
      </c>
      <c r="E15" s="49">
        <f>E4*E2/E11</f>
        <v>0.94155846204599947</v>
      </c>
      <c r="F15" s="49">
        <f>F4*F2/F11</f>
        <v>0.98984351138169147</v>
      </c>
    </row>
    <row r="16" spans="1:12" x14ac:dyDescent="0.25">
      <c r="A16" s="51" t="s">
        <v>35</v>
      </c>
      <c r="B16" s="50">
        <v>0.92500000000000004</v>
      </c>
      <c r="C16" s="49">
        <f>C5*C2/C12</f>
        <v>0.98801642296278724</v>
      </c>
      <c r="E16" s="49">
        <f>E5*E2/E12</f>
        <v>1.0133501773977305</v>
      </c>
      <c r="F16" s="49">
        <f>F5*F2/F12</f>
        <v>0.96391846142710935</v>
      </c>
    </row>
    <row r="17" spans="1:12" x14ac:dyDescent="0.25">
      <c r="A17" s="48" t="s">
        <v>34</v>
      </c>
      <c r="B17" s="9">
        <f>(B4*C2)-B11</f>
        <v>-59.819294998898386</v>
      </c>
      <c r="C17" s="9">
        <f>(C4*C2)-C11</f>
        <v>-20.91050000000007</v>
      </c>
      <c r="E17" s="9">
        <f>(E4*E2)-E11</f>
        <v>-35.888262499999996</v>
      </c>
      <c r="F17" s="9">
        <f>(F4*F2)-F11</f>
        <v>-5.9327375000001439</v>
      </c>
    </row>
    <row r="18" spans="1:12" x14ac:dyDescent="0.25">
      <c r="A18" s="47" t="s">
        <v>33</v>
      </c>
      <c r="B18" s="46">
        <f>B17/B11</f>
        <v>-9.2199999999999921E-2</v>
      </c>
      <c r="C18" s="45">
        <f>C17/C11</f>
        <v>-3.4902576402850674E-2</v>
      </c>
      <c r="E18" s="45">
        <f>E17/E11</f>
        <v>-5.8441537954000547E-2</v>
      </c>
      <c r="F18" s="45">
        <f>F17/F11</f>
        <v>-1.015648861830851E-2</v>
      </c>
    </row>
    <row r="19" spans="1:12" x14ac:dyDescent="0.25">
      <c r="A19" s="68"/>
      <c r="B19" s="69"/>
      <c r="C19" s="69"/>
      <c r="E19" s="69"/>
      <c r="F19" s="69"/>
    </row>
    <row r="20" spans="1:12" x14ac:dyDescent="0.25">
      <c r="A20" s="44"/>
      <c r="B20" s="44"/>
      <c r="C20" s="44"/>
      <c r="E20" s="44"/>
      <c r="F20" s="44"/>
    </row>
    <row r="21" spans="1:12" x14ac:dyDescent="0.25">
      <c r="A21" s="40" t="s">
        <v>32</v>
      </c>
      <c r="B21" s="43">
        <f>B11/C2*1000</f>
        <v>331.02004846882573</v>
      </c>
      <c r="C21" s="43">
        <f>C9*C8/C2</f>
        <v>305.66862244897959</v>
      </c>
      <c r="E21" s="43">
        <f>E9*E8/E2</f>
        <v>313.31033801020408</v>
      </c>
      <c r="F21" s="43">
        <f>F9*F8/F2</f>
        <v>298.0269068877551</v>
      </c>
      <c r="H21" s="13" t="s">
        <v>59</v>
      </c>
      <c r="I21" s="13" t="s">
        <v>31</v>
      </c>
      <c r="J21" s="72" t="s">
        <v>30</v>
      </c>
      <c r="K21" s="73" t="s">
        <v>61</v>
      </c>
      <c r="L21" s="74"/>
    </row>
    <row r="22" spans="1:12" x14ac:dyDescent="0.25">
      <c r="A22" s="37" t="s">
        <v>29</v>
      </c>
      <c r="B22" s="42">
        <f>B12/C2*1000</f>
        <v>276.54054054054058</v>
      </c>
      <c r="C22" s="42">
        <f>C10*C8/C2</f>
        <v>267.60688775510204</v>
      </c>
      <c r="E22" s="42">
        <f>E10*E8/E2</f>
        <v>260.91671556122452</v>
      </c>
      <c r="F22" s="42">
        <f>F10*F8/F2</f>
        <v>274.29705994897961</v>
      </c>
      <c r="H22" s="41" t="s">
        <v>28</v>
      </c>
      <c r="I22" s="9">
        <f>(B21-C21)/1000*$C$2</f>
        <v>49.688794998898445</v>
      </c>
      <c r="J22" s="9">
        <f>((B21-C21)*C2*B23/1000)</f>
        <v>249.93463884445916</v>
      </c>
      <c r="K22" s="71">
        <f>(B21-E21)*E23*E2/1000</f>
        <v>174.5964934694592</v>
      </c>
      <c r="L22" s="71">
        <f>(B21-F21)*F23*F2/1000</f>
        <v>325.27278421945908</v>
      </c>
    </row>
    <row r="23" spans="1:12" x14ac:dyDescent="0.25">
      <c r="A23" s="40" t="s">
        <v>27</v>
      </c>
      <c r="B23" s="39">
        <v>5.03</v>
      </c>
      <c r="C23" s="39">
        <v>5.03</v>
      </c>
      <c r="E23" s="39">
        <v>5.03</v>
      </c>
      <c r="F23" s="39">
        <v>5.03</v>
      </c>
      <c r="H23" s="38" t="s">
        <v>13</v>
      </c>
      <c r="I23" s="1">
        <f>(B22-C22)/1000*$C$2</f>
        <v>17.509959459459537</v>
      </c>
      <c r="J23" s="1">
        <f>((B22-C22)*C2*B24/1000)</f>
        <v>156.01373878378448</v>
      </c>
      <c r="K23" s="75">
        <f>(B22-E22)*E24*E2/1000</f>
        <v>272.84822990878388</v>
      </c>
      <c r="L23" s="75">
        <f>(B22-F22)*F24*F2/1000</f>
        <v>39.179247658784107</v>
      </c>
    </row>
    <row r="24" spans="1:12" x14ac:dyDescent="0.25">
      <c r="A24" s="37" t="s">
        <v>26</v>
      </c>
      <c r="B24" s="36">
        <v>8.91</v>
      </c>
      <c r="C24" s="36">
        <v>8.91</v>
      </c>
      <c r="E24" s="36">
        <v>8.91</v>
      </c>
      <c r="F24" s="36">
        <v>8.91</v>
      </c>
      <c r="H24" s="20" t="s">
        <v>0</v>
      </c>
      <c r="I24" s="70"/>
      <c r="J24" s="17">
        <f>SUM(J22:J23)</f>
        <v>405.94837762824363</v>
      </c>
      <c r="K24" s="17">
        <f t="shared" ref="K24:L24" si="0">SUM(K22:K23)</f>
        <v>447.44472337824311</v>
      </c>
      <c r="L24" s="17">
        <f t="shared" si="0"/>
        <v>364.45203187824319</v>
      </c>
    </row>
    <row r="25" spans="1:12" x14ac:dyDescent="0.25">
      <c r="A25" s="35"/>
      <c r="B25" s="34"/>
      <c r="I25" s="12"/>
      <c r="J25" s="12"/>
      <c r="K25" s="12"/>
      <c r="L25" s="12"/>
    </row>
    <row r="27" spans="1:12" x14ac:dyDescent="0.25">
      <c r="B27" s="33" t="s">
        <v>25</v>
      </c>
      <c r="C27" s="33" t="s">
        <v>24</v>
      </c>
      <c r="D27" s="33" t="s">
        <v>23</v>
      </c>
      <c r="E27" s="13" t="s">
        <v>22</v>
      </c>
      <c r="F27" s="13" t="s">
        <v>21</v>
      </c>
      <c r="G27" s="13" t="s">
        <v>20</v>
      </c>
      <c r="H27" s="33" t="s">
        <v>19</v>
      </c>
      <c r="I27" s="32" t="s">
        <v>18</v>
      </c>
    </row>
    <row r="28" spans="1:12" x14ac:dyDescent="0.25">
      <c r="A28" s="31" t="s">
        <v>17</v>
      </c>
      <c r="B28" s="29"/>
      <c r="C28" s="29"/>
      <c r="D28" s="28"/>
      <c r="E28" s="30"/>
      <c r="F28" s="30"/>
      <c r="G28" s="29"/>
      <c r="H28" s="29"/>
      <c r="I28" s="28"/>
    </row>
    <row r="29" spans="1:12" x14ac:dyDescent="0.25">
      <c r="A29" s="26" t="s">
        <v>16</v>
      </c>
      <c r="B29" s="17">
        <f>C$2*B$4/B$15</f>
        <v>648.7992949988984</v>
      </c>
      <c r="C29" s="17">
        <f>$C$2*$C$4/$C$15</f>
        <v>599.1105</v>
      </c>
      <c r="D29" s="16">
        <f>B29-C29</f>
        <v>49.688794998898402</v>
      </c>
      <c r="E29" s="18"/>
      <c r="F29" s="18"/>
      <c r="G29" s="17"/>
      <c r="H29" s="17"/>
      <c r="I29" s="16"/>
    </row>
    <row r="30" spans="1:12" x14ac:dyDescent="0.25">
      <c r="A30" s="25" t="s">
        <v>15</v>
      </c>
      <c r="B30" s="4">
        <f>C$2*B$4/B$15</f>
        <v>648.7992949988984</v>
      </c>
      <c r="C30" s="4">
        <f>$C$2*$C$4/$B$15</f>
        <v>636.92443269442595</v>
      </c>
      <c r="D30" s="23">
        <f>B30-C30</f>
        <v>11.874862304472458</v>
      </c>
      <c r="E30" s="24"/>
      <c r="F30" s="24">
        <f>D30</f>
        <v>11.874862304472458</v>
      </c>
      <c r="G30" s="4"/>
      <c r="H30" s="4">
        <f>F30*B$23</f>
        <v>59.730557391496468</v>
      </c>
      <c r="I30" s="23">
        <f>SUM(G30:H30)</f>
        <v>59.730557391496468</v>
      </c>
    </row>
    <row r="31" spans="1:12" x14ac:dyDescent="0.25">
      <c r="A31" s="27" t="s">
        <v>14</v>
      </c>
      <c r="B31" s="4">
        <f>C$2*B$4/B$15</f>
        <v>648.7992949988984</v>
      </c>
      <c r="C31" s="4">
        <f>$C$2*$B$4/$C$15</f>
        <v>610.28035677966113</v>
      </c>
      <c r="D31" s="23">
        <f>B31-C31</f>
        <v>38.51893821923727</v>
      </c>
      <c r="E31" s="24"/>
      <c r="F31" s="24">
        <f>D31</f>
        <v>38.51893821923727</v>
      </c>
      <c r="G31" s="4"/>
      <c r="H31" s="4">
        <f>F31*B$23</f>
        <v>193.75025924276349</v>
      </c>
      <c r="I31" s="23">
        <f>SUM(G31:H31)</f>
        <v>193.75025924276349</v>
      </c>
    </row>
    <row r="32" spans="1:12" x14ac:dyDescent="0.25">
      <c r="A32" s="22" t="s">
        <v>10</v>
      </c>
      <c r="B32" s="1"/>
      <c r="C32" s="1"/>
      <c r="D32" s="6">
        <f>(B15-C15)*(B4-C4)*C2</f>
        <v>-0.61766622637726987</v>
      </c>
      <c r="E32" s="21"/>
      <c r="F32" s="21">
        <f>D32</f>
        <v>-0.61766622637726987</v>
      </c>
      <c r="G32" s="1"/>
      <c r="H32" s="1">
        <f>F32*B$23</f>
        <v>-3.1068611186776676</v>
      </c>
      <c r="I32" s="6">
        <f>SUM(G32:H32)</f>
        <v>-3.1068611186776676</v>
      </c>
    </row>
    <row r="33" spans="1:9" x14ac:dyDescent="0.25">
      <c r="A33" s="26" t="s">
        <v>13</v>
      </c>
      <c r="B33" s="17">
        <f>C$2*B$5/B$16</f>
        <v>542.01945945945954</v>
      </c>
      <c r="C33" s="17">
        <f>$C$2*$C$5/$C$16</f>
        <v>524.5095</v>
      </c>
      <c r="D33" s="16">
        <f>B33-C33</f>
        <v>17.509959459459537</v>
      </c>
      <c r="E33" s="18"/>
      <c r="F33" s="18"/>
      <c r="G33" s="17"/>
      <c r="H33" s="17"/>
      <c r="I33" s="16"/>
    </row>
    <row r="34" spans="1:9" x14ac:dyDescent="0.25">
      <c r="A34" s="25" t="s">
        <v>12</v>
      </c>
      <c r="B34" s="4">
        <f>C$2*B$5/B$16</f>
        <v>542.01945945945954</v>
      </c>
      <c r="C34" s="4">
        <f>C2*C5/B16</f>
        <v>560.24216216216223</v>
      </c>
      <c r="D34" s="23">
        <f>B34-C34</f>
        <v>-18.222702702702691</v>
      </c>
      <c r="E34" s="24">
        <f>D34</f>
        <v>-18.222702702702691</v>
      </c>
      <c r="F34" s="24"/>
      <c r="G34" s="4">
        <f>E34*B$24</f>
        <v>-162.36428108108097</v>
      </c>
      <c r="H34" s="4"/>
      <c r="I34" s="23">
        <f>SUM(G34:H34)</f>
        <v>-162.36428108108097</v>
      </c>
    </row>
    <row r="35" spans="1:9" x14ac:dyDescent="0.25">
      <c r="A35" s="25" t="s">
        <v>11</v>
      </c>
      <c r="B35" s="4">
        <f>C$2*B$5/B$16</f>
        <v>542.01945945945954</v>
      </c>
      <c r="C35" s="4">
        <f>C2*B5/C16</f>
        <v>507.44905484114975</v>
      </c>
      <c r="D35" s="23">
        <f>B35-C35</f>
        <v>34.570404618309794</v>
      </c>
      <c r="E35" s="24">
        <f>D35</f>
        <v>34.570404618309794</v>
      </c>
      <c r="F35" s="24"/>
      <c r="G35" s="4">
        <f>E35*B$24</f>
        <v>308.02230514914027</v>
      </c>
      <c r="H35" s="4"/>
      <c r="I35" s="23">
        <f>SUM(G35:H35)</f>
        <v>308.02230514914027</v>
      </c>
    </row>
    <row r="36" spans="1:9" x14ac:dyDescent="0.25">
      <c r="A36" s="22" t="s">
        <v>10</v>
      </c>
      <c r="B36" s="1"/>
      <c r="C36" s="7"/>
      <c r="D36" s="1">
        <f>(B16-C16)*(B5-C5)*C2</f>
        <v>1.0622048254607406</v>
      </c>
      <c r="E36" s="21">
        <f>D36</f>
        <v>1.0622048254607406</v>
      </c>
      <c r="F36" s="21"/>
      <c r="G36" s="1">
        <f>E36*B$24</f>
        <v>9.4642449948551981</v>
      </c>
      <c r="H36" s="1"/>
      <c r="I36" s="6">
        <f>SUM(G36:H36)</f>
        <v>9.4642449948551981</v>
      </c>
    </row>
    <row r="37" spans="1:9" x14ac:dyDescent="0.25">
      <c r="A37" s="20" t="s">
        <v>9</v>
      </c>
      <c r="B37" s="17"/>
      <c r="C37" s="19"/>
      <c r="D37" s="17"/>
      <c r="E37" s="18">
        <f>SUM(E29:E36)</f>
        <v>17.409906741067843</v>
      </c>
      <c r="F37" s="18">
        <f>SUM(F29:F36)</f>
        <v>49.776134297332462</v>
      </c>
      <c r="G37" s="17">
        <f>SUM(G29:G36)</f>
        <v>155.12226906291448</v>
      </c>
      <c r="H37" s="17">
        <f>SUM(H29:H36)</f>
        <v>250.37395551558228</v>
      </c>
      <c r="I37" s="16">
        <f>SUM(I29:I36)</f>
        <v>405.49622457849682</v>
      </c>
    </row>
    <row r="39" spans="1:9" x14ac:dyDescent="0.25">
      <c r="A39" s="15" t="s">
        <v>8</v>
      </c>
      <c r="B39" s="14"/>
      <c r="F39" s="13" t="s">
        <v>7</v>
      </c>
      <c r="G39" s="13" t="s">
        <v>6</v>
      </c>
      <c r="H39" s="13" t="s">
        <v>5</v>
      </c>
      <c r="I39" s="13" t="s">
        <v>4</v>
      </c>
    </row>
    <row r="40" spans="1:9" x14ac:dyDescent="0.25">
      <c r="A40" s="5" t="s">
        <v>3</v>
      </c>
      <c r="B40" s="9">
        <f>SUM(I30,I34)</f>
        <v>-102.63372368958451</v>
      </c>
      <c r="D40" s="12"/>
      <c r="E40" s="11" t="s">
        <v>57</v>
      </c>
      <c r="F40" s="9">
        <f>B11</f>
        <v>648.7992949988984</v>
      </c>
      <c r="G40" s="10">
        <f>C11</f>
        <v>599.1105</v>
      </c>
      <c r="H40" s="9">
        <f>F40-G40</f>
        <v>49.688794998898402</v>
      </c>
      <c r="I40" s="8">
        <f>H40*B23</f>
        <v>249.93463884445899</v>
      </c>
    </row>
    <row r="41" spans="1:9" x14ac:dyDescent="0.25">
      <c r="A41" s="5" t="s">
        <v>2</v>
      </c>
      <c r="B41" s="4">
        <f>SUM(I31,I35)</f>
        <v>501.77256439190376</v>
      </c>
      <c r="E41" s="2" t="s">
        <v>58</v>
      </c>
      <c r="F41" s="1">
        <f>B12</f>
        <v>542.01945945945954</v>
      </c>
      <c r="G41" s="7">
        <f>C12</f>
        <v>524.5095</v>
      </c>
      <c r="H41" s="1">
        <f>F41-G41</f>
        <v>17.509959459459537</v>
      </c>
      <c r="I41" s="6">
        <f>H41*B24</f>
        <v>156.01373878378448</v>
      </c>
    </row>
    <row r="42" spans="1:9" x14ac:dyDescent="0.25">
      <c r="A42" s="5" t="s">
        <v>1</v>
      </c>
      <c r="B42" s="4">
        <f>SUM(I32+I36)</f>
        <v>6.357383876177531</v>
      </c>
      <c r="E42" s="20" t="s">
        <v>0</v>
      </c>
      <c r="F42" s="19"/>
      <c r="G42" s="19"/>
      <c r="H42" s="19"/>
      <c r="I42" s="17">
        <f>SUM(I40:I41)</f>
        <v>405.94837762824346</v>
      </c>
    </row>
    <row r="43" spans="1:9" x14ac:dyDescent="0.25">
      <c r="A43" s="2" t="s">
        <v>0</v>
      </c>
      <c r="B43" s="1">
        <f>SUM(B40:B42)</f>
        <v>405.49622457849682</v>
      </c>
    </row>
  </sheetData>
  <pageMargins left="0.25" right="0.25" top="0.75" bottom="0.75" header="0.3" footer="0.3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Desviaciones</vt:lpstr>
      <vt:lpstr>Desviaciones analiticas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Riera</dc:creator>
  <cp:lastModifiedBy>Juan Riera</cp:lastModifiedBy>
  <dcterms:created xsi:type="dcterms:W3CDTF">2025-11-09T16:40:59Z</dcterms:created>
  <dcterms:modified xsi:type="dcterms:W3CDTF">2025-11-17T09:39:38Z</dcterms:modified>
</cp:coreProperties>
</file>