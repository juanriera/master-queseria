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9" documentId="8_{C5493986-CC5B-4A20-B170-481DD5445DB2}" xr6:coauthVersionLast="47" xr6:coauthVersionMax="47" xr10:uidLastSave="{CBAF9CD4-EA7B-4E85-9A86-CAFDD7EABCE0}"/>
  <bookViews>
    <workbookView xWindow="-120" yWindow="-120" windowWidth="29040" windowHeight="16440" tabRatio="675" xr2:uid="{6977E7F1-D64B-47FE-B2A7-D4E9B0399E18}"/>
  </bookViews>
  <sheets>
    <sheet name="Datos materia prima" sheetId="8" r:id="rId1"/>
    <sheet name="Estándar técnico" sheetId="14" r:id="rId2"/>
    <sheet name="Datos fabricación" sheetId="16" r:id="rId3"/>
    <sheet name="Desviaciones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localSheetId="1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1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1" hidden="1">{#N/A,#N/A,FALSE,"RIEP"}</definedName>
    <definedName name="aaaaa" hidden="1">{#N/A,#N/A,FALSE,"RIEP"}</definedName>
    <definedName name="aaaaaaaaaaaaaaaa" localSheetId="1" hidden="1">{#N/A,#N/A,FALSE,"RIEP"}</definedName>
    <definedName name="aaaaaaaaaaaaaaaa" hidden="1">{#N/A,#N/A,FALSE,"RIEP"}</definedName>
    <definedName name="AASAS" localSheetId="1" hidden="1">{"QQQ",#N/A,FALSE,"RIEP"}</definedName>
    <definedName name="AASAS" hidden="1">{"QQQ",#N/A,FALSE,"RIEP"}</definedName>
    <definedName name="ADV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1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1" hidden="1">{"SPM1",#N/A,FALSE,"RIEP"}</definedName>
    <definedName name="ardqer" hidden="1">{"SPM1",#N/A,FALSE,"RIEP"}</definedName>
    <definedName name="ASD" localSheetId="1" hidden="1">{"QQQ",#N/A,FALSE,"RIEP"}</definedName>
    <definedName name="ASD" hidden="1">{"QQQ",#N/A,FALSE,"RIEP"}</definedName>
    <definedName name="ASDF" localSheetId="1" hidden="1">{#N/A,#N/A,FALSE,"RIEP"}</definedName>
    <definedName name="ASDF" hidden="1">{#N/A,#N/A,FALSE,"RIEP"}</definedName>
    <definedName name="asdfas" localSheetId="1" hidden="1">{#N/A,#N/A,FALSE,"RIEP"}</definedName>
    <definedName name="asdfas" hidden="1">{#N/A,#N/A,FALSE,"RIEP"}</definedName>
    <definedName name="aùsw" localSheetId="1" hidden="1">{"SPM1",#N/A,FALSE,"RIEP"}</definedName>
    <definedName name="aùsw" hidden="1">{"SPM1",#N/A,FALSE,"RIEP"}</definedName>
    <definedName name="bbbbb" localSheetId="1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1" hidden="1">{"SPM1",#N/A,FALSE,"RIEP"}</definedName>
    <definedName name="byikbyuj" hidden="1">{"SPM1",#N/A,FALSE,"RIEP"}</definedName>
    <definedName name="byubtyuj" localSheetId="1" hidden="1">{"QQQ",#N/A,FALSE,"RIEP"}</definedName>
    <definedName name="byubtyuj" hidden="1">{"QQQ",#N/A,FALSE,"RIEP"}</definedName>
    <definedName name="byukkty" localSheetId="1" hidden="1">{#N/A,#N/A,FALSE,"RIEP"}</definedName>
    <definedName name="byukkty" hidden="1">{#N/A,#N/A,FALSE,"RIEP"}</definedName>
    <definedName name="byuku" localSheetId="1" hidden="1">{#N/A,#N/A,FALSE,"RIEP"}</definedName>
    <definedName name="byuku" hidden="1">{#N/A,#N/A,FALSE,"RIEP"}</definedName>
    <definedName name="č" localSheetId="1" hidden="1">{"'domaće količine'!$K$34:$P$47"}</definedName>
    <definedName name="č" hidden="1">{"'domaće količine'!$K$34:$P$47"}</definedName>
    <definedName name="cc" localSheetId="1" hidden="1">{#N/A,#N/A,FALSE,"RIEP"}</definedName>
    <definedName name="cc" hidden="1">{#N/A,#N/A,FALSE,"RIEP"}</definedName>
    <definedName name="ccc" localSheetId="1" hidden="1">{"SPM1",#N/A,FALSE,"RIEP"}</definedName>
    <definedName name="ccc" hidden="1">{"SPM1",#N/A,FALSE,"RIEP"}</definedName>
    <definedName name="cccc" localSheetId="1" hidden="1">{"SPM1",#N/A,FALSE,"RIEP"}</definedName>
    <definedName name="cccc" hidden="1">{"SPM1",#N/A,FALSE,"RIEP"}</definedName>
    <definedName name="CCSFDFRDF" localSheetId="1" hidden="1">{"SPM1",#N/A,FALSE,"RIEP"}</definedName>
    <definedName name="CCSFDFRDF" hidden="1">{"SPM1",#N/A,FALSE,"RIEP"}</definedName>
    <definedName name="cdf" localSheetId="1" hidden="1">{"SPM1",#N/A,FALSE,"RIEP"}</definedName>
    <definedName name="cdf" hidden="1">{"SPM1",#N/A,FALSE,"RIEP"}</definedName>
    <definedName name="CDVF" localSheetId="1" hidden="1">{"SPM1",#N/A,FALSE,"RIEP"}</definedName>
    <definedName name="CDVF" hidden="1">{"SPM1",#N/A,FALSE,"RIEP"}</definedName>
    <definedName name="copie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1" hidden="1">{#N/A,#N/A,FALSE,"RIEP"}</definedName>
    <definedName name="D" hidden="1">{#N/A,#N/A,FALSE,"RIEP"}</definedName>
    <definedName name="DAFreofè0eirfh" localSheetId="1" hidden="1">{"SPM1",#N/A,FALSE,"RIEP"}</definedName>
    <definedName name="DAFreofè0eirfh" hidden="1">{"SPM1",#N/A,FALSE,"RIEP"}</definedName>
    <definedName name="dd">#REF!</definedName>
    <definedName name="DDD" localSheetId="1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1" hidden="1">{"SPM1",#N/A,FALSE,"RIEP"}</definedName>
    <definedName name="DDDDD" hidden="1">{"SPM1",#N/A,FALSE,"RIEP"}</definedName>
    <definedName name="ddddddd" localSheetId="1" hidden="1">{#N/A,#N/A,FALSE,"RIEP"}</definedName>
    <definedName name="ddddddd" hidden="1">{#N/A,#N/A,FALSE,"RIEP"}</definedName>
    <definedName name="d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1" hidden="1">{"SPM1",#N/A,FALSE,"RIEP"}</definedName>
    <definedName name="dfa" hidden="1">{"SPM1",#N/A,FALSE,"RIEP"}</definedName>
    <definedName name="DFda" localSheetId="1" hidden="1">{#N/A,#N/A,FALSE,"RIEP"}</definedName>
    <definedName name="DFda" hidden="1">{#N/A,#N/A,FALSE,"RIEP"}</definedName>
    <definedName name="DFRSFG" localSheetId="1" hidden="1">{"SPM1",#N/A,FALSE,"RIEP"}</definedName>
    <definedName name="DFRSFG" hidden="1">{"SPM1",#N/A,FALSE,"RIEP"}</definedName>
    <definedName name="djdjdj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1" hidden="1">{"'domaće količine'!$K$34:$P$47"}</definedName>
    <definedName name="DRAGAN" hidden="1">{"'domaće količine'!$K$34:$P$47"}</definedName>
    <definedName name="draganć" localSheetId="1" hidden="1">{"'domaće količine'!$K$34:$P$47"}</definedName>
    <definedName name="draganć" hidden="1">{"'domaće količine'!$K$34:$P$47"}</definedName>
    <definedName name="DSFSDGFG" localSheetId="1" hidden="1">{"SPM1",#N/A,FALSE,"RIEP"}</definedName>
    <definedName name="DSFSDGFG" hidden="1">{"SPM1",#N/A,FALSE,"RIEP"}</definedName>
    <definedName name="dthrrr" localSheetId="1" hidden="1">{"SPM1",#N/A,FALSE,"RIEP"}</definedName>
    <definedName name="dthrrr" hidden="1">{"SPM1",#N/A,FALSE,"RIEP"}</definedName>
    <definedName name="ECA" localSheetId="1" hidden="1">{#N/A,#N/A,FALSE,"ANALYSE";#N/A,#N/A,FALSE,"PM VALEUR"}</definedName>
    <definedName name="ECA" hidden="1">{#N/A,#N/A,FALSE,"ANALYSE";#N/A,#N/A,FALSE,"PM VALEUR"}</definedName>
    <definedName name="ECARTBM" localSheetId="1" hidden="1">{"DETAIL",#N/A,FALSE,"REELBUDGET";"TOTAL",#N/A,FALSE,"REELBUDGET"}</definedName>
    <definedName name="ECARTBM" hidden="1">{"DETAIL",#N/A,FALSE,"REELBUDGET";"TOTAL",#N/A,FALSE,"REELBUDGET"}</definedName>
    <definedName name="eeee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1" hidden="1">{"QQQ",#N/A,FALSE,"RIEP"}</definedName>
    <definedName name="ere" hidden="1">{"QQQ",#N/A,FALSE,"RIEP"}</definedName>
    <definedName name="erte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_salida_salado">'Estándar técnico'!#REF!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1" hidden="1">{"'domaće količine'!$K$34:$P$47"}</definedName>
    <definedName name="EXCEL" hidden="1">{"'domaće količine'!$K$34:$P$47"}</definedName>
    <definedName name="ez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1" hidden="1">{#N/A,#N/A,FALSE,"RIEP"}</definedName>
    <definedName name="FDDSFDSGF" hidden="1">{#N/A,#N/A,FALSE,"RIEP"}</definedName>
    <definedName name="fdsdsgfsggd" localSheetId="1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1" hidden="1">{"QQQ",#N/A,FALSE,"RIEP"}</definedName>
    <definedName name="ffffffffff" hidden="1">{"QQQ",#N/A,FALSE,"RIEP"}</definedName>
    <definedName name="fg" localSheetId="1" hidden="1">{#N/A,#N/A,FALSE,"RIEP"}</definedName>
    <definedName name="fg" hidden="1">{#N/A,#N/A,FALSE,"RIEP"}</definedName>
    <definedName name="fgffg" localSheetId="1" hidden="1">{#N/A,#N/A,FALSE,"RIEP"}</definedName>
    <definedName name="fgffg" hidden="1">{#N/A,#N/A,FALSE,"RIEP"}</definedName>
    <definedName name="FSDG" localSheetId="1" hidden="1">{#N/A,#N/A,FALSE,"RIEP"}</definedName>
    <definedName name="FSDG" hidden="1">{#N/A,#N/A,FALSE,"RIEP"}</definedName>
    <definedName name="ftereare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1" hidden="1">{#N/A,#N/A,FALSE,"RIEP"}</definedName>
    <definedName name="gfhkkmh" hidden="1">{#N/A,#N/A,FALSE,"RIEP"}</definedName>
    <definedName name="GG" hidden="1">[7]ACTIVITE!#REF!</definedName>
    <definedName name="GGGG" localSheetId="1" hidden="1">{"SPM1",#N/A,FALSE,"RIEP"}</definedName>
    <definedName name="GGGG" hidden="1">{"SPM1",#N/A,FALSE,"RIEP"}</definedName>
    <definedName name="ggg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1" hidden="1">{"QQQ",#N/A,FALSE,"RIEP"}</definedName>
    <definedName name="ggggggggggg" hidden="1">{"QQQ",#N/A,FALSE,"RIEP"}</definedName>
    <definedName name="GHJ" localSheetId="1" hidden="1">{"SPM1",#N/A,FALSE,"RIEP"}</definedName>
    <definedName name="GHJ" hidden="1">{"SPM1",#N/A,FALSE,"RIEP"}</definedName>
    <definedName name="gsdgs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1" hidden="1">{"SPM1",#N/A,FALSE,"RIEP"}</definedName>
    <definedName name="hbhajx" hidden="1">{"SPM1",#N/A,FALSE,"RIEP"}</definedName>
    <definedName name="hfderfPOURE" localSheetId="1" hidden="1">{#N/A,#N/A,FALSE,"RIEP"}</definedName>
    <definedName name="hfderfPOURE" hidden="1">{#N/A,#N/A,FALSE,"RIEP"}</definedName>
    <definedName name="hfhf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1" hidden="1">{"QQQ",#N/A,FALSE,"RIEP"}</definedName>
    <definedName name="hg" hidden="1">{"QQQ",#N/A,FALSE,"RIEP"}</definedName>
    <definedName name="hhfxhxf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1" hidden="1">{"QQQ",#N/A,FALSE,"RIEP"}</definedName>
    <definedName name="hhhh" hidden="1">{"QQQ",#N/A,FALSE,"RIEP"}</definedName>
    <definedName name="hhhhhhh" localSheetId="1" hidden="1">{"SPM1",#N/A,FALSE,"RIEP"}</definedName>
    <definedName name="hhhhhhh" hidden="1">{"SPM1",#N/A,FALSE,"RIEP"}</definedName>
    <definedName name="HTML_CodePage" hidden="1">1250</definedName>
    <definedName name="HTML_Control" localSheetId="1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1" hidden="1">{"'domaće količine'!$K$34:$P$47"}</definedName>
    <definedName name="IZVQ01" hidden="1">{"'domaće količine'!$K$34:$P$47"}</definedName>
    <definedName name="j" localSheetId="1" hidden="1">{"SPM1",#N/A,FALSE,"RIEP"}</definedName>
    <definedName name="j" hidden="1">{"SPM1",#N/A,FALSE,"RIEP"}</definedName>
    <definedName name="jcjfjfjjf" localSheetId="1" hidden="1">{#N/A,#N/A,FALSE,"RIEP"}</definedName>
    <definedName name="jcjfjfjjf" hidden="1">{#N/A,#N/A,FALSE,"RIEP"}</definedName>
    <definedName name="j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1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1" hidden="1">{"QQQ",#N/A,FALSE,"RIEP"}</definedName>
    <definedName name="jjfhfh" hidden="1">{"QQQ",#N/A,FALSE,"RIEP"}</definedName>
    <definedName name="jjj" localSheetId="1" hidden="1">{"SPM1",#N/A,FALSE,"RIEP"}</definedName>
    <definedName name="jjj" hidden="1">{"SPM1",#N/A,FALSE,"RIEP"}</definedName>
    <definedName name="jjjjj" localSheetId="1" hidden="1">{"SPM1",#N/A,FALSE,"RIEP"}</definedName>
    <definedName name="jjjjj" hidden="1">{"SPM1",#N/A,FALSE,"RIEP"}</definedName>
    <definedName name="kfkfkf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1" hidden="1">{#N/A,#N/A,FALSE,"RIEP"}</definedName>
    <definedName name="kfkfkfkfkkf" hidden="1">{#N/A,#N/A,FALSE,"RIEP"}</definedName>
    <definedName name="khkhkh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1" hidden="1">{#N/A,#N/A,FALSE,"RIEP"}</definedName>
    <definedName name="kjfsoyiupo6rhtgz" hidden="1">{#N/A,#N/A,FALSE,"RIEP"}</definedName>
    <definedName name="kjhjhkjh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1" hidden="1">{#N/A,#N/A,FALSE,"RIEP"}</definedName>
    <definedName name="kk" hidden="1">{#N/A,#N/A,FALSE,"RIEP"}</definedName>
    <definedName name="k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1" hidden="1">{"QQQ",#N/A,FALSE,"RIEP"}</definedName>
    <definedName name="LLL" hidden="1">{"QQQ",#N/A,FALSE,"RIEP"}</definedName>
    <definedName name="m" localSheetId="1" hidden="1">{"'domaće količine'!$K$34:$P$47"}</definedName>
    <definedName name="m" hidden="1">{"'domaće količine'!$K$34:$P$47"}</definedName>
    <definedName name="MARTESANA">#REF!</definedName>
    <definedName name="MG_salida_salado">'Estándar técnico'!#REF!</definedName>
    <definedName name="minnii" localSheetId="1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1" hidden="1">{"SPM1",#N/A,FALSE,"RIEP"}</definedName>
    <definedName name="ño" hidden="1">{"SPM1",#N/A,FALSE,"RIEP"}</definedName>
    <definedName name="ODRŽ." localSheetId="1" hidden="1">{"'domaće količine'!$K$34:$P$47"}</definedName>
    <definedName name="ODRŽ." hidden="1">{"'domaće količine'!$K$34:$P$47"}</definedName>
    <definedName name="òflfgfppfpf" localSheetId="1" hidden="1">{"SPM1",#N/A,FALSE,"RIEP"}</definedName>
    <definedName name="òflfgfppfpf" hidden="1">{"SPM1",#N/A,FALSE,"RIEP"}</definedName>
    <definedName name="OIOIIUIUG" localSheetId="1" hidden="1">{"SPM1",#N/A,FALSE,"RIEP"}</definedName>
    <definedName name="OIOIIUIUG" hidden="1">{"SPM1",#N/A,FALSE,"RIEP"}</definedName>
    <definedName name="ooo" localSheetId="1" hidden="1">{"QQQ",#N/A,FALSE,"RIEP"}</definedName>
    <definedName name="ooo" hidden="1">{"QQQ",#N/A,FALSE,"RIEP"}</definedName>
    <definedName name="oooooo" localSheetId="1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1" hidden="1">{#N/A,#N/A,FALSE,"RIEP"}</definedName>
    <definedName name="pippo" hidden="1">{#N/A,#N/A,FALSE,"RIEP"}</definedName>
    <definedName name="pluto" localSheetId="1" hidden="1">{"SPM1",#N/A,FALSE,"RIEP"}</definedName>
    <definedName name="pluto" hidden="1">{"SPM1",#N/A,FALSE,"RIEP"}</definedName>
    <definedName name="PO" localSheetId="1" hidden="1">{"QQQ",#N/A,FALSE,"RIEP"}</definedName>
    <definedName name="PO" hidden="1">{"QQQ",#N/A,FALSE,"RIEP"}</definedName>
    <definedName name="poùH" localSheetId="1" hidden="1">{#N/A,#N/A,FALSE,"RIEP"}</definedName>
    <definedName name="poùH" hidden="1">{#N/A,#N/A,FALSE,"RIEP"}</definedName>
    <definedName name="ppp" localSheetId="1" hidden="1">{"QQQ",#N/A,FALSE,"RIEP"}</definedName>
    <definedName name="ppp" hidden="1">{"QQQ",#N/A,FALSE,"RIEP"}</definedName>
    <definedName name="PROD." localSheetId="1" hidden="1">{"'domaće količine'!$K$34:$P$47"}</definedName>
    <definedName name="PROD." hidden="1">{"'domaće količine'!$K$34:$P$47"}</definedName>
    <definedName name="prw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1" hidden="1">{#N/A,#N/A,FALSE,"RIEP"}</definedName>
    <definedName name="QQQQQQQQQQQQ" hidden="1">{#N/A,#N/A,FALSE,"RIEP"}</definedName>
    <definedName name="qw" localSheetId="1" hidden="1">{#N/A,#N/A,FALSE,"RIEP"}</definedName>
    <definedName name="qw" hidden="1">{#N/A,#N/A,FALSE,"RIEP"}</definedName>
    <definedName name="ret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1" hidden="1">{"SPM1",#N/A,FALSE,"RIEP"}</definedName>
    <definedName name="sd" hidden="1">{"SPM1",#N/A,FALSE,"RIEP"}</definedName>
    <definedName name="SDFDSJF" localSheetId="1" hidden="1">{#N/A,#N/A,FALSE,"RIEP"}</definedName>
    <definedName name="SDFDSJF" hidden="1">{#N/A,#N/A,FALSE,"RIEP"}</definedName>
    <definedName name="sdsd" localSheetId="1" hidden="1">{"SPM1",#N/A,FALSE,"RIEP"}</definedName>
    <definedName name="sdsd" hidden="1">{"SPM1",#N/A,FALSE,"RIEP"}</definedName>
    <definedName name="SEDSDS" localSheetId="1" hidden="1">{#N/A,#N/A,FALSE,"RIEP"}</definedName>
    <definedName name="SEDSDS" hidden="1">{#N/A,#N/A,FALSE,"RIEP"}</definedName>
    <definedName name="sencount" hidden="1">1</definedName>
    <definedName name="SSSADADSF" localSheetId="1" hidden="1">{"SPM1",#N/A,FALSE,"RIEP"}</definedName>
    <definedName name="SSSADADSF" hidden="1">{"SPM1",#N/A,FALSE,"RIEP"}</definedName>
    <definedName name="ssss" hidden="1">#REF!</definedName>
    <definedName name="sssssss" localSheetId="1" hidden="1">{#N/A,#N/A,FALSE,"RIEP"}</definedName>
    <definedName name="sssssss" hidden="1">{#N/A,#N/A,FALSE,"RIEP"}</definedName>
    <definedName name="ssssssssssssssssssssssssss" localSheetId="1" hidden="1">{"QQQ",#N/A,FALSE,"RIEP"}</definedName>
    <definedName name="ssssssssssssssssssssssssss" hidden="1">{"QQQ",#N/A,FALSE,"RIEP"}</definedName>
    <definedName name="stsrhs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1" hidden="1">{#N/A,#N/A,FALSE,"RIEP"}</definedName>
    <definedName name="Sweden" hidden="1">{#N/A,#N/A,FALSE,"RIEP"}</definedName>
    <definedName name="t" localSheetId="1" hidden="1">{"QQQ",#N/A,FALSE,"RIEP"}</definedName>
    <definedName name="t" hidden="1">{"QQQ",#N/A,FALSE,"RIEP"}</definedName>
    <definedName name="T04CC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1" hidden="1">{#N/A,#N/A,FALSE,"RIEP"}</definedName>
    <definedName name="t79oto97t" hidden="1">{#N/A,#N/A,FALSE,"RIEP"}</definedName>
    <definedName name="t7u74u" localSheetId="1" hidden="1">{"QQQ",#N/A,FALSE,"RIEP"}</definedName>
    <definedName name="t7u74u" hidden="1">{"QQQ",#N/A,FALSE,"RIEP"}</definedName>
    <definedName name="t7u75" localSheetId="1" hidden="1">{"SPM1",#N/A,FALSE,"RIEP"}</definedName>
    <definedName name="t7u75" hidden="1">{"SPM1",#N/A,FALSE,"RIEP"}</definedName>
    <definedName name="t7ur7u" localSheetId="1" hidden="1">{#N/A,#N/A,FALSE,"RIEP"}</definedName>
    <definedName name="t7ur7u" hidden="1">{#N/A,#N/A,FALSE,"RIEP"}</definedName>
    <definedName name="tgfcvds" localSheetId="1" hidden="1">{#N/A,#N/A,FALSE,"RIEP"}</definedName>
    <definedName name="tgfcvds" hidden="1">{#N/A,#N/A,FALSE,"RIEP"}</definedName>
    <definedName name="tgr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1" hidden="1">{#N/A,#N/A,FALSE,"RIEP"}</definedName>
    <definedName name="tikl679o679o" hidden="1">{#N/A,#N/A,FALSE,"RIEP"}</definedName>
    <definedName name="TM1REBUILDOPTION">0</definedName>
    <definedName name="tom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1" hidden="1">{"SPM1",#N/A,FALSE,"RIEP"}</definedName>
    <definedName name="trjk5i57" hidden="1">{"SPM1",#N/A,FALSE,"RIEP"}</definedName>
    <definedName name="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1" hidden="1">{"QQQ",#N/A,FALSE,"RIEP"}</definedName>
    <definedName name="tyiltu9ol" hidden="1">{"QQQ",#N/A,FALSE,"RIEP"}</definedName>
    <definedName name="ugkj" localSheetId="1" hidden="1">{"QQQ",#N/A,FALSE,"RIEP"}</definedName>
    <definedName name="ugkj" hidden="1">{"QQQ",#N/A,FALSE,"RIEP"}</definedName>
    <definedName name="u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1" hidden="1">{"QQQ",#N/A,FALSE,"RIEP"}</definedName>
    <definedName name="uttkjg" hidden="1">{"QQQ",#N/A,FALSE,"RIEP"}</definedName>
    <definedName name="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1" hidden="1">{#N/A,#N/A,FALSE,"RIEP"}</definedName>
    <definedName name="v6uyjyu" hidden="1">{#N/A,#N/A,FALSE,"RIEP"}</definedName>
    <definedName name="vcbbxb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1" hidden="1">{"QQQ",#N/A,FALSE,"RIEP"}</definedName>
    <definedName name="vvvv" hidden="1">{"QQQ",#N/A,FALSE,"RIEP"}</definedName>
    <definedName name="vvvvbbbb" localSheetId="1" hidden="1">{#N/A,#N/A,FALSE,"RIEP"}</definedName>
    <definedName name="vvvvbbbb" hidden="1">{#N/A,#N/A,FALSE,"RIEP"}</definedName>
    <definedName name="vvvvvv" localSheetId="1" hidden="1">{#N/A,#N/A,FALSE,"RIEP"}</definedName>
    <definedName name="vvvvvv" hidden="1">{#N/A,#N/A,FALSE,"RIEP"}</definedName>
    <definedName name="vvvvvvvv" localSheetId="1" hidden="1">{"SPM1",#N/A,FALSE,"RIEP"}</definedName>
    <definedName name="vvvvvvvv" hidden="1">{"SPM1",#N/A,FALSE,"RIEP"}</definedName>
    <definedName name="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1" hidden="1">{"SPM1",#N/A,FALSE,"RIEP"}</definedName>
    <definedName name="we" hidden="1">{"SPM1",#N/A,FALSE,"RIEP"}</definedName>
    <definedName name="wer" localSheetId="1" hidden="1">{#N/A,#N/A,FALSE,"ANALYSE";#N/A,#N/A,FALSE,"PM VALEUR"}</definedName>
    <definedName name="wer" hidden="1">{#N/A,#N/A,FALSE,"ANALYSE";#N/A,#N/A,FALSE,"PM VALEUR"}</definedName>
    <definedName name="wetrwrt" localSheetId="1" hidden="1">{"QQQ",#N/A,FALSE,"RIEP"}</definedName>
    <definedName name="wetrwrt" hidden="1">{"QQQ",#N/A,FALSE,"RIEP"}</definedName>
    <definedName name="wewe" localSheetId="1" hidden="1">{"SPM1",#N/A,FALSE,"RIEP"}</definedName>
    <definedName name="wewe" hidden="1">{"SPM1",#N/A,FALSE,"RIEP"}</definedName>
    <definedName name="wrn.CCC." localSheetId="1" hidden="1">{"QQQ",#N/A,FALSE,"RIEP"}</definedName>
    <definedName name="wrn.CCC." hidden="1">{"QQQ",#N/A,FALSE,"RIEP"}</definedName>
    <definedName name="wrn.Charges." localSheetId="1" hidden="1">{"Analyse charges",#N/A,FALSE,"Feuil1 (2)"}</definedName>
    <definedName name="wrn.Charges." hidden="1">{"Analyse charges",#N/A,FALSE,"Feuil1 (2)"}</definedName>
    <definedName name="wrn.Charges._.Clécy." localSheetId="1" hidden="1">{#N/A,#N/A,FALSE,"Evol98";#N/A,#N/A,FALSE,"Saisie98"}</definedName>
    <definedName name="wrn.Charges._.Clécy." hidden="1">{#N/A,#N/A,FALSE,"Evol98";#N/A,#N/A,FALSE,"Saisie98"}</definedName>
    <definedName name="wrn.CLECY.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1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1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1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1" hidden="1">{#N/A,#N/A,FALSE,"ANALYSE";#N/A,#N/A,FALSE,"PM VALEUR"}</definedName>
    <definedName name="wrn.ex." hidden="1">{#N/A,#N/A,FALSE,"ANALYSE";#N/A,#N/A,FALSE,"PM VALEUR"}</definedName>
    <definedName name="wrn.Impression._.totale." localSheetId="1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1" hidden="1">{"Indicateurs",#N/A,FALSE,"Feuil1 (2)"}</definedName>
    <definedName name="wrn.Indicateurs." hidden="1">{"Indicateurs",#N/A,FALSE,"Feuil1 (2)"}</definedName>
    <definedName name="wrn.MENSUEL.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1" hidden="1">{"Ratios activités",#N/A,FALSE,"Feuil1 (2)"}</definedName>
    <definedName name="wrn.Ratios." hidden="1">{"Ratios activités",#N/A,FALSE,"Feuil1 (2)"}</definedName>
    <definedName name="wrn.REELBUD." localSheetId="1" hidden="1">{"DETAIL",#N/A,FALSE,"REELBUDGET";"TOTAL",#N/A,FALSE,"REELBUDGET"}</definedName>
    <definedName name="wrn.REELBUD." hidden="1">{"DETAIL",#N/A,FALSE,"REELBUDGET";"TOTAL",#N/A,FALSE,"REELBUDGET"}</definedName>
    <definedName name="wrn.Résultat." localSheetId="1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1" hidden="1">{#N/A,#N/A,FALSE,"RIEP"}</definedName>
    <definedName name="wrn.SPA1." hidden="1">{#N/A,#N/A,FALSE,"RIEP"}</definedName>
    <definedName name="wrn.SPM1." localSheetId="1" hidden="1">{"SPM1",#N/A,FALSE,"RIEP"}</definedName>
    <definedName name="wrn.SPM1." hidden="1">{"SPM1",#N/A,FALSE,"RIEP"}</definedName>
    <definedName name="wrn.SYNTHESE.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1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1" hidden="1">{"QQQ",#N/A,FALSE,"RIEP"}</definedName>
    <definedName name="wrn1.CCC." hidden="1">{"QQQ",#N/A,FALSE,"RIEP"}</definedName>
    <definedName name="wwww" localSheetId="1" hidden="1">{#N/A,#N/A,FALSE,"RIEP"}</definedName>
    <definedName name="wwww" hidden="1">{#N/A,#N/A,FALSE,"RIEP"}</definedName>
    <definedName name="wwwww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1" hidden="1">{"QQQ",#N/A,FALSE,"RIEP"}</definedName>
    <definedName name="wwwwwwwwwwww" hidden="1">{"QQQ",#N/A,FALSE,"RIEP"}</definedName>
    <definedName name="ybukkbyitkituk" localSheetId="1" hidden="1">{#N/A,#N/A,FALSE,"RIEP"}</definedName>
    <definedName name="ybukkbyitkituk" hidden="1">{#N/A,#N/A,FALSE,"RIEP"}</definedName>
    <definedName name="yert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1" hidden="1">{"QQQ",#N/A,FALSE,"RIEP"}</definedName>
    <definedName name="yrnukuilky8u" hidden="1">{"QQQ",#N/A,FALSE,"RIEP"}</definedName>
    <definedName name="YY" localSheetId="1" hidden="1">{#N/A,#N/A,FALSE,"RIEP"}</definedName>
    <definedName name="YY" hidden="1">{#N/A,#N/A,FALSE,"RIEP"}</definedName>
    <definedName name="yyqeyq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1" hidden="1">{#N/A,#N/A,FALSE,"RIEP"}</definedName>
    <definedName name="zzzzzzzzzz" hidden="1">{#N/A,#N/A,FALSE,"RIEP"}</definedName>
    <definedName name="zzzzzzzzzzzzz" localSheetId="1" hidden="1">{#N/A,#N/A,FALSE,"RIEP"}</definedName>
    <definedName name="zzzzzzzzzzzzz" hidden="1">{#N/A,#N/A,FALSE,"RIEP"}</definedName>
    <definedName name="zzzzzzzzzzzzzz" localSheetId="1" hidden="1">{"QQQ",#N/A,FALSE,"RIEP"}</definedName>
    <definedName name="zzzzzzzzzzzzzz" hidden="1">{"QQQ",#N/A,FALSE,"RIEP"}</definedName>
    <definedName name="zzzzzzzzzzzzzzzzzz" localSheetId="1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8" l="1"/>
  <c r="B27" i="8"/>
  <c r="B10" i="16"/>
  <c r="C15" i="9" s="1"/>
  <c r="B9" i="16"/>
  <c r="C14" i="9" s="1"/>
  <c r="C7" i="8"/>
  <c r="C9" i="8" s="1"/>
  <c r="B7" i="8"/>
  <c r="B9" i="8" s="1"/>
  <c r="C25" i="8"/>
  <c r="C21" i="8"/>
  <c r="C11" i="9"/>
  <c r="C16" i="9"/>
  <c r="B14" i="16"/>
  <c r="C4" i="9"/>
  <c r="C3" i="9"/>
  <c r="C2" i="9"/>
  <c r="B12" i="9"/>
  <c r="B18" i="9" s="1"/>
  <c r="B4" i="9"/>
  <c r="B3" i="9"/>
  <c r="B23" i="9"/>
  <c r="B13" i="9"/>
  <c r="B19" i="9" s="1"/>
  <c r="B15" i="14"/>
  <c r="B8" i="14"/>
  <c r="B7" i="14"/>
  <c r="B6" i="14"/>
  <c r="B16" i="14" l="1"/>
  <c r="B21" i="14" s="1"/>
  <c r="C17" i="8"/>
  <c r="C16" i="8"/>
  <c r="C28" i="8"/>
  <c r="B22" i="14"/>
  <c r="B17" i="14" l="1"/>
  <c r="B18" i="14" s="1"/>
  <c r="B22" i="9" s="1"/>
  <c r="C27" i="8"/>
  <c r="C10" i="8" s="1"/>
  <c r="C20" i="8"/>
  <c r="C34" i="9"/>
  <c r="C11" i="8"/>
  <c r="C35" i="9"/>
  <c r="B21" i="8"/>
  <c r="B25" i="8"/>
  <c r="B19" i="14" l="1"/>
  <c r="B20" i="14" s="1"/>
  <c r="B46" i="9"/>
  <c r="B45" i="9"/>
  <c r="B17" i="8"/>
  <c r="C31" i="9" l="1"/>
  <c r="B20" i="8"/>
  <c r="C39" i="9"/>
  <c r="C32" i="9" l="1"/>
  <c r="B28" i="8"/>
  <c r="C5" i="9"/>
  <c r="C22" i="9"/>
  <c r="D47" i="9" s="1"/>
  <c r="C18" i="9"/>
  <c r="C12" i="9"/>
  <c r="C8" i="9"/>
  <c r="C6" i="9"/>
  <c r="C13" i="9"/>
  <c r="C17" i="9"/>
  <c r="C26" i="9"/>
  <c r="C7" i="9"/>
  <c r="C40" i="9"/>
  <c r="B34" i="9" l="1"/>
  <c r="B35" i="9"/>
  <c r="E35" i="9" s="1"/>
  <c r="F35" i="9" s="1"/>
  <c r="C19" i="9"/>
  <c r="B10" i="8"/>
  <c r="B11" i="8"/>
  <c r="C23" i="9"/>
  <c r="C9" i="9"/>
  <c r="C10" i="9" s="1"/>
  <c r="E47" i="9" l="1"/>
  <c r="F47" i="9" s="1"/>
  <c r="E34" i="9"/>
  <c r="C21" i="9"/>
  <c r="E36" i="9" l="1"/>
  <c r="F36" i="9" s="1"/>
  <c r="F34" i="9"/>
  <c r="C20" i="9"/>
  <c r="C24" i="9" l="1"/>
  <c r="C27" i="9" l="1"/>
  <c r="C28" i="9" s="1"/>
  <c r="C25" i="9"/>
  <c r="C46" i="9"/>
  <c r="B8" i="9" l="1"/>
  <c r="B6" i="9"/>
  <c r="B7" i="9"/>
  <c r="B5" i="9"/>
  <c r="D52" i="9" s="1"/>
  <c r="E52" i="9" s="1"/>
  <c r="F52" i="9" s="1"/>
  <c r="C51" i="9" l="1"/>
  <c r="B9" i="9"/>
  <c r="B10" i="9" s="1"/>
  <c r="B14" i="9" l="1"/>
  <c r="C45" i="9"/>
  <c r="D46" i="9"/>
  <c r="E46" i="9" s="1"/>
  <c r="F46" i="9" s="1"/>
  <c r="C50" i="9"/>
  <c r="E57" i="9"/>
  <c r="B51" i="9"/>
  <c r="D51" i="9" s="1"/>
  <c r="E51" i="9" s="1"/>
  <c r="F51" i="9" s="1"/>
  <c r="B15" i="9"/>
  <c r="B50" i="9"/>
  <c r="B21" i="9"/>
  <c r="F57" i="9" l="1"/>
  <c r="E56" i="9"/>
  <c r="F56" i="9" s="1"/>
  <c r="B31" i="9"/>
  <c r="D31" i="9" s="1"/>
  <c r="B11" i="9"/>
  <c r="B32" i="9"/>
  <c r="D32" i="9" s="1"/>
  <c r="E32" i="9" s="1"/>
  <c r="F32" i="9" s="1"/>
  <c r="B20" i="9"/>
  <c r="D45" i="9"/>
  <c r="B39" i="9"/>
  <c r="D39" i="9" s="1"/>
  <c r="E39" i="9" s="1"/>
  <c r="F39" i="9" s="1"/>
  <c r="B17" i="9"/>
  <c r="D50" i="9"/>
  <c r="B40" i="9"/>
  <c r="D40" i="9" s="1"/>
  <c r="E40" i="9" s="1"/>
  <c r="F40" i="9" s="1"/>
  <c r="F41" i="9" l="1"/>
  <c r="E45" i="9"/>
  <c r="F45" i="9" s="1"/>
  <c r="D48" i="9"/>
  <c r="E50" i="9"/>
  <c r="D53" i="9"/>
  <c r="B24" i="9"/>
  <c r="B16" i="9"/>
  <c r="E53" i="9" l="1"/>
  <c r="F53" i="9" s="1"/>
  <c r="F50" i="9"/>
  <c r="E48" i="9"/>
  <c r="F48" i="9" s="1"/>
  <c r="E55" i="9"/>
  <c r="F55" i="9" s="1"/>
  <c r="B25" i="9"/>
  <c r="B27" i="9"/>
  <c r="B28" i="9" s="1"/>
  <c r="F54" i="9" l="1"/>
  <c r="E31" i="9"/>
  <c r="E41" i="9"/>
  <c r="E33" i="9" l="1"/>
  <c r="F31" i="9"/>
  <c r="F33" i="9" s="1"/>
  <c r="E54" i="9"/>
  <c r="E58" i="9" s="1"/>
</calcChain>
</file>

<file path=xl/sharedStrings.xml><?xml version="1.0" encoding="utf-8"?>
<sst xmlns="http://schemas.openxmlformats.org/spreadsheetml/2006/main" count="140" uniqueCount="117">
  <si>
    <t>Total explicado</t>
  </si>
  <si>
    <t>Recup MP</t>
  </si>
  <si>
    <t>ESM</t>
  </si>
  <si>
    <t>MG</t>
  </si>
  <si>
    <t>Real</t>
  </si>
  <si>
    <t>Consumo MP/kg queso</t>
  </si>
  <si>
    <t>MG teórica en cuba g/L</t>
  </si>
  <si>
    <t>g MG/L leche en cuba</t>
  </si>
  <si>
    <t>Litraje unitario (L/Kg)</t>
  </si>
  <si>
    <t>Recup MG</t>
  </si>
  <si>
    <t>G/ES</t>
  </si>
  <si>
    <t>HFD</t>
  </si>
  <si>
    <t>EST</t>
  </si>
  <si>
    <t>Fabricación, KG</t>
  </si>
  <si>
    <t>KMG puestos en fabricacion (cuba)</t>
  </si>
  <si>
    <t>KMP puestos en fabricacion (cuba)</t>
  </si>
  <si>
    <t>g MP/L  leche en cuba</t>
  </si>
  <si>
    <t>MG pérdida bruta (g/L)</t>
  </si>
  <si>
    <t>MG pérdida bruta %</t>
  </si>
  <si>
    <t>MG pérdida neta g/L</t>
  </si>
  <si>
    <t>MG pérdida neta %</t>
  </si>
  <si>
    <t>gr MG queso/kg queso</t>
  </si>
  <si>
    <t>g ESM queso/kg queso</t>
  </si>
  <si>
    <t>Litros leche puestos en fab (cuba)</t>
  </si>
  <si>
    <t>MG suero recuperada puesta en fab g/L</t>
  </si>
  <si>
    <t>KMG Nata suero recuperada puesta en fab</t>
  </si>
  <si>
    <t>factor MG/MP queso</t>
  </si>
  <si>
    <t>factor MG/MP leche cubas</t>
  </si>
  <si>
    <t>Composición leche en cuba MG (g/L)</t>
  </si>
  <si>
    <t>Composición leche en cuba MP (g/L)</t>
  </si>
  <si>
    <t xml:space="preserve">MG </t>
  </si>
  <si>
    <t>Efecto rendimiento (recup MG)</t>
  </si>
  <si>
    <t>Efecto  rendimiento (recup MP)</t>
  </si>
  <si>
    <t>Litraje unitario</t>
  </si>
  <si>
    <t>MG teórica en la cuba (g/L)</t>
  </si>
  <si>
    <t>EST a salida de sal (%)</t>
  </si>
  <si>
    <t>Datos de materia prima</t>
  </si>
  <si>
    <t>Composición leche (g/L)</t>
  </si>
  <si>
    <t>Efecto EST (composición MG)</t>
  </si>
  <si>
    <t>Efecto EST (composición ESM)</t>
  </si>
  <si>
    <t>Std</t>
  </si>
  <si>
    <t>Dif</t>
  </si>
  <si>
    <t>EST (MG + ESM)</t>
  </si>
  <si>
    <t>Otros efectos no explicados</t>
  </si>
  <si>
    <t>MP leche cuba</t>
  </si>
  <si>
    <t>MG leche cuba</t>
  </si>
  <si>
    <t>Coste de la leche en fabrica</t>
  </si>
  <si>
    <t>Total euros/L</t>
  </si>
  <si>
    <t>Estándar</t>
  </si>
  <si>
    <t>Fabricación</t>
  </si>
  <si>
    <t>Composición leche (% m/m)</t>
  </si>
  <si>
    <t>MG (g/L)</t>
  </si>
  <si>
    <t>MP (g/L)</t>
  </si>
  <si>
    <t>MG (% m/m)</t>
  </si>
  <si>
    <t>Valoración materia prima</t>
  </si>
  <si>
    <t>Estándar de producto</t>
  </si>
  <si>
    <t>Vaca</t>
  </si>
  <si>
    <t>1. Características del queso</t>
  </si>
  <si>
    <t>EST salida salado</t>
  </si>
  <si>
    <t>MG salida salado</t>
  </si>
  <si>
    <t>2. Composición de la leche de fabricación</t>
  </si>
  <si>
    <t>Leche en cuba MG (g/L)</t>
  </si>
  <si>
    <t>Leche en cuba MP (g/L)</t>
  </si>
  <si>
    <t>3. Datos tecnológicos</t>
  </si>
  <si>
    <t>Recup MP (dato real de la fabricación)</t>
  </si>
  <si>
    <t>4. Cálculos</t>
  </si>
  <si>
    <t>ESM queso obtenido a partir de MP leche (g/L)</t>
  </si>
  <si>
    <t>MG pérdida bruta en suero (g/L)</t>
  </si>
  <si>
    <t>MG pérdida bruta en suero %</t>
  </si>
  <si>
    <t>Consumo MG/kg queso</t>
  </si>
  <si>
    <t>MG a salida de sal (%)</t>
  </si>
  <si>
    <t>Composición leche MG (g/L)</t>
  </si>
  <si>
    <t>Composición leche MP (g/L)</t>
  </si>
  <si>
    <t>Datos de la fabricación real</t>
  </si>
  <si>
    <t>Utilización de nata de suero</t>
  </si>
  <si>
    <t>Precio resultante de la materia</t>
  </si>
  <si>
    <t>⁰C medida</t>
  </si>
  <si>
    <t>Consumo g MP/kg queso</t>
  </si>
  <si>
    <t>Coste MG (euros/kg)</t>
  </si>
  <si>
    <t>Coste MP (euros/kg)</t>
  </si>
  <si>
    <t>Desviaciones por componente de materia prima</t>
  </si>
  <si>
    <t>Análisis de desviaciones</t>
  </si>
  <si>
    <t>Total MG</t>
  </si>
  <si>
    <t>Total MP</t>
  </si>
  <si>
    <t>Desv kg</t>
  </si>
  <si>
    <t>Desviaciones por composición queso + tecnología</t>
  </si>
  <si>
    <t>Total explicado por composición queso + tecnología</t>
  </si>
  <si>
    <t>Recuperación materia (MG+MP)</t>
  </si>
  <si>
    <t>Densidad nata a 20 °C (kg/L)</t>
  </si>
  <si>
    <t>Presupuesto</t>
  </si>
  <si>
    <t>Consumos y desviaciones por consumo y precio</t>
  </si>
  <si>
    <t>Total desviaciones por consumo</t>
  </si>
  <si>
    <t>Total desviaciones por precio</t>
  </si>
  <si>
    <t>Consumo g MG/kg queso</t>
  </si>
  <si>
    <t xml:space="preserve">Desv total
€ </t>
  </si>
  <si>
    <t>Desv
kg</t>
  </si>
  <si>
    <t>Desv
€ /kg</t>
  </si>
  <si>
    <t>1. Precio base</t>
  </si>
  <si>
    <t>2. Primas calidad (MG/MP)</t>
  </si>
  <si>
    <t>3. Primas higiene</t>
  </si>
  <si>
    <t>4. Prima sostenibilidad</t>
  </si>
  <si>
    <t>5. Total precio al ganadero</t>
  </si>
  <si>
    <t>6. Coste transporte + otros recogida</t>
  </si>
  <si>
    <t>7. Materia grasa</t>
  </si>
  <si>
    <t>8. Proteína</t>
  </si>
  <si>
    <t>9. Materia grasa</t>
  </si>
  <si>
    <t>10. Proteinas totales</t>
  </si>
  <si>
    <t>11. Materia grasa</t>
  </si>
  <si>
    <t>12. Proteinas totales</t>
  </si>
  <si>
    <t>13. Lactosa</t>
  </si>
  <si>
    <t>14. Sales minerales y otros</t>
  </si>
  <si>
    <t>15. Agua</t>
  </si>
  <si>
    <t>16. Densidad</t>
  </si>
  <si>
    <t>17. Valoración MG</t>
  </si>
  <si>
    <t>18. Valoración MP</t>
  </si>
  <si>
    <t>19. Precio MG (euros/kg)</t>
  </si>
  <si>
    <t>20. Precio MP (euros/kg)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</si>
</sst>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_ ;[Red]\-#,##0\ "/>
    <numFmt numFmtId="165" formatCode="#,##0.000_ ;[Red]\-#,##0.000\ "/>
    <numFmt numFmtId="166" formatCode="0.0%"/>
    <numFmt numFmtId="167" formatCode="0.000"/>
    <numFmt numFmtId="168" formatCode="_-* #,##0.00\ _€_-;\-* #,##0.00\ _€_-;_-* &quot;-&quot;??\ _€_-;_-@_-"/>
    <numFmt numFmtId="169" formatCode="#,##0.00_ ;[Red]\-#,##0.00\ "/>
    <numFmt numFmtId="170" formatCode="0.0000_ ;[Red]\-0.00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41">
    <xf numFmtId="0" fontId="0" fillId="0" borderId="0" xfId="0"/>
    <xf numFmtId="164" fontId="0" fillId="0" borderId="0" xfId="0" applyNumberFormat="1"/>
    <xf numFmtId="164" fontId="0" fillId="0" borderId="8" xfId="0" applyNumberFormat="1" applyBorder="1"/>
    <xf numFmtId="167" fontId="0" fillId="0" borderId="12" xfId="0" applyNumberFormat="1" applyBorder="1"/>
    <xf numFmtId="164" fontId="0" fillId="0" borderId="11" xfId="0" applyNumberFormat="1" applyBorder="1" applyAlignment="1">
      <alignment horizontal="left"/>
    </xf>
    <xf numFmtId="167" fontId="0" fillId="0" borderId="8" xfId="0" applyNumberFormat="1" applyBorder="1"/>
    <xf numFmtId="164" fontId="0" fillId="0" borderId="8" xfId="0" applyNumberFormat="1" applyBorder="1" applyAlignment="1">
      <alignment horizontal="left"/>
    </xf>
    <xf numFmtId="2" fontId="0" fillId="0" borderId="12" xfId="0" applyNumberFormat="1" applyBorder="1"/>
    <xf numFmtId="2" fontId="0" fillId="0" borderId="11" xfId="0" applyNumberFormat="1" applyBorder="1"/>
    <xf numFmtId="2" fontId="0" fillId="0" borderId="10" xfId="0" applyNumberFormat="1" applyBorder="1"/>
    <xf numFmtId="2" fontId="0" fillId="0" borderId="8" xfId="0" applyNumberFormat="1" applyBorder="1"/>
    <xf numFmtId="164" fontId="0" fillId="0" borderId="3" xfId="0" applyNumberFormat="1" applyBorder="1" applyAlignment="1">
      <alignment horizontal="left"/>
    </xf>
    <xf numFmtId="10" fontId="0" fillId="0" borderId="5" xfId="1" applyNumberFormat="1" applyFont="1" applyFill="1" applyBorder="1"/>
    <xf numFmtId="167" fontId="0" fillId="0" borderId="5" xfId="0" applyNumberFormat="1" applyBorder="1"/>
    <xf numFmtId="164" fontId="0" fillId="0" borderId="5" xfId="0" applyNumberFormat="1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10" fontId="1" fillId="0" borderId="5" xfId="1" applyNumberFormat="1" applyFont="1" applyFill="1" applyBorder="1"/>
    <xf numFmtId="0" fontId="0" fillId="0" borderId="8" xfId="0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10" fontId="0" fillId="0" borderId="11" xfId="0" applyNumberFormat="1" applyBorder="1"/>
    <xf numFmtId="165" fontId="0" fillId="0" borderId="11" xfId="0" applyNumberFormat="1" applyBorder="1"/>
    <xf numFmtId="10" fontId="0" fillId="0" borderId="0" xfId="0" applyNumberFormat="1"/>
    <xf numFmtId="164" fontId="0" fillId="0" borderId="5" xfId="0" applyNumberFormat="1" applyBorder="1" applyAlignment="1">
      <alignment horizontal="left" indent="1"/>
    </xf>
    <xf numFmtId="2" fontId="0" fillId="0" borderId="0" xfId="0" applyNumberFormat="1"/>
    <xf numFmtId="10" fontId="0" fillId="0" borderId="11" xfId="1" applyNumberFormat="1" applyFont="1" applyFill="1" applyBorder="1"/>
    <xf numFmtId="10" fontId="0" fillId="4" borderId="5" xfId="1" applyNumberFormat="1" applyFont="1" applyFill="1" applyBorder="1"/>
    <xf numFmtId="0" fontId="0" fillId="0" borderId="6" xfId="0" applyBorder="1" applyAlignment="1">
      <alignment horizontal="left" indent="1"/>
    </xf>
    <xf numFmtId="0" fontId="2" fillId="0" borderId="9" xfId="0" applyFont="1" applyBorder="1"/>
    <xf numFmtId="10" fontId="0" fillId="0" borderId="0" xfId="1" applyNumberFormat="1" applyFont="1"/>
    <xf numFmtId="164" fontId="0" fillId="4" borderId="5" xfId="0" applyNumberFormat="1" applyFill="1" applyBorder="1"/>
    <xf numFmtId="169" fontId="0" fillId="0" borderId="5" xfId="0" applyNumberFormat="1" applyBorder="1"/>
    <xf numFmtId="166" fontId="0" fillId="0" borderId="0" xfId="1" applyNumberFormat="1" applyFont="1"/>
    <xf numFmtId="9" fontId="0" fillId="0" borderId="0" xfId="0" applyNumberFormat="1"/>
    <xf numFmtId="0" fontId="0" fillId="0" borderId="6" xfId="0" applyBorder="1" applyAlignment="1">
      <alignment horizontal="left" indent="2"/>
    </xf>
    <xf numFmtId="0" fontId="4" fillId="0" borderId="0" xfId="0" applyFont="1"/>
    <xf numFmtId="164" fontId="0" fillId="0" borderId="6" xfId="0" applyNumberFormat="1" applyBorder="1" applyAlignment="1">
      <alignment horizontal="left" indent="1"/>
    </xf>
    <xf numFmtId="164" fontId="0" fillId="0" borderId="14" xfId="0" applyNumberFormat="1" applyBorder="1" applyAlignment="1">
      <alignment horizontal="left" indent="1"/>
    </xf>
    <xf numFmtId="10" fontId="0" fillId="4" borderId="11" xfId="1" applyNumberFormat="1" applyFont="1" applyFill="1" applyBorder="1"/>
    <xf numFmtId="0" fontId="0" fillId="4" borderId="5" xfId="0" applyFill="1" applyBorder="1"/>
    <xf numFmtId="164" fontId="0" fillId="0" borderId="11" xfId="0" applyNumberFormat="1" applyBorder="1" applyAlignment="1">
      <alignment horizontal="left" indent="1"/>
    </xf>
    <xf numFmtId="164" fontId="5" fillId="0" borderId="8" xfId="0" applyNumberFormat="1" applyFont="1" applyBorder="1" applyAlignment="1">
      <alignment horizontal="left"/>
    </xf>
    <xf numFmtId="164" fontId="0" fillId="0" borderId="5" xfId="0" applyNumberFormat="1" applyBorder="1" applyAlignment="1">
      <alignment horizontal="left" indent="2"/>
    </xf>
    <xf numFmtId="0" fontId="0" fillId="0" borderId="14" xfId="0" applyBorder="1" applyAlignment="1">
      <alignment horizontal="left" indent="1"/>
    </xf>
    <xf numFmtId="165" fontId="0" fillId="4" borderId="11" xfId="0" applyNumberFormat="1" applyFill="1" applyBorder="1"/>
    <xf numFmtId="164" fontId="0" fillId="2" borderId="8" xfId="0" applyNumberFormat="1" applyFill="1" applyBorder="1"/>
    <xf numFmtId="10" fontId="0" fillId="2" borderId="8" xfId="1" applyNumberFormat="1" applyFont="1" applyFill="1" applyBorder="1"/>
    <xf numFmtId="10" fontId="0" fillId="2" borderId="5" xfId="1" applyNumberFormat="1" applyFont="1" applyFill="1" applyBorder="1"/>
    <xf numFmtId="165" fontId="0" fillId="0" borderId="0" xfId="0" applyNumberFormat="1"/>
    <xf numFmtId="0" fontId="0" fillId="0" borderId="9" xfId="0" applyBorder="1" applyAlignment="1">
      <alignment horizontal="left" indent="1"/>
    </xf>
    <xf numFmtId="164" fontId="0" fillId="0" borderId="6" xfId="0" applyNumberFormat="1" applyBorder="1" applyAlignment="1">
      <alignment horizontal="left" indent="2"/>
    </xf>
    <xf numFmtId="0" fontId="2" fillId="6" borderId="8" xfId="0" applyFont="1" applyFill="1" applyBorder="1" applyAlignment="1">
      <alignment horizontal="center" vertical="center"/>
    </xf>
    <xf numFmtId="167" fontId="0" fillId="0" borderId="0" xfId="0" applyNumberFormat="1"/>
    <xf numFmtId="2" fontId="0" fillId="0" borderId="6" xfId="0" applyNumberFormat="1" applyBorder="1"/>
    <xf numFmtId="2" fontId="0" fillId="0" borderId="5" xfId="0" applyNumberFormat="1" applyBorder="1"/>
    <xf numFmtId="164" fontId="0" fillId="0" borderId="9" xfId="0" applyNumberFormat="1" applyBorder="1" applyAlignment="1">
      <alignment horizontal="left" indent="1"/>
    </xf>
    <xf numFmtId="167" fontId="0" fillId="0" borderId="11" xfId="0" applyNumberFormat="1" applyBorder="1"/>
    <xf numFmtId="165" fontId="2" fillId="0" borderId="1" xfId="0" applyNumberFormat="1" applyFont="1" applyBorder="1"/>
    <xf numFmtId="169" fontId="0" fillId="4" borderId="5" xfId="0" applyNumberFormat="1" applyFill="1" applyBorder="1"/>
    <xf numFmtId="165" fontId="0" fillId="4" borderId="5" xfId="0" applyNumberFormat="1" applyFill="1" applyBorder="1"/>
    <xf numFmtId="165" fontId="0" fillId="2" borderId="8" xfId="0" applyNumberFormat="1" applyFill="1" applyBorder="1"/>
    <xf numFmtId="169" fontId="0" fillId="2" borderId="5" xfId="0" applyNumberFormat="1" applyFill="1" applyBorder="1"/>
    <xf numFmtId="164" fontId="2" fillId="0" borderId="8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9" fontId="0" fillId="4" borderId="5" xfId="1" applyFont="1" applyFill="1" applyBorder="1"/>
    <xf numFmtId="164" fontId="0" fillId="0" borderId="11" xfId="0" applyNumberFormat="1" applyBorder="1" applyAlignment="1">
      <alignment horizontal="left" indent="4"/>
    </xf>
    <xf numFmtId="164" fontId="2" fillId="0" borderId="6" xfId="0" applyNumberFormat="1" applyFont="1" applyBorder="1" applyAlignment="1">
      <alignment horizontal="left"/>
    </xf>
    <xf numFmtId="9" fontId="0" fillId="0" borderId="5" xfId="1" applyFont="1" applyBorder="1"/>
    <xf numFmtId="1" fontId="0" fillId="0" borderId="1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5" fontId="0" fillId="7" borderId="1" xfId="0" applyNumberFormat="1" applyFill="1" applyBorder="1"/>
    <xf numFmtId="164" fontId="4" fillId="4" borderId="8" xfId="0" applyNumberFormat="1" applyFont="1" applyFill="1" applyBorder="1" applyAlignment="1">
      <alignment horizontal="left"/>
    </xf>
    <xf numFmtId="164" fontId="0" fillId="4" borderId="5" xfId="0" applyNumberFormat="1" applyFill="1" applyBorder="1" applyAlignment="1">
      <alignment horizontal="left" indent="1"/>
    </xf>
    <xf numFmtId="164" fontId="0" fillId="4" borderId="11" xfId="0" applyNumberFormat="1" applyFill="1" applyBorder="1" applyAlignment="1">
      <alignment horizontal="left" indent="1"/>
    </xf>
    <xf numFmtId="164" fontId="4" fillId="2" borderId="8" xfId="0" applyNumberFormat="1" applyFont="1" applyFill="1" applyBorder="1" applyAlignment="1">
      <alignment horizontal="left"/>
    </xf>
    <xf numFmtId="10" fontId="0" fillId="2" borderId="8" xfId="0" applyNumberFormat="1" applyFill="1" applyBorder="1"/>
    <xf numFmtId="164" fontId="0" fillId="2" borderId="5" xfId="0" applyNumberFormat="1" applyFill="1" applyBorder="1" applyAlignment="1">
      <alignment horizontal="left" indent="1"/>
    </xf>
    <xf numFmtId="164" fontId="0" fillId="2" borderId="11" xfId="0" applyNumberFormat="1" applyFill="1" applyBorder="1" applyAlignment="1">
      <alignment horizontal="left" indent="1"/>
    </xf>
    <xf numFmtId="164" fontId="4" fillId="5" borderId="8" xfId="0" applyNumberFormat="1" applyFont="1" applyFill="1" applyBorder="1" applyAlignment="1">
      <alignment horizontal="left"/>
    </xf>
    <xf numFmtId="169" fontId="0" fillId="5" borderId="8" xfId="0" applyNumberFormat="1" applyFill="1" applyBorder="1"/>
    <xf numFmtId="164" fontId="0" fillId="5" borderId="11" xfId="0" applyNumberFormat="1" applyFill="1" applyBorder="1" applyAlignment="1">
      <alignment horizontal="left" indent="1"/>
    </xf>
    <xf numFmtId="10" fontId="0" fillId="5" borderId="11" xfId="1" applyNumberFormat="1" applyFont="1" applyFill="1" applyBorder="1"/>
    <xf numFmtId="164" fontId="4" fillId="8" borderId="8" xfId="0" applyNumberFormat="1" applyFont="1" applyFill="1" applyBorder="1" applyAlignment="1">
      <alignment horizontal="left"/>
    </xf>
    <xf numFmtId="10" fontId="0" fillId="8" borderId="8" xfId="1" applyNumberFormat="1" applyFont="1" applyFill="1" applyBorder="1"/>
    <xf numFmtId="165" fontId="0" fillId="8" borderId="5" xfId="0" applyNumberFormat="1" applyFill="1" applyBorder="1"/>
    <xf numFmtId="10" fontId="0" fillId="8" borderId="5" xfId="1" applyNumberFormat="1" applyFont="1" applyFill="1" applyBorder="1"/>
    <xf numFmtId="164" fontId="0" fillId="0" borderId="8" xfId="0" applyNumberFormat="1" applyBorder="1" applyAlignment="1">
      <alignment horizontal="left" indent="1"/>
    </xf>
    <xf numFmtId="169" fontId="0" fillId="0" borderId="8" xfId="0" applyNumberFormat="1" applyBorder="1"/>
    <xf numFmtId="10" fontId="0" fillId="0" borderId="11" xfId="1" applyNumberFormat="1" applyFont="1" applyBorder="1"/>
    <xf numFmtId="164" fontId="0" fillId="0" borderId="0" xfId="0" applyNumberFormat="1" applyAlignment="1">
      <alignment horizontal="left"/>
    </xf>
    <xf numFmtId="10" fontId="0" fillId="0" borderId="0" xfId="1" applyNumberFormat="1" applyFont="1" applyFill="1" applyBorder="1"/>
    <xf numFmtId="167" fontId="0" fillId="0" borderId="9" xfId="0" applyNumberFormat="1" applyBorder="1"/>
    <xf numFmtId="165" fontId="0" fillId="0" borderId="8" xfId="0" applyNumberFormat="1" applyBorder="1"/>
    <xf numFmtId="169" fontId="0" fillId="0" borderId="0" xfId="0" applyNumberFormat="1"/>
    <xf numFmtId="0" fontId="0" fillId="0" borderId="11" xfId="0" applyBorder="1"/>
    <xf numFmtId="0" fontId="0" fillId="0" borderId="5" xfId="0" applyBorder="1" applyAlignment="1">
      <alignment horizontal="left" indent="2"/>
    </xf>
    <xf numFmtId="0" fontId="2" fillId="0" borderId="11" xfId="0" applyFont="1" applyBorder="1" applyAlignment="1">
      <alignment horizontal="left" indent="1"/>
    </xf>
    <xf numFmtId="165" fontId="0" fillId="0" borderId="6" xfId="0" applyNumberFormat="1" applyBorder="1"/>
    <xf numFmtId="165" fontId="2" fillId="0" borderId="11" xfId="0" applyNumberFormat="1" applyFont="1" applyBorder="1"/>
    <xf numFmtId="165" fontId="0" fillId="0" borderId="4" xfId="0" applyNumberFormat="1" applyBorder="1"/>
    <xf numFmtId="165" fontId="0" fillId="0" borderId="12" xfId="0" applyNumberFormat="1" applyBorder="1"/>
    <xf numFmtId="165" fontId="0" fillId="0" borderId="1" xfId="0" applyNumberFormat="1" applyBorder="1"/>
    <xf numFmtId="0" fontId="2" fillId="0" borderId="14" xfId="0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165" fontId="0" fillId="0" borderId="7" xfId="0" applyNumberFormat="1" applyBorder="1"/>
    <xf numFmtId="0" fontId="0" fillId="0" borderId="10" xfId="0" applyBorder="1"/>
    <xf numFmtId="0" fontId="0" fillId="0" borderId="2" xfId="0" applyBorder="1" applyAlignment="1">
      <alignment horizontal="left" indent="1"/>
    </xf>
    <xf numFmtId="0" fontId="0" fillId="0" borderId="3" xfId="0" applyBorder="1"/>
    <xf numFmtId="9" fontId="0" fillId="0" borderId="1" xfId="1" applyFont="1" applyBorder="1"/>
    <xf numFmtId="0" fontId="2" fillId="0" borderId="2" xfId="0" applyFont="1" applyBorder="1"/>
    <xf numFmtId="165" fontId="2" fillId="0" borderId="3" xfId="0" applyNumberFormat="1" applyFont="1" applyBorder="1"/>
    <xf numFmtId="165" fontId="2" fillId="0" borderId="2" xfId="0" applyNumberFormat="1" applyFont="1" applyBorder="1"/>
    <xf numFmtId="165" fontId="0" fillId="10" borderId="8" xfId="0" applyNumberFormat="1" applyFill="1" applyBorder="1"/>
    <xf numFmtId="165" fontId="0" fillId="10" borderId="11" xfId="0" applyNumberFormat="1" applyFill="1" applyBorder="1"/>
    <xf numFmtId="164" fontId="0" fillId="0" borderId="13" xfId="0" applyNumberFormat="1" applyBorder="1"/>
    <xf numFmtId="164" fontId="2" fillId="0" borderId="2" xfId="0" applyNumberFormat="1" applyFont="1" applyBorder="1" applyAlignment="1">
      <alignment horizontal="left"/>
    </xf>
    <xf numFmtId="170" fontId="0" fillId="0" borderId="8" xfId="0" applyNumberFormat="1" applyBorder="1"/>
    <xf numFmtId="170" fontId="0" fillId="0" borderId="5" xfId="0" applyNumberFormat="1" applyBorder="1"/>
    <xf numFmtId="170" fontId="0" fillId="0" borderId="11" xfId="0" applyNumberFormat="1" applyBorder="1"/>
    <xf numFmtId="10" fontId="0" fillId="0" borderId="5" xfId="0" applyNumberFormat="1" applyBorder="1"/>
    <xf numFmtId="165" fontId="0" fillId="2" borderId="5" xfId="0" applyNumberFormat="1" applyFill="1" applyBorder="1"/>
    <xf numFmtId="165" fontId="0" fillId="2" borderId="11" xfId="0" applyNumberFormat="1" applyFill="1" applyBorder="1"/>
    <xf numFmtId="165" fontId="2" fillId="6" borderId="8" xfId="0" applyNumberFormat="1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left" vertical="center"/>
    </xf>
    <xf numFmtId="10" fontId="2" fillId="9" borderId="1" xfId="1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/>
    <xf numFmtId="164" fontId="2" fillId="11" borderId="9" xfId="0" applyNumberFormat="1" applyFont="1" applyFill="1" applyBorder="1" applyAlignment="1">
      <alignment horizontal="left"/>
    </xf>
    <xf numFmtId="0" fontId="2" fillId="11" borderId="8" xfId="0" applyFont="1" applyFill="1" applyBorder="1" applyAlignment="1">
      <alignment horizontal="center"/>
    </xf>
    <xf numFmtId="170" fontId="0" fillId="2" borderId="11" xfId="0" applyNumberFormat="1" applyFill="1" applyBorder="1"/>
    <xf numFmtId="9" fontId="0" fillId="2" borderId="5" xfId="1" applyFont="1" applyFill="1" applyBorder="1"/>
    <xf numFmtId="167" fontId="2" fillId="2" borderId="5" xfId="0" applyNumberFormat="1" applyFont="1" applyFill="1" applyBorder="1"/>
    <xf numFmtId="167" fontId="2" fillId="2" borderId="11" xfId="0" applyNumberFormat="1" applyFont="1" applyFill="1" applyBorder="1"/>
    <xf numFmtId="0" fontId="2" fillId="0" borderId="6" xfId="0" applyFont="1" applyBorder="1" applyAlignment="1">
      <alignment horizontal="left"/>
    </xf>
    <xf numFmtId="170" fontId="2" fillId="0" borderId="1" xfId="0" applyNumberFormat="1" applyFont="1" applyBorder="1"/>
  </cellXfs>
  <cellStyles count="3">
    <cellStyle name="Millares 2" xfId="2" xr:uid="{0DF497A4-B1A4-4A8E-B2C1-3A725AAFDCC2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C1A0B829-C718-46CC-8773-0D9C98C699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D35"/>
  <sheetViews>
    <sheetView tabSelected="1" zoomScaleNormal="100" workbookViewId="0">
      <selection activeCell="B16" sqref="B16"/>
    </sheetView>
  </sheetViews>
  <sheetFormatPr baseColWidth="10" defaultRowHeight="15" x14ac:dyDescent="0.25"/>
  <cols>
    <col min="1" max="1" width="40.28515625" customWidth="1"/>
    <col min="2" max="2" width="15.140625" customWidth="1"/>
    <col min="3" max="3" width="11.85546875" customWidth="1"/>
  </cols>
  <sheetData>
    <row r="1" spans="1:3" ht="18.75" x14ac:dyDescent="0.3">
      <c r="A1" s="36" t="s">
        <v>36</v>
      </c>
    </row>
    <row r="2" spans="1:3" x14ac:dyDescent="0.25">
      <c r="A2" s="133" t="s">
        <v>46</v>
      </c>
      <c r="B2" s="134" t="s">
        <v>89</v>
      </c>
      <c r="C2" s="134" t="s">
        <v>4</v>
      </c>
    </row>
    <row r="3" spans="1:3" x14ac:dyDescent="0.25">
      <c r="A3" s="56" t="s">
        <v>97</v>
      </c>
      <c r="B3" s="118">
        <v>0.51</v>
      </c>
      <c r="C3" s="118">
        <v>0.51</v>
      </c>
    </row>
    <row r="4" spans="1:3" x14ac:dyDescent="0.25">
      <c r="A4" s="37" t="s">
        <v>98</v>
      </c>
      <c r="B4" s="119">
        <v>2.7E-2</v>
      </c>
      <c r="C4" s="119">
        <v>1.5500000000000014E-2</v>
      </c>
    </row>
    <row r="5" spans="1:3" x14ac:dyDescent="0.25">
      <c r="A5" s="37" t="s">
        <v>99</v>
      </c>
      <c r="B5" s="119">
        <v>1.4999999999999999E-2</v>
      </c>
      <c r="C5" s="119">
        <v>7.0000000000000001E-3</v>
      </c>
    </row>
    <row r="6" spans="1:3" x14ac:dyDescent="0.25">
      <c r="A6" s="38" t="s">
        <v>100</v>
      </c>
      <c r="B6" s="120">
        <v>1.4999999999999999E-2</v>
      </c>
      <c r="C6" s="120">
        <v>1.4999999999999999E-2</v>
      </c>
    </row>
    <row r="7" spans="1:3" x14ac:dyDescent="0.25">
      <c r="A7" s="56" t="s">
        <v>101</v>
      </c>
      <c r="B7" s="118">
        <f>SUM(B3:B6)</f>
        <v>0.56700000000000006</v>
      </c>
      <c r="C7" s="118">
        <f>SUM(C3:C6)</f>
        <v>0.5475000000000001</v>
      </c>
    </row>
    <row r="8" spans="1:3" x14ac:dyDescent="0.25">
      <c r="A8" s="38" t="s">
        <v>102</v>
      </c>
      <c r="B8" s="135">
        <v>2.1000000000000001E-2</v>
      </c>
      <c r="C8" s="135">
        <v>2.5000000000000001E-2</v>
      </c>
    </row>
    <row r="9" spans="1:3" x14ac:dyDescent="0.25">
      <c r="A9" s="117" t="s">
        <v>47</v>
      </c>
      <c r="B9" s="140">
        <f>SUM(B7:B8)</f>
        <v>0.58800000000000008</v>
      </c>
      <c r="C9" s="140">
        <f>SUM(C7:C8)</f>
        <v>0.57250000000000012</v>
      </c>
    </row>
    <row r="10" spans="1:3" x14ac:dyDescent="0.25">
      <c r="A10" s="37" t="s">
        <v>103</v>
      </c>
      <c r="B10" s="119">
        <f>B27*B16/1000</f>
        <v>0.23520000000000005</v>
      </c>
      <c r="C10" s="119">
        <f>C27*C16/1000</f>
        <v>0.22900000000000006</v>
      </c>
    </row>
    <row r="11" spans="1:3" x14ac:dyDescent="0.25">
      <c r="A11" s="38" t="s">
        <v>104</v>
      </c>
      <c r="B11" s="120">
        <f>B28*B17/1000</f>
        <v>0.35280000000000006</v>
      </c>
      <c r="C11" s="120">
        <f>C28*C17/1000</f>
        <v>0.34350000000000008</v>
      </c>
    </row>
    <row r="12" spans="1:3" x14ac:dyDescent="0.25">
      <c r="A12" s="63" t="s">
        <v>50</v>
      </c>
      <c r="B12" s="18"/>
      <c r="C12" s="18"/>
    </row>
    <row r="13" spans="1:3" x14ac:dyDescent="0.25">
      <c r="A13" s="24" t="s">
        <v>105</v>
      </c>
      <c r="B13" s="121">
        <v>4.1000000000000002E-2</v>
      </c>
      <c r="C13" s="121">
        <v>3.95E-2</v>
      </c>
    </row>
    <row r="14" spans="1:3" x14ac:dyDescent="0.25">
      <c r="A14" s="41" t="s">
        <v>106</v>
      </c>
      <c r="B14" s="21">
        <v>3.4500000000000003E-2</v>
      </c>
      <c r="C14" s="21">
        <v>3.4000000000000002E-2</v>
      </c>
    </row>
    <row r="15" spans="1:3" x14ac:dyDescent="0.25">
      <c r="A15" s="64" t="s">
        <v>37</v>
      </c>
      <c r="B15" s="15"/>
      <c r="C15" s="15"/>
    </row>
    <row r="16" spans="1:3" x14ac:dyDescent="0.25">
      <c r="A16" s="24" t="s">
        <v>107</v>
      </c>
      <c r="B16" s="13">
        <f>B13*B21*1000</f>
        <v>42.403446035919998</v>
      </c>
      <c r="C16" s="13">
        <f>C13*C21*1000</f>
        <v>40.852168093780008</v>
      </c>
    </row>
    <row r="17" spans="1:4" x14ac:dyDescent="0.25">
      <c r="A17" s="24" t="s">
        <v>108</v>
      </c>
      <c r="B17" s="13">
        <f>B14*B21*1000</f>
        <v>35.680948493640003</v>
      </c>
      <c r="C17" s="13">
        <f>C14*C21*1000</f>
        <v>35.163891523760007</v>
      </c>
    </row>
    <row r="18" spans="1:4" x14ac:dyDescent="0.25">
      <c r="A18" s="24" t="s">
        <v>109</v>
      </c>
      <c r="B18" s="13">
        <v>48</v>
      </c>
      <c r="C18" s="13">
        <v>48</v>
      </c>
    </row>
    <row r="19" spans="1:4" x14ac:dyDescent="0.25">
      <c r="A19" s="24" t="s">
        <v>110</v>
      </c>
      <c r="B19" s="13">
        <v>9</v>
      </c>
      <c r="C19" s="13">
        <v>9</v>
      </c>
    </row>
    <row r="20" spans="1:4" x14ac:dyDescent="0.25">
      <c r="A20" s="24" t="s">
        <v>111</v>
      </c>
      <c r="B20" s="13">
        <f>B21*1000-SUM(B16:B19)</f>
        <v>899.14599659043995</v>
      </c>
      <c r="C20" s="13">
        <f>C21*1000-SUM(C16:C19)</f>
        <v>901.2160440224601</v>
      </c>
    </row>
    <row r="21" spans="1:4" x14ac:dyDescent="0.25">
      <c r="A21" s="24" t="s">
        <v>112</v>
      </c>
      <c r="B21" s="13">
        <f>(-0.2307*10^(-2)*B22^2-0.2655*B22+1040.51-B13*(-0.478*10^(-4)*B22^2+0.969*10^(-2)*B22+0.967))/1000</f>
        <v>1.0342303911199999</v>
      </c>
      <c r="C21" s="13">
        <f>(-0.2307*10^(-2)*C22^2-0.2655*C22+1040.51-C13*(-0.478*10^(-4)*C22^2+0.969*10^(-2)*C22+0.967))/1000</f>
        <v>1.0342321036400002</v>
      </c>
    </row>
    <row r="22" spans="1:4" x14ac:dyDescent="0.25">
      <c r="A22" s="66" t="s">
        <v>76</v>
      </c>
      <c r="B22" s="69">
        <v>20</v>
      </c>
      <c r="C22" s="69">
        <v>20</v>
      </c>
    </row>
    <row r="23" spans="1:4" x14ac:dyDescent="0.25">
      <c r="A23" s="67" t="s">
        <v>54</v>
      </c>
      <c r="B23" s="18"/>
      <c r="C23" s="18"/>
    </row>
    <row r="24" spans="1:4" x14ac:dyDescent="0.25">
      <c r="A24" s="37" t="s">
        <v>113</v>
      </c>
      <c r="B24" s="136">
        <v>0.4</v>
      </c>
      <c r="C24" s="136">
        <v>0.4</v>
      </c>
      <c r="D24" s="53"/>
    </row>
    <row r="25" spans="1:4" x14ac:dyDescent="0.25">
      <c r="A25" s="37" t="s">
        <v>114</v>
      </c>
      <c r="B25" s="68">
        <f>1-B24</f>
        <v>0.6</v>
      </c>
      <c r="C25" s="68">
        <f>1-C24</f>
        <v>0.6</v>
      </c>
      <c r="D25" s="53"/>
    </row>
    <row r="26" spans="1:4" x14ac:dyDescent="0.25">
      <c r="A26" s="139" t="s">
        <v>75</v>
      </c>
      <c r="B26" s="15"/>
      <c r="C26" s="15"/>
      <c r="D26" s="53"/>
    </row>
    <row r="27" spans="1:4" x14ac:dyDescent="0.25">
      <c r="A27" s="37" t="s">
        <v>115</v>
      </c>
      <c r="B27" s="137">
        <f>B9/B16*B24*1000</f>
        <v>5.5467190048837516</v>
      </c>
      <c r="C27" s="137">
        <f>C9/C16*C24*1000</f>
        <v>5.6055776397059009</v>
      </c>
    </row>
    <row r="28" spans="1:4" x14ac:dyDescent="0.25">
      <c r="A28" s="38" t="s">
        <v>116</v>
      </c>
      <c r="B28" s="138">
        <f>B9/B17*B25*1000</f>
        <v>9.8876295304449471</v>
      </c>
      <c r="C28" s="138">
        <f>C9/C17*C25*1000</f>
        <v>9.7685433868404292</v>
      </c>
      <c r="D28" s="53"/>
    </row>
    <row r="29" spans="1:4" x14ac:dyDescent="0.25">
      <c r="D29" s="53"/>
    </row>
    <row r="30" spans="1:4" x14ac:dyDescent="0.25">
      <c r="D30" s="53"/>
    </row>
    <row r="31" spans="1:4" x14ac:dyDescent="0.25">
      <c r="B31" s="53"/>
      <c r="C31" s="53"/>
      <c r="D31" s="53"/>
    </row>
    <row r="32" spans="1:4" x14ac:dyDescent="0.25">
      <c r="B32" s="53"/>
      <c r="C32" s="53"/>
      <c r="D32" s="53"/>
    </row>
    <row r="33" spans="4:4" x14ac:dyDescent="0.25">
      <c r="D33" s="53"/>
    </row>
    <row r="34" spans="4:4" x14ac:dyDescent="0.25">
      <c r="D34" s="53"/>
    </row>
    <row r="35" spans="4:4" x14ac:dyDescent="0.25">
      <c r="D35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F627-9443-4CD0-A54A-AE7D4A501CD9}">
  <sheetPr>
    <pageSetUpPr fitToPage="1"/>
  </sheetPr>
  <dimension ref="A1:B22"/>
  <sheetViews>
    <sheetView zoomScale="90" zoomScaleNormal="90" workbookViewId="0">
      <selection activeCell="C12" sqref="C12"/>
    </sheetView>
  </sheetViews>
  <sheetFormatPr baseColWidth="10" defaultRowHeight="15" x14ac:dyDescent="0.25"/>
  <cols>
    <col min="1" max="1" width="48.7109375" customWidth="1"/>
  </cols>
  <sheetData>
    <row r="1" spans="1:2" ht="21" x14ac:dyDescent="0.25">
      <c r="A1" s="20" t="s">
        <v>55</v>
      </c>
      <c r="B1" s="70" t="s">
        <v>56</v>
      </c>
    </row>
    <row r="2" spans="1:2" x14ac:dyDescent="0.25">
      <c r="A2" s="71" t="s">
        <v>13</v>
      </c>
      <c r="B2" s="72">
        <v>1</v>
      </c>
    </row>
    <row r="3" spans="1:2" ht="18.75" x14ac:dyDescent="0.3">
      <c r="A3" s="73" t="s">
        <v>57</v>
      </c>
      <c r="B3" s="60"/>
    </row>
    <row r="4" spans="1:2" x14ac:dyDescent="0.25">
      <c r="A4" s="74" t="s">
        <v>58</v>
      </c>
      <c r="B4" s="27">
        <v>0.52</v>
      </c>
    </row>
    <row r="5" spans="1:2" x14ac:dyDescent="0.25">
      <c r="A5" s="75" t="s">
        <v>59</v>
      </c>
      <c r="B5" s="39">
        <v>0.27</v>
      </c>
    </row>
    <row r="6" spans="1:2" x14ac:dyDescent="0.25">
      <c r="A6" s="24" t="s">
        <v>2</v>
      </c>
      <c r="B6" s="12">
        <f>B4-B5</f>
        <v>0.25</v>
      </c>
    </row>
    <row r="7" spans="1:2" x14ac:dyDescent="0.25">
      <c r="A7" s="24" t="s">
        <v>11</v>
      </c>
      <c r="B7" s="17">
        <f>(1-B4)/(1-B5)</f>
        <v>0.65753424657534243</v>
      </c>
    </row>
    <row r="8" spans="1:2" x14ac:dyDescent="0.25">
      <c r="A8" s="41" t="s">
        <v>10</v>
      </c>
      <c r="B8" s="21">
        <f>B5/B4</f>
        <v>0.51923076923076927</v>
      </c>
    </row>
    <row r="9" spans="1:2" ht="18.75" x14ac:dyDescent="0.3">
      <c r="A9" s="76" t="s">
        <v>60</v>
      </c>
      <c r="B9" s="77"/>
    </row>
    <row r="10" spans="1:2" x14ac:dyDescent="0.25">
      <c r="A10" s="78" t="s">
        <v>61</v>
      </c>
      <c r="B10" s="122">
        <v>40.58</v>
      </c>
    </row>
    <row r="11" spans="1:2" x14ac:dyDescent="0.25">
      <c r="A11" s="79" t="s">
        <v>62</v>
      </c>
      <c r="B11" s="123">
        <v>34.049999999999997</v>
      </c>
    </row>
    <row r="12" spans="1:2" ht="18.75" x14ac:dyDescent="0.3">
      <c r="A12" s="80" t="s">
        <v>63</v>
      </c>
      <c r="B12" s="81"/>
    </row>
    <row r="13" spans="1:2" x14ac:dyDescent="0.25">
      <c r="A13" s="82" t="s">
        <v>64</v>
      </c>
      <c r="B13" s="83">
        <v>0.94650000000000001</v>
      </c>
    </row>
    <row r="14" spans="1:2" ht="18.75" x14ac:dyDescent="0.3">
      <c r="A14" s="84" t="s">
        <v>65</v>
      </c>
      <c r="B14" s="85"/>
    </row>
    <row r="15" spans="1:2" x14ac:dyDescent="0.25">
      <c r="A15" s="24" t="s">
        <v>66</v>
      </c>
      <c r="B15" s="32">
        <f>B13*B11</f>
        <v>32.228324999999998</v>
      </c>
    </row>
    <row r="16" spans="1:2" x14ac:dyDescent="0.25">
      <c r="A16" s="24" t="s">
        <v>33</v>
      </c>
      <c r="B16" s="86">
        <f>B6*1000/B15</f>
        <v>7.7571515119076162</v>
      </c>
    </row>
    <row r="17" spans="1:2" x14ac:dyDescent="0.25">
      <c r="A17" s="24" t="s">
        <v>34</v>
      </c>
      <c r="B17" s="32">
        <f>B5*1000/B16</f>
        <v>34.806590999999997</v>
      </c>
    </row>
    <row r="18" spans="1:2" x14ac:dyDescent="0.25">
      <c r="A18" s="24" t="s">
        <v>9</v>
      </c>
      <c r="B18" s="87">
        <f>B17/B10</f>
        <v>0.8577277230162641</v>
      </c>
    </row>
    <row r="19" spans="1:2" x14ac:dyDescent="0.25">
      <c r="A19" s="88" t="s">
        <v>67</v>
      </c>
      <c r="B19" s="89">
        <f>B17-B10</f>
        <v>-5.7734090000000009</v>
      </c>
    </row>
    <row r="20" spans="1:2" x14ac:dyDescent="0.25">
      <c r="A20" s="41" t="s">
        <v>68</v>
      </c>
      <c r="B20" s="90">
        <f>B19/B10</f>
        <v>-0.14227227698373585</v>
      </c>
    </row>
    <row r="21" spans="1:2" x14ac:dyDescent="0.25">
      <c r="A21" s="88" t="s">
        <v>69</v>
      </c>
      <c r="B21" s="10">
        <f>B10*B16</f>
        <v>314.78520835321103</v>
      </c>
    </row>
    <row r="22" spans="1:2" x14ac:dyDescent="0.25">
      <c r="A22" s="41" t="s">
        <v>5</v>
      </c>
      <c r="B22" s="8">
        <f>B11*B16</f>
        <v>264.13100898045428</v>
      </c>
    </row>
  </sheetData>
  <pageMargins left="0.25" right="0.25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A297-2768-433D-B91B-507DB37A1FBD}">
  <dimension ref="A1:F35"/>
  <sheetViews>
    <sheetView zoomScaleNormal="100" workbookViewId="0">
      <selection activeCell="B13" sqref="B13"/>
    </sheetView>
  </sheetViews>
  <sheetFormatPr baseColWidth="10" defaultRowHeight="15" x14ac:dyDescent="0.25"/>
  <cols>
    <col min="1" max="1" width="41.28515625" customWidth="1"/>
  </cols>
  <sheetData>
    <row r="1" spans="1:2" ht="18.75" x14ac:dyDescent="0.3">
      <c r="A1" s="36" t="s">
        <v>49</v>
      </c>
    </row>
    <row r="2" spans="1:2" x14ac:dyDescent="0.25">
      <c r="A2" s="29" t="s">
        <v>73</v>
      </c>
      <c r="B2" s="18"/>
    </row>
    <row r="3" spans="1:2" x14ac:dyDescent="0.25">
      <c r="A3" s="37" t="s">
        <v>13</v>
      </c>
      <c r="B3" s="59">
        <v>10.71</v>
      </c>
    </row>
    <row r="4" spans="1:2" x14ac:dyDescent="0.25">
      <c r="A4" s="37" t="s">
        <v>35</v>
      </c>
      <c r="B4" s="27">
        <v>0.53200000000000003</v>
      </c>
    </row>
    <row r="5" spans="1:2" x14ac:dyDescent="0.25">
      <c r="A5" s="38" t="s">
        <v>70</v>
      </c>
      <c r="B5" s="39">
        <v>0.27600000000000002</v>
      </c>
    </row>
    <row r="6" spans="1:2" x14ac:dyDescent="0.25">
      <c r="A6" s="37" t="s">
        <v>23</v>
      </c>
      <c r="B6" s="31">
        <v>90</v>
      </c>
    </row>
    <row r="7" spans="1:2" x14ac:dyDescent="0.25">
      <c r="A7" s="37" t="s">
        <v>71</v>
      </c>
      <c r="B7" s="60">
        <v>40.851999999999997</v>
      </c>
    </row>
    <row r="8" spans="1:2" x14ac:dyDescent="0.25">
      <c r="A8" s="38" t="s">
        <v>72</v>
      </c>
      <c r="B8" s="45">
        <v>35.162999999999997</v>
      </c>
    </row>
    <row r="9" spans="1:2" x14ac:dyDescent="0.25">
      <c r="A9" s="37" t="s">
        <v>14</v>
      </c>
      <c r="B9" s="16">
        <f>B7*B6/1000</f>
        <v>3.6766799999999997</v>
      </c>
    </row>
    <row r="10" spans="1:2" x14ac:dyDescent="0.25">
      <c r="A10" s="37" t="s">
        <v>15</v>
      </c>
      <c r="B10" s="16">
        <f>B8*B6/1000</f>
        <v>3.1646699999999996</v>
      </c>
    </row>
    <row r="11" spans="1:2" ht="15.75" x14ac:dyDescent="0.25">
      <c r="A11" s="42" t="s">
        <v>74</v>
      </c>
      <c r="B11" s="18"/>
    </row>
    <row r="12" spans="1:2" x14ac:dyDescent="0.25">
      <c r="A12" s="37" t="s">
        <v>25</v>
      </c>
      <c r="B12" s="60">
        <v>0</v>
      </c>
    </row>
    <row r="13" spans="1:2" x14ac:dyDescent="0.25">
      <c r="A13" s="43" t="s">
        <v>53</v>
      </c>
      <c r="B13" s="65">
        <v>0.4</v>
      </c>
    </row>
    <row r="14" spans="1:2" x14ac:dyDescent="0.25">
      <c r="A14" s="43" t="s">
        <v>51</v>
      </c>
      <c r="B14" s="55">
        <f>B13/100*B16*1000*100</f>
        <v>394</v>
      </c>
    </row>
    <row r="15" spans="1:2" x14ac:dyDescent="0.25">
      <c r="A15" s="43" t="s">
        <v>52</v>
      </c>
      <c r="B15" s="40">
        <v>5.91</v>
      </c>
    </row>
    <row r="16" spans="1:2" x14ac:dyDescent="0.25">
      <c r="A16" s="44" t="s">
        <v>88</v>
      </c>
      <c r="B16" s="57">
        <v>0.98499999999999999</v>
      </c>
    </row>
    <row r="18" spans="3:6" x14ac:dyDescent="0.25">
      <c r="C18" s="34"/>
    </row>
    <row r="19" spans="3:6" x14ac:dyDescent="0.25">
      <c r="C19" s="34"/>
    </row>
    <row r="24" spans="3:6" x14ac:dyDescent="0.25">
      <c r="E24" s="25"/>
      <c r="F24" s="53"/>
    </row>
    <row r="25" spans="3:6" x14ac:dyDescent="0.25">
      <c r="E25" s="25"/>
      <c r="F25" s="53"/>
    </row>
    <row r="26" spans="3:6" x14ac:dyDescent="0.25">
      <c r="F26" s="53"/>
    </row>
    <row r="28" spans="3:6" x14ac:dyDescent="0.25">
      <c r="E28" s="25"/>
      <c r="F28" s="53"/>
    </row>
    <row r="29" spans="3:6" x14ac:dyDescent="0.25">
      <c r="E29" s="25"/>
      <c r="F29" s="53"/>
    </row>
    <row r="30" spans="3:6" x14ac:dyDescent="0.25">
      <c r="E30" s="25"/>
      <c r="F30" s="53"/>
    </row>
    <row r="31" spans="3:6" x14ac:dyDescent="0.25">
      <c r="F31" s="53"/>
    </row>
    <row r="32" spans="3:6" x14ac:dyDescent="0.25">
      <c r="F32" s="53"/>
    </row>
    <row r="33" spans="6:6" x14ac:dyDescent="0.25">
      <c r="F33" s="53"/>
    </row>
    <row r="34" spans="6:6" x14ac:dyDescent="0.25">
      <c r="F34" s="53"/>
    </row>
    <row r="35" spans="6:6" x14ac:dyDescent="0.25">
      <c r="F35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5982-6BEA-445F-8A60-F31DEB6ACFD0}">
  <sheetPr>
    <pageSetUpPr fitToPage="1"/>
  </sheetPr>
  <dimension ref="A1:H61"/>
  <sheetViews>
    <sheetView zoomScale="90" zoomScaleNormal="90" workbookViewId="0">
      <selection activeCell="F41" sqref="F41"/>
    </sheetView>
  </sheetViews>
  <sheetFormatPr baseColWidth="10" defaultRowHeight="15" x14ac:dyDescent="0.25"/>
  <cols>
    <col min="1" max="1" width="49.140625" bestFit="1" customWidth="1"/>
    <col min="2" max="3" width="12.42578125" customWidth="1"/>
    <col min="4" max="4" width="11.140625" customWidth="1"/>
    <col min="5" max="6" width="10.42578125" customWidth="1"/>
  </cols>
  <sheetData>
    <row r="1" spans="1:8" ht="21" x14ac:dyDescent="0.25">
      <c r="A1" s="20" t="s">
        <v>81</v>
      </c>
      <c r="B1" s="19" t="s">
        <v>48</v>
      </c>
      <c r="C1" s="19" t="s">
        <v>4</v>
      </c>
    </row>
    <row r="2" spans="1:8" x14ac:dyDescent="0.25">
      <c r="A2" s="6" t="s">
        <v>13</v>
      </c>
      <c r="B2" s="71"/>
      <c r="C2" s="61">
        <f>'Datos fabricación'!B3</f>
        <v>10.71</v>
      </c>
    </row>
    <row r="3" spans="1:8" x14ac:dyDescent="0.25">
      <c r="A3" s="6" t="s">
        <v>12</v>
      </c>
      <c r="B3" s="12">
        <f>'Estándar técnico'!B4</f>
        <v>0.52</v>
      </c>
      <c r="C3" s="47">
        <f>'Datos fabricación'!B4</f>
        <v>0.53200000000000003</v>
      </c>
    </row>
    <row r="4" spans="1:8" x14ac:dyDescent="0.25">
      <c r="A4" s="24" t="s">
        <v>3</v>
      </c>
      <c r="B4" s="12">
        <f>'Estándar técnico'!B5</f>
        <v>0.27</v>
      </c>
      <c r="C4" s="48">
        <f>'Datos fabricación'!B5</f>
        <v>0.27600000000000002</v>
      </c>
      <c r="E4" s="1"/>
    </row>
    <row r="5" spans="1:8" x14ac:dyDescent="0.25">
      <c r="A5" s="24" t="s">
        <v>2</v>
      </c>
      <c r="B5" s="12">
        <f>B3-B4</f>
        <v>0.25</v>
      </c>
      <c r="C5" s="12">
        <f>C3-C4</f>
        <v>0.25600000000000001</v>
      </c>
      <c r="E5" s="1"/>
    </row>
    <row r="6" spans="1:8" x14ac:dyDescent="0.25">
      <c r="A6" s="14" t="s">
        <v>11</v>
      </c>
      <c r="B6" s="17">
        <f>(1-B3)/(1-B4)</f>
        <v>0.65753424657534243</v>
      </c>
      <c r="C6" s="17">
        <f>(1-C3)/(1-C4)</f>
        <v>0.64640883977900554</v>
      </c>
    </row>
    <row r="7" spans="1:8" x14ac:dyDescent="0.25">
      <c r="A7" s="4" t="s">
        <v>10</v>
      </c>
      <c r="B7" s="21">
        <f>B4/B3</f>
        <v>0.51923076923076927</v>
      </c>
      <c r="C7" s="21">
        <f>C4/C3</f>
        <v>0.51879699248120303</v>
      </c>
    </row>
    <row r="8" spans="1:8" x14ac:dyDescent="0.25">
      <c r="A8" s="16" t="s">
        <v>21</v>
      </c>
      <c r="B8" s="13">
        <f>B4*1000</f>
        <v>270</v>
      </c>
      <c r="C8" s="13">
        <f>C4*1000</f>
        <v>276</v>
      </c>
      <c r="E8" s="1"/>
    </row>
    <row r="9" spans="1:8" x14ac:dyDescent="0.25">
      <c r="A9" s="15" t="s">
        <v>22</v>
      </c>
      <c r="B9" s="13">
        <f>B5*1000</f>
        <v>250</v>
      </c>
      <c r="C9" s="13">
        <f>C5*1000</f>
        <v>256</v>
      </c>
      <c r="F9" s="1"/>
    </row>
    <row r="10" spans="1:8" x14ac:dyDescent="0.25">
      <c r="A10" s="4" t="s">
        <v>26</v>
      </c>
      <c r="B10" s="13">
        <f>B8/B9</f>
        <v>1.08</v>
      </c>
      <c r="C10" s="13">
        <f>C8/C9</f>
        <v>1.078125</v>
      </c>
      <c r="E10" s="49"/>
      <c r="F10" s="1"/>
    </row>
    <row r="11" spans="1:8" x14ac:dyDescent="0.25">
      <c r="A11" s="6" t="s">
        <v>23</v>
      </c>
      <c r="B11" s="2">
        <f>B15/B19*1000</f>
        <v>83.079092692530566</v>
      </c>
      <c r="C11" s="46">
        <f>'Datos fabricación'!B6</f>
        <v>90</v>
      </c>
      <c r="E11" s="34"/>
      <c r="F11" s="23"/>
    </row>
    <row r="12" spans="1:8" x14ac:dyDescent="0.25">
      <c r="A12" s="14" t="s">
        <v>28</v>
      </c>
      <c r="B12" s="32">
        <f>'Estándar técnico'!B10</f>
        <v>40.58</v>
      </c>
      <c r="C12" s="32">
        <f>C14/C11*1000</f>
        <v>40.851999999999997</v>
      </c>
    </row>
    <row r="13" spans="1:8" x14ac:dyDescent="0.25">
      <c r="A13" s="14" t="s">
        <v>29</v>
      </c>
      <c r="B13" s="32">
        <f>'Estándar técnico'!B11</f>
        <v>34.049999999999997</v>
      </c>
      <c r="C13" s="32">
        <f>C15/C11*1000</f>
        <v>35.16299999999999</v>
      </c>
      <c r="H13" s="1"/>
    </row>
    <row r="14" spans="1:8" x14ac:dyDescent="0.25">
      <c r="A14" s="14" t="s">
        <v>14</v>
      </c>
      <c r="B14" s="32">
        <f>B$4/B$22*C$2</f>
        <v>3.3713495814628907</v>
      </c>
      <c r="C14" s="62">
        <f>'Datos fabricación'!B9</f>
        <v>3.6766799999999997</v>
      </c>
      <c r="D14" s="1"/>
    </row>
    <row r="15" spans="1:8" x14ac:dyDescent="0.25">
      <c r="A15" s="14" t="s">
        <v>15</v>
      </c>
      <c r="B15" s="32">
        <f>C$2*B$5/B$23</f>
        <v>2.8288431061806656</v>
      </c>
      <c r="C15" s="62">
        <f>'Datos fabricación'!B10</f>
        <v>3.1646699999999996</v>
      </c>
      <c r="D15" s="1"/>
      <c r="H15" s="1"/>
    </row>
    <row r="16" spans="1:8" x14ac:dyDescent="0.25">
      <c r="A16" s="14" t="s">
        <v>25</v>
      </c>
      <c r="B16" s="32">
        <f>B11*B26/1000</f>
        <v>0</v>
      </c>
      <c r="C16" s="62">
        <f>'Datos fabricación'!B12</f>
        <v>0</v>
      </c>
      <c r="D16" s="30"/>
      <c r="H16" s="25"/>
    </row>
    <row r="17" spans="1:8" x14ac:dyDescent="0.25">
      <c r="A17" s="4" t="s">
        <v>27</v>
      </c>
      <c r="B17" s="22">
        <f>B14/B15</f>
        <v>1.1917767988252572</v>
      </c>
      <c r="C17" s="22">
        <f>C14/C15</f>
        <v>1.1617893808833148</v>
      </c>
    </row>
    <row r="18" spans="1:8" x14ac:dyDescent="0.25">
      <c r="A18" s="16" t="s">
        <v>7</v>
      </c>
      <c r="B18" s="13">
        <f>B12</f>
        <v>40.58</v>
      </c>
      <c r="C18" s="13">
        <f>C31*C2/C11</f>
        <v>40.85199999999999</v>
      </c>
      <c r="D18" s="33"/>
    </row>
    <row r="19" spans="1:8" x14ac:dyDescent="0.25">
      <c r="A19" s="15" t="s">
        <v>16</v>
      </c>
      <c r="B19" s="13">
        <f>B13</f>
        <v>34.049999999999997</v>
      </c>
      <c r="C19" s="13">
        <f>C32*C2/C11</f>
        <v>35.163000000000004</v>
      </c>
      <c r="F19" s="23"/>
    </row>
    <row r="20" spans="1:8" x14ac:dyDescent="0.25">
      <c r="A20" s="15" t="s">
        <v>6</v>
      </c>
      <c r="B20" s="13">
        <f>B8/B21</f>
        <v>34.806590999999997</v>
      </c>
      <c r="C20" s="13">
        <f>C8/C21</f>
        <v>32.844000000000015</v>
      </c>
      <c r="F20" s="1"/>
    </row>
    <row r="21" spans="1:8" x14ac:dyDescent="0.25">
      <c r="A21" s="14" t="s">
        <v>8</v>
      </c>
      <c r="B21" s="13">
        <f>(B5*1000/B19)/B23</f>
        <v>7.7571515119076153</v>
      </c>
      <c r="C21" s="13">
        <f>(C5*1000/C19)/C23</f>
        <v>8.4033613445378119</v>
      </c>
      <c r="F21" s="1"/>
    </row>
    <row r="22" spans="1:8" x14ac:dyDescent="0.25">
      <c r="A22" s="6" t="s">
        <v>9</v>
      </c>
      <c r="B22" s="132">
        <f>'Estándar técnico'!B18</f>
        <v>0.8577277230162641</v>
      </c>
      <c r="C22" s="132">
        <f>(C4*C2)/C14</f>
        <v>0.80397532556545603</v>
      </c>
      <c r="F22" s="1"/>
    </row>
    <row r="23" spans="1:8" x14ac:dyDescent="0.25">
      <c r="A23" s="4" t="s">
        <v>1</v>
      </c>
      <c r="B23" s="26">
        <f>'Estándar técnico'!B13</f>
        <v>0.94650000000000001</v>
      </c>
      <c r="C23" s="26">
        <f>C5*C2/C15</f>
        <v>0.86636521343457629</v>
      </c>
    </row>
    <row r="24" spans="1:8" x14ac:dyDescent="0.25">
      <c r="A24" s="6" t="s">
        <v>17</v>
      </c>
      <c r="B24" s="5">
        <f>B18-B20</f>
        <v>5.7734090000000009</v>
      </c>
      <c r="C24" s="5">
        <f>C18-C20</f>
        <v>8.0079999999999742</v>
      </c>
      <c r="F24" s="1"/>
    </row>
    <row r="25" spans="1:8" x14ac:dyDescent="0.25">
      <c r="A25" s="14" t="s">
        <v>18</v>
      </c>
      <c r="B25" s="12">
        <f>B24/B18</f>
        <v>0.14227227698373585</v>
      </c>
      <c r="C25" s="12">
        <f>C24/C18</f>
        <v>0.19602467443454363</v>
      </c>
    </row>
    <row r="26" spans="1:8" x14ac:dyDescent="0.25">
      <c r="A26" s="14" t="s">
        <v>24</v>
      </c>
      <c r="B26" s="13">
        <v>0</v>
      </c>
      <c r="C26" s="13">
        <f>C16*1000/C11</f>
        <v>0</v>
      </c>
      <c r="F26" s="1"/>
    </row>
    <row r="27" spans="1:8" x14ac:dyDescent="0.25">
      <c r="A27" s="14" t="s">
        <v>19</v>
      </c>
      <c r="B27" s="13">
        <f>B24-B26</f>
        <v>5.7734090000000009</v>
      </c>
      <c r="C27" s="13">
        <f>C24-C26</f>
        <v>8.0079999999999742</v>
      </c>
      <c r="F27" s="1"/>
    </row>
    <row r="28" spans="1:8" x14ac:dyDescent="0.25">
      <c r="A28" s="4" t="s">
        <v>20</v>
      </c>
      <c r="B28" s="26">
        <f>B27/B18</f>
        <v>0.14227227698373585</v>
      </c>
      <c r="C28" s="26">
        <f>C27/C18</f>
        <v>0.19602467443454363</v>
      </c>
    </row>
    <row r="29" spans="1:8" x14ac:dyDescent="0.25">
      <c r="A29" s="91"/>
      <c r="B29" s="92"/>
      <c r="C29" s="92"/>
    </row>
    <row r="30" spans="1:8" ht="30" x14ac:dyDescent="0.25">
      <c r="A30" s="125" t="s">
        <v>90</v>
      </c>
      <c r="B30" s="126" t="s">
        <v>40</v>
      </c>
      <c r="C30" s="126" t="s">
        <v>4</v>
      </c>
      <c r="D30" s="127" t="s">
        <v>95</v>
      </c>
      <c r="E30" s="124" t="s">
        <v>94</v>
      </c>
      <c r="F30" s="124" t="s">
        <v>96</v>
      </c>
      <c r="G30" s="1"/>
      <c r="H30" s="1"/>
    </row>
    <row r="31" spans="1:8" x14ac:dyDescent="0.25">
      <c r="A31" s="88" t="s">
        <v>93</v>
      </c>
      <c r="B31" s="10">
        <f>B14/C2*1000</f>
        <v>314.78520835321103</v>
      </c>
      <c r="C31" s="9">
        <f>C14/C2*1000</f>
        <v>343.29411764705873</v>
      </c>
      <c r="D31" s="94">
        <f>(B31-C31)*C2/1000</f>
        <v>-0.30533041853710879</v>
      </c>
      <c r="E31" s="94">
        <f>D31*B34</f>
        <v>-1.6935820352688915</v>
      </c>
      <c r="F31" s="94">
        <f>E31/C2</f>
        <v>-0.158130908988692</v>
      </c>
      <c r="G31" s="1"/>
      <c r="H31" s="1"/>
    </row>
    <row r="32" spans="1:8" x14ac:dyDescent="0.25">
      <c r="A32" s="41" t="s">
        <v>77</v>
      </c>
      <c r="B32" s="8">
        <f>B15/C2*1000</f>
        <v>264.13100898045428</v>
      </c>
      <c r="C32" s="7">
        <f>C15/C2*1000</f>
        <v>295.48739495798316</v>
      </c>
      <c r="D32" s="22">
        <f>(B32-C32)*C2/1000</f>
        <v>-0.33582689381933428</v>
      </c>
      <c r="E32" s="22">
        <f>D32*B35</f>
        <v>-3.3205319124456492</v>
      </c>
      <c r="F32" s="22">
        <f>E32/C2</f>
        <v>-0.31004032795944436</v>
      </c>
      <c r="G32" s="1"/>
      <c r="H32" s="1"/>
    </row>
    <row r="33" spans="1:8" x14ac:dyDescent="0.25">
      <c r="A33" s="64" t="s">
        <v>91</v>
      </c>
      <c r="B33" s="54"/>
      <c r="C33" s="25"/>
      <c r="D33" s="49"/>
      <c r="E33" s="16">
        <f>SUM(E31:E32)</f>
        <v>-5.0141139477145407</v>
      </c>
      <c r="F33" s="103">
        <f>SUM(F31:F32)</f>
        <v>-0.46817123694813634</v>
      </c>
      <c r="G33" s="1"/>
      <c r="H33" s="1"/>
    </row>
    <row r="34" spans="1:8" x14ac:dyDescent="0.25">
      <c r="A34" s="88" t="s">
        <v>78</v>
      </c>
      <c r="B34" s="93">
        <f>'Datos materia prima'!B27</f>
        <v>5.5467190048837516</v>
      </c>
      <c r="C34" s="5">
        <f>'Datos materia prima'!C27</f>
        <v>5.6055776397059009</v>
      </c>
      <c r="D34" s="18"/>
      <c r="E34" s="114">
        <f>(B34-C34)*C2</f>
        <v>-0.63037597894521979</v>
      </c>
      <c r="F34" s="94">
        <f>E34/C2</f>
        <v>-5.8858634822149369E-2</v>
      </c>
      <c r="G34" s="1"/>
      <c r="H34" s="1"/>
    </row>
    <row r="35" spans="1:8" x14ac:dyDescent="0.25">
      <c r="A35" s="41" t="s">
        <v>79</v>
      </c>
      <c r="B35" s="3">
        <f>'Datos materia prima'!B28</f>
        <v>9.8876295304449471</v>
      </c>
      <c r="C35" s="57">
        <f>'Datos materia prima'!C28</f>
        <v>9.7685433868404292</v>
      </c>
      <c r="D35" s="96"/>
      <c r="E35" s="115">
        <f>(B35-C35)*C2</f>
        <v>1.2754125980043864</v>
      </c>
      <c r="F35" s="22">
        <f>E35/C2</f>
        <v>0.11908614360451787</v>
      </c>
      <c r="G35" s="1"/>
      <c r="H35" s="1"/>
    </row>
    <row r="36" spans="1:8" x14ac:dyDescent="0.25">
      <c r="A36" s="117" t="s">
        <v>92</v>
      </c>
      <c r="B36" s="11"/>
      <c r="C36" s="11"/>
      <c r="D36" s="116"/>
      <c r="E36" s="103">
        <f>SUM(E34:E35)</f>
        <v>0.64503661905916665</v>
      </c>
      <c r="F36" s="103">
        <f>E36/C2</f>
        <v>6.0227508782368495E-2</v>
      </c>
      <c r="G36" s="1"/>
      <c r="H36" s="1"/>
    </row>
    <row r="37" spans="1:8" x14ac:dyDescent="0.25">
      <c r="A37" s="91"/>
      <c r="B37" s="91"/>
      <c r="C37" s="91"/>
      <c r="D37" s="1"/>
      <c r="E37" s="95"/>
      <c r="G37" s="1"/>
      <c r="H37" s="1"/>
    </row>
    <row r="38" spans="1:8" ht="30" x14ac:dyDescent="0.25">
      <c r="A38" s="129" t="s">
        <v>80</v>
      </c>
      <c r="B38" s="130" t="s">
        <v>40</v>
      </c>
      <c r="C38" s="130" t="s">
        <v>4</v>
      </c>
      <c r="D38" s="130" t="s">
        <v>41</v>
      </c>
      <c r="E38" s="131" t="s">
        <v>94</v>
      </c>
      <c r="F38" s="124" t="s">
        <v>96</v>
      </c>
      <c r="G38" s="1"/>
      <c r="H38" s="1"/>
    </row>
    <row r="39" spans="1:8" x14ac:dyDescent="0.25">
      <c r="A39" s="15" t="s">
        <v>45</v>
      </c>
      <c r="B39" s="16">
        <f>B14</f>
        <v>3.3713495814628907</v>
      </c>
      <c r="C39" s="16">
        <f>C14</f>
        <v>3.6766799999999997</v>
      </c>
      <c r="D39" s="16">
        <f>B39-C39</f>
        <v>-0.30533041853710907</v>
      </c>
      <c r="E39" s="16">
        <f>D39*B34</f>
        <v>-1.6935820352688931</v>
      </c>
      <c r="F39" s="94">
        <f>E39/C2</f>
        <v>-0.15813090898869214</v>
      </c>
      <c r="G39" s="1"/>
      <c r="H39" s="1"/>
    </row>
    <row r="40" spans="1:8" x14ac:dyDescent="0.25">
      <c r="A40" s="96" t="s">
        <v>44</v>
      </c>
      <c r="B40" s="22">
        <f>B15</f>
        <v>2.8288431061806656</v>
      </c>
      <c r="C40" s="22">
        <f>C15</f>
        <v>3.1646699999999996</v>
      </c>
      <c r="D40" s="22">
        <f>B40-C40</f>
        <v>-0.33582689381933406</v>
      </c>
      <c r="E40" s="22">
        <f>D40*B35</f>
        <v>-3.3205319124456469</v>
      </c>
      <c r="F40" s="22">
        <f>E40/C2</f>
        <v>-0.31004032795944414</v>
      </c>
      <c r="G40" s="1"/>
      <c r="H40" s="1"/>
    </row>
    <row r="41" spans="1:8" x14ac:dyDescent="0.25">
      <c r="B41" s="49"/>
      <c r="C41" s="49"/>
      <c r="D41" s="49"/>
      <c r="E41" s="103">
        <f>SUM(E39:E40)</f>
        <v>-5.0141139477145398</v>
      </c>
      <c r="F41" s="103">
        <f>SUM(F39:F40)</f>
        <v>-0.46817123694813628</v>
      </c>
      <c r="G41" s="1"/>
      <c r="H41" s="1"/>
    </row>
    <row r="43" spans="1:8" ht="30" x14ac:dyDescent="0.25">
      <c r="A43" s="128" t="s">
        <v>85</v>
      </c>
      <c r="B43" s="52" t="s">
        <v>40</v>
      </c>
      <c r="C43" s="52" t="s">
        <v>4</v>
      </c>
      <c r="D43" s="52" t="s">
        <v>84</v>
      </c>
      <c r="E43" s="124" t="s">
        <v>94</v>
      </c>
      <c r="F43" s="131" t="s">
        <v>96</v>
      </c>
    </row>
    <row r="44" spans="1:8" x14ac:dyDescent="0.25">
      <c r="A44" s="105" t="s">
        <v>30</v>
      </c>
      <c r="B44" s="94"/>
      <c r="C44" s="94"/>
      <c r="D44" s="106"/>
      <c r="E44" s="94"/>
      <c r="F44" s="18"/>
    </row>
    <row r="45" spans="1:8" x14ac:dyDescent="0.25">
      <c r="A45" s="35" t="s">
        <v>38</v>
      </c>
      <c r="B45" s="16">
        <f>B$4/B$22*C$2</f>
        <v>3.3713495814628907</v>
      </c>
      <c r="C45" s="16">
        <f>(C$4/B$22)*C$2</f>
        <v>3.4462684610509551</v>
      </c>
      <c r="D45" s="16">
        <f>B45-C45</f>
        <v>-7.4918879588064424E-2</v>
      </c>
      <c r="E45" s="16">
        <f>D45*B$34</f>
        <v>-0.4155539732357143</v>
      </c>
      <c r="F45" s="16">
        <f>E45/$C$2</f>
        <v>-3.8800557725090036E-2</v>
      </c>
    </row>
    <row r="46" spans="1:8" x14ac:dyDescent="0.25">
      <c r="A46" s="51" t="s">
        <v>31</v>
      </c>
      <c r="B46" s="16">
        <f>B$4/B$22*C$2</f>
        <v>3.3713495814628907</v>
      </c>
      <c r="C46" s="99">
        <f>(B$4/C$22)*C$2</f>
        <v>3.596752173913043</v>
      </c>
      <c r="D46" s="16">
        <f>B46-C46</f>
        <v>-0.22540259245015237</v>
      </c>
      <c r="E46" s="16">
        <f>D46*B$34</f>
        <v>-1.2502448432933271</v>
      </c>
      <c r="F46" s="16">
        <f t="shared" ref="F46:F57" si="0">E46/$C$2</f>
        <v>-0.11673621319265425</v>
      </c>
    </row>
    <row r="47" spans="1:8" x14ac:dyDescent="0.25">
      <c r="A47" s="97" t="s">
        <v>43</v>
      </c>
      <c r="B47" s="16"/>
      <c r="C47" s="16"/>
      <c r="D47" s="16">
        <f>(B22-C22)*(B4-C4)*C2</f>
        <v>-3.4541290601889296E-3</v>
      </c>
      <c r="E47" s="16">
        <f>D47*B$34</f>
        <v>-1.9159083303471186E-2</v>
      </c>
      <c r="F47" s="16">
        <f t="shared" si="0"/>
        <v>-1.7888966669907735E-3</v>
      </c>
    </row>
    <row r="48" spans="1:8" x14ac:dyDescent="0.25">
      <c r="A48" s="98" t="s">
        <v>82</v>
      </c>
      <c r="B48" s="100"/>
      <c r="C48" s="100"/>
      <c r="D48" s="100">
        <f>SUM(D45:D47)</f>
        <v>-0.30377560109840573</v>
      </c>
      <c r="E48" s="100">
        <f>SUM(E45:E47)</f>
        <v>-1.6849578998325125</v>
      </c>
      <c r="F48" s="22">
        <f t="shared" si="0"/>
        <v>-0.15732566758473504</v>
      </c>
    </row>
    <row r="49" spans="1:6" x14ac:dyDescent="0.25">
      <c r="A49" s="105" t="s">
        <v>2</v>
      </c>
      <c r="B49" s="94"/>
      <c r="C49" s="94"/>
      <c r="D49" s="106"/>
      <c r="E49" s="94"/>
      <c r="F49" s="16"/>
    </row>
    <row r="50" spans="1:6" x14ac:dyDescent="0.25">
      <c r="A50" s="35" t="s">
        <v>39</v>
      </c>
      <c r="B50" s="16">
        <f>C$2*B$5/B$23</f>
        <v>2.8288431061806656</v>
      </c>
      <c r="C50" s="16">
        <f>C2*C5/B23</f>
        <v>2.896735340729002</v>
      </c>
      <c r="D50" s="101">
        <f>B50-C50</f>
        <v>-6.7892234548336372E-2</v>
      </c>
      <c r="E50" s="16">
        <f>D50*B$35</f>
        <v>-0.6712932632080254</v>
      </c>
      <c r="F50" s="16">
        <f t="shared" si="0"/>
        <v>-6.2679109543232997E-2</v>
      </c>
    </row>
    <row r="51" spans="1:6" x14ac:dyDescent="0.25">
      <c r="A51" s="35" t="s">
        <v>32</v>
      </c>
      <c r="B51" s="16">
        <f>C$2*B$5/B$23</f>
        <v>2.8288431061806656</v>
      </c>
      <c r="C51" s="16">
        <f>C2*B5/C23</f>
        <v>3.0904980468749996</v>
      </c>
      <c r="D51" s="101">
        <f>B51-C51</f>
        <v>-0.26165494069433404</v>
      </c>
      <c r="E51" s="16">
        <f>D51*B$35</f>
        <v>-2.5871471183961186</v>
      </c>
      <c r="F51" s="16">
        <f t="shared" si="0"/>
        <v>-0.24156368985958154</v>
      </c>
    </row>
    <row r="52" spans="1:6" x14ac:dyDescent="0.25">
      <c r="A52" s="97" t="s">
        <v>43</v>
      </c>
      <c r="B52" s="16"/>
      <c r="C52" s="49"/>
      <c r="D52" s="16">
        <f>(B23-C23)*(B5-C5)*C2</f>
        <v>-5.1494613846941335E-3</v>
      </c>
      <c r="E52" s="16">
        <f>D52*B$35</f>
        <v>-5.091596645318764E-2</v>
      </c>
      <c r="F52" s="16">
        <f t="shared" si="0"/>
        <v>-4.7540584923611235E-3</v>
      </c>
    </row>
    <row r="53" spans="1:6" x14ac:dyDescent="0.25">
      <c r="A53" s="104" t="s">
        <v>83</v>
      </c>
      <c r="B53" s="22"/>
      <c r="C53" s="102"/>
      <c r="D53" s="22">
        <f>SUM(D50:D52)</f>
        <v>-0.33469663662736454</v>
      </c>
      <c r="E53" s="22">
        <f>SUM(E50:E52)</f>
        <v>-3.3093563480573316</v>
      </c>
      <c r="F53" s="16">
        <f t="shared" si="0"/>
        <v>-0.30899685789517567</v>
      </c>
    </row>
    <row r="54" spans="1:6" x14ac:dyDescent="0.25">
      <c r="A54" s="111" t="s">
        <v>0</v>
      </c>
      <c r="B54" s="58"/>
      <c r="C54" s="112"/>
      <c r="D54" s="113"/>
      <c r="E54" s="58">
        <f>E53+E48</f>
        <v>-4.9943142478898439</v>
      </c>
      <c r="F54" s="58">
        <f>F53+F48</f>
        <v>-0.46632252547991071</v>
      </c>
    </row>
    <row r="55" spans="1:6" x14ac:dyDescent="0.25">
      <c r="A55" s="50" t="s">
        <v>42</v>
      </c>
      <c r="B55" s="107"/>
      <c r="C55" s="107"/>
      <c r="D55" s="107"/>
      <c r="E55" s="94">
        <f>SUM(E45,E50)</f>
        <v>-1.0868472364437398</v>
      </c>
      <c r="F55" s="16">
        <f t="shared" si="0"/>
        <v>-0.10147966726832304</v>
      </c>
    </row>
    <row r="56" spans="1:6" x14ac:dyDescent="0.25">
      <c r="A56" s="28" t="s">
        <v>87</v>
      </c>
      <c r="E56" s="16">
        <f>SUM(E46,E51)</f>
        <v>-3.8373919616894456</v>
      </c>
      <c r="F56" s="16">
        <f t="shared" si="0"/>
        <v>-0.3582999030522358</v>
      </c>
    </row>
    <row r="57" spans="1:6" x14ac:dyDescent="0.25">
      <c r="A57" s="28" t="s">
        <v>43</v>
      </c>
      <c r="D57" s="1"/>
      <c r="E57" s="16">
        <f>SUM(E47+E52)</f>
        <v>-7.0075049756658819E-2</v>
      </c>
      <c r="F57" s="22">
        <f t="shared" si="0"/>
        <v>-6.5429551593518967E-3</v>
      </c>
    </row>
    <row r="58" spans="1:6" x14ac:dyDescent="0.25">
      <c r="A58" s="108" t="s">
        <v>86</v>
      </c>
      <c r="B58" s="109"/>
      <c r="C58" s="109"/>
      <c r="D58" s="109"/>
      <c r="E58" s="110">
        <f>1-ABS(E57/E54)</f>
        <v>0.98596903473059061</v>
      </c>
      <c r="F58" s="110"/>
    </row>
    <row r="61" spans="1:6" x14ac:dyDescent="0.25">
      <c r="C61" s="1"/>
      <c r="D61" s="1"/>
      <c r="E61" s="1"/>
    </row>
  </sheetData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materia prima</vt:lpstr>
      <vt:lpstr>Estándar técnico</vt:lpstr>
      <vt:lpstr>Datos fabricación</vt:lpstr>
      <vt:lpstr>Desviaciones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2026-02-18T11:27:14Z</dcterms:modified>
</cp:coreProperties>
</file>