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1013" documentId="8_{296E09A7-40FA-4BA4-83C6-8A64E89513BD}" xr6:coauthVersionLast="47" xr6:coauthVersionMax="47" xr10:uidLastSave="{95DF6A2A-5DE0-4E50-9FF4-E4F3EEA706FA}"/>
  <bookViews>
    <workbookView xWindow="-120" yWindow="-120" windowWidth="29040" windowHeight="16440" tabRatio="675" xr2:uid="{6977E7F1-D64B-47FE-B2A7-D4E9B0399E18}"/>
  </bookViews>
  <sheets>
    <sheet name="Datos" sheetId="8" r:id="rId1"/>
    <sheet name="Estandar Tecnico" sheetId="3" r:id="rId2"/>
    <sheet name="Desviaciones" sheetId="9" r:id="rId3"/>
    <sheet name="Proceso" sheetId="10" r:id="rId4"/>
    <sheet name="densidad" sheetId="1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GRAFIND" localSheetId="3" hidden="1">#REF!</definedName>
    <definedName name="__123Graph_AGRAFIND" hidden="1">#REF!</definedName>
    <definedName name="__123Graph_AGRAFTOT" localSheetId="3" hidden="1">#REF!</definedName>
    <definedName name="__123Graph_AGRAFTOT" hidden="1">#REF!</definedName>
    <definedName name="__123Graph_APRINCIPALE" localSheetId="3" hidden="1">[1]ACTIVITE!#REF!</definedName>
    <definedName name="__123Graph_APRINCIPALE" hidden="1">[1]ACTIVITE!#REF!</definedName>
    <definedName name="__123Graph_BGRAFIND" localSheetId="3" hidden="1">#REF!</definedName>
    <definedName name="__123Graph_BGRAFIND" hidden="1">#REF!</definedName>
    <definedName name="__123Graph_BGRAFTOT" localSheetId="3" hidden="1">#REF!</definedName>
    <definedName name="__123Graph_BGRAFTOT" hidden="1">#REF!</definedName>
    <definedName name="__123Graph_BPRINCIPALE" localSheetId="3" hidden="1">[1]ACTIVITE!#REF!</definedName>
    <definedName name="__123Graph_BPRINCIPALE" hidden="1">[1]ACTIVITE!#REF!</definedName>
    <definedName name="__123Graph_CPRINCIPALE" localSheetId="3" hidden="1">[1]ACTIVITE!#REF!</definedName>
    <definedName name="__123Graph_CPRINCIPALE" hidden="1">[1]ACTIVITE!#REF!</definedName>
    <definedName name="__123Graph_XPRINCIPALE" localSheetId="3" hidden="1">[1]ACTIVITE!#REF!</definedName>
    <definedName name="__123Graph_XPRINCIPALE" hidden="1">[1]ACTIVITE!#REF!</definedName>
    <definedName name="__Amount_for_Gross_Profit_Monthly_ASDA_All_Unit_2" localSheetId="3" hidden="1">[2]pcQueryData!#REF!</definedName>
    <definedName name="__Amount_for_Gross_Profit_Monthly_ASDA_All_Unit_2" hidden="1">[2]pcQueryData!#REF!</definedName>
    <definedName name="__Amount_for_Gross_Profit_Monthly_TESCO_All_1" localSheetId="3" hidden="1">#REF!</definedName>
    <definedName name="__Amount_for_Gross_Profit_Monthly_TESCO_All_1" hidden="1">#REF!</definedName>
    <definedName name="__Amount_for_Monthly_1" hidden="1">[3]pcQueryData!$A$4</definedName>
    <definedName name="__c" localSheetId="3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3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3" hidden="1">{#N/A,#N/A,FALSE,"RIEP"}</definedName>
    <definedName name="aaaaa" hidden="1">{#N/A,#N/A,FALSE,"RIEP"}</definedName>
    <definedName name="aaaaaaaaaaaaaaaa" localSheetId="3" hidden="1">{#N/A,#N/A,FALSE,"RIEP"}</definedName>
    <definedName name="aaaaaaaaaaaaaaaa" hidden="1">{#N/A,#N/A,FALSE,"RIEP"}</definedName>
    <definedName name="AASAS" localSheetId="3" hidden="1">{"QQQ",#N/A,FALSE,"RIEP"}</definedName>
    <definedName name="AASAS" hidden="1">{"QQQ",#N/A,FALSE,"RIEP"}</definedName>
    <definedName name="ADV" localSheetId="3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3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3" hidden="1">{"SPM1",#N/A,FALSE,"RIEP"}</definedName>
    <definedName name="ardqer" hidden="1">{"SPM1",#N/A,FALSE,"RIEP"}</definedName>
    <definedName name="ASD" localSheetId="3" hidden="1">{"QQQ",#N/A,FALSE,"RIEP"}</definedName>
    <definedName name="ASD" hidden="1">{"QQQ",#N/A,FALSE,"RIEP"}</definedName>
    <definedName name="ASDF" localSheetId="3" hidden="1">{#N/A,#N/A,FALSE,"RIEP"}</definedName>
    <definedName name="ASDF" hidden="1">{#N/A,#N/A,FALSE,"RIEP"}</definedName>
    <definedName name="asdfas" localSheetId="3" hidden="1">{#N/A,#N/A,FALSE,"RIEP"}</definedName>
    <definedName name="asdfas" hidden="1">{#N/A,#N/A,FALSE,"RIEP"}</definedName>
    <definedName name="aùsw" localSheetId="3" hidden="1">{"SPM1",#N/A,FALSE,"RIEP"}</definedName>
    <definedName name="aùsw" hidden="1">{"SPM1",#N/A,FALSE,"RIEP"}</definedName>
    <definedName name="bbbbb" localSheetId="3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3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3" hidden="1">{"SPM1",#N/A,FALSE,"RIEP"}</definedName>
    <definedName name="byikbyuj" hidden="1">{"SPM1",#N/A,FALSE,"RIEP"}</definedName>
    <definedName name="byubtyuj" localSheetId="3" hidden="1">{"QQQ",#N/A,FALSE,"RIEP"}</definedName>
    <definedName name="byubtyuj" hidden="1">{"QQQ",#N/A,FALSE,"RIEP"}</definedName>
    <definedName name="byukkty" localSheetId="3" hidden="1">{#N/A,#N/A,FALSE,"RIEP"}</definedName>
    <definedName name="byukkty" hidden="1">{#N/A,#N/A,FALSE,"RIEP"}</definedName>
    <definedName name="byuku" localSheetId="3" hidden="1">{#N/A,#N/A,FALSE,"RIEP"}</definedName>
    <definedName name="byuku" hidden="1">{#N/A,#N/A,FALSE,"RIEP"}</definedName>
    <definedName name="č" localSheetId="3" hidden="1">{"'domaće količine'!$K$34:$P$47"}</definedName>
    <definedName name="č" hidden="1">{"'domaće količine'!$K$34:$P$47"}</definedName>
    <definedName name="cc" localSheetId="3" hidden="1">{#N/A,#N/A,FALSE,"RIEP"}</definedName>
    <definedName name="cc" hidden="1">{#N/A,#N/A,FALSE,"RIEP"}</definedName>
    <definedName name="ccc" localSheetId="3" hidden="1">{"SPM1",#N/A,FALSE,"RIEP"}</definedName>
    <definedName name="ccc" hidden="1">{"SPM1",#N/A,FALSE,"RIEP"}</definedName>
    <definedName name="cccc" localSheetId="3" hidden="1">{"SPM1",#N/A,FALSE,"RIEP"}</definedName>
    <definedName name="cccc" hidden="1">{"SPM1",#N/A,FALSE,"RIEP"}</definedName>
    <definedName name="CCSFDFRDF" localSheetId="3" hidden="1">{"SPM1",#N/A,FALSE,"RIEP"}</definedName>
    <definedName name="CCSFDFRDF" hidden="1">{"SPM1",#N/A,FALSE,"RIEP"}</definedName>
    <definedName name="cdf" localSheetId="3" hidden="1">{"SPM1",#N/A,FALSE,"RIEP"}</definedName>
    <definedName name="cdf" hidden="1">{"SPM1",#N/A,FALSE,"RIEP"}</definedName>
    <definedName name="CDVF" localSheetId="3" hidden="1">{"SPM1",#N/A,FALSE,"RIEP"}</definedName>
    <definedName name="CDVF" hidden="1">{"SPM1",#N/A,FALSE,"RIEP"}</definedName>
    <definedName name="copie" localSheetId="3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3" hidden="1">{#N/A,#N/A,FALSE,"RIEP"}</definedName>
    <definedName name="D" hidden="1">{#N/A,#N/A,FALSE,"RIEP"}</definedName>
    <definedName name="DAFreofè0eirfh" localSheetId="3" hidden="1">{"SPM1",#N/A,FALSE,"RIEP"}</definedName>
    <definedName name="DAFreofè0eirfh" hidden="1">{"SPM1",#N/A,FALSE,"RIEP"}</definedName>
    <definedName name="dd">#REF!</definedName>
    <definedName name="DDD" localSheetId="3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3" hidden="1">{"SPM1",#N/A,FALSE,"RIEP"}</definedName>
    <definedName name="DDDDD" hidden="1">{"SPM1",#N/A,FALSE,"RIEP"}</definedName>
    <definedName name="ddddddd" localSheetId="3" hidden="1">{#N/A,#N/A,FALSE,"RIEP"}</definedName>
    <definedName name="ddddddd" hidden="1">{#N/A,#N/A,FALSE,"RIEP"}</definedName>
    <definedName name="ddjdjdj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3" hidden="1">{"SPM1",#N/A,FALSE,"RIEP"}</definedName>
    <definedName name="dfa" hidden="1">{"SPM1",#N/A,FALSE,"RIEP"}</definedName>
    <definedName name="DFda" localSheetId="3" hidden="1">{#N/A,#N/A,FALSE,"RIEP"}</definedName>
    <definedName name="DFda" hidden="1">{#N/A,#N/A,FALSE,"RIEP"}</definedName>
    <definedName name="DFRSFG" localSheetId="3" hidden="1">{"SPM1",#N/A,FALSE,"RIEP"}</definedName>
    <definedName name="DFRSFG" hidden="1">{"SPM1",#N/A,FALSE,"RIEP"}</definedName>
    <definedName name="djdjdjd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3" hidden="1">{"'domaće količine'!$K$34:$P$47"}</definedName>
    <definedName name="DRAGAN" hidden="1">{"'domaće količine'!$K$34:$P$47"}</definedName>
    <definedName name="draganć" localSheetId="3" hidden="1">{"'domaće količine'!$K$34:$P$47"}</definedName>
    <definedName name="draganć" hidden="1">{"'domaće količine'!$K$34:$P$47"}</definedName>
    <definedName name="DSFSDGFG" localSheetId="3" hidden="1">{"SPM1",#N/A,FALSE,"RIEP"}</definedName>
    <definedName name="DSFSDGFG" hidden="1">{"SPM1",#N/A,FALSE,"RIEP"}</definedName>
    <definedName name="dthrrr" localSheetId="3" hidden="1">{"SPM1",#N/A,FALSE,"RIEP"}</definedName>
    <definedName name="dthrrr" hidden="1">{"SPM1",#N/A,FALSE,"RIEP"}</definedName>
    <definedName name="ECA" localSheetId="3" hidden="1">{#N/A,#N/A,FALSE,"ANALYSE";#N/A,#N/A,FALSE,"PM VALEUR"}</definedName>
    <definedName name="ECA" hidden="1">{#N/A,#N/A,FALSE,"ANALYSE";#N/A,#N/A,FALSE,"PM VALEUR"}</definedName>
    <definedName name="ECARTBM" localSheetId="3" hidden="1">{"DETAIL",#N/A,FALSE,"REELBUDGET";"TOTAL",#N/A,FALSE,"REELBUDGET"}</definedName>
    <definedName name="ECARTBM" hidden="1">{"DETAIL",#N/A,FALSE,"REELBUDGET";"TOTAL",#N/A,FALSE,"REELBUDGET"}</definedName>
    <definedName name="eeeee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localSheetId="1" hidden="1">#REF!</definedName>
    <definedName name="eerreerr" hidden="1">#REF!</definedName>
    <definedName name="efazefze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3" hidden="1">{"QQQ",#N/A,FALSE,"RIEP"}</definedName>
    <definedName name="ere" hidden="1">{"QQQ",#N/A,FALSE,"RIEP"}</definedName>
    <definedName name="ertetq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3" hidden="1">{"'domaće količine'!$K$34:$P$47"}</definedName>
    <definedName name="EXCEL" hidden="1">{"'domaće količine'!$K$34:$P$47"}</definedName>
    <definedName name="ezfze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3" hidden="1">{#N/A,#N/A,FALSE,"RIEP"}</definedName>
    <definedName name="FDDSFDSGF" hidden="1">{#N/A,#N/A,FALSE,"RIEP"}</definedName>
    <definedName name="fdsdsgfsggd" localSheetId="3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3" hidden="1">{"QQQ",#N/A,FALSE,"RIEP"}</definedName>
    <definedName name="ffffffffff" hidden="1">{"QQQ",#N/A,FALSE,"RIEP"}</definedName>
    <definedName name="fg" localSheetId="3" hidden="1">{#N/A,#N/A,FALSE,"RIEP"}</definedName>
    <definedName name="fg" hidden="1">{#N/A,#N/A,FALSE,"RIEP"}</definedName>
    <definedName name="fgffg" localSheetId="3" hidden="1">{#N/A,#N/A,FALSE,"RIEP"}</definedName>
    <definedName name="fgffg" hidden="1">{#N/A,#N/A,FALSE,"RIEP"}</definedName>
    <definedName name="FSDG" localSheetId="3" hidden="1">{#N/A,#N/A,FALSE,"RIEP"}</definedName>
    <definedName name="FSDG" hidden="1">{#N/A,#N/A,FALSE,"RIEP"}</definedName>
    <definedName name="ftereare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3" hidden="1">{#N/A,#N/A,FALSE,"RIEP"}</definedName>
    <definedName name="gfhkkmh" hidden="1">{#N/A,#N/A,FALSE,"RIEP"}</definedName>
    <definedName name="GG" hidden="1">[7]ACTIVITE!#REF!</definedName>
    <definedName name="GGGG" localSheetId="3" hidden="1">{"SPM1",#N/A,FALSE,"RIEP"}</definedName>
    <definedName name="GGGG" hidden="1">{"SPM1",#N/A,FALSE,"RIEP"}</definedName>
    <definedName name="ggggg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3" hidden="1">{"QQQ",#N/A,FALSE,"RIEP"}</definedName>
    <definedName name="ggggggggggg" hidden="1">{"QQQ",#N/A,FALSE,"RIEP"}</definedName>
    <definedName name="GHJ" localSheetId="3" hidden="1">{"SPM1",#N/A,FALSE,"RIEP"}</definedName>
    <definedName name="GHJ" hidden="1">{"SPM1",#N/A,FALSE,"RIEP"}</definedName>
    <definedName name="gsdgsd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3" hidden="1">{"SPM1",#N/A,FALSE,"RIEP"}</definedName>
    <definedName name="hbhajx" hidden="1">{"SPM1",#N/A,FALSE,"RIEP"}</definedName>
    <definedName name="hfderfPOURE" localSheetId="3" hidden="1">{#N/A,#N/A,FALSE,"RIEP"}</definedName>
    <definedName name="hfderfPOURE" hidden="1">{#N/A,#N/A,FALSE,"RIEP"}</definedName>
    <definedName name="hfhfth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3" hidden="1">{"QQQ",#N/A,FALSE,"RIEP"}</definedName>
    <definedName name="hg" hidden="1">{"QQQ",#N/A,FALSE,"RIEP"}</definedName>
    <definedName name="hhfxhxfh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3" hidden="1">{"QQQ",#N/A,FALSE,"RIEP"}</definedName>
    <definedName name="hhhh" hidden="1">{"QQQ",#N/A,FALSE,"RIEP"}</definedName>
    <definedName name="hhhhhhh" localSheetId="3" hidden="1">{"SPM1",#N/A,FALSE,"RIEP"}</definedName>
    <definedName name="hhhhhhh" hidden="1">{"SPM1",#N/A,FALSE,"RIEP"}</definedName>
    <definedName name="HTML_CodePage" hidden="1">1250</definedName>
    <definedName name="HTML_Control" localSheetId="3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3" hidden="1">{"'domaće količine'!$K$34:$P$47"}</definedName>
    <definedName name="IZVQ01" hidden="1">{"'domaće količine'!$K$34:$P$47"}</definedName>
    <definedName name="j" localSheetId="3" hidden="1">{"SPM1",#N/A,FALSE,"RIEP"}</definedName>
    <definedName name="j" hidden="1">{"SPM1",#N/A,FALSE,"RIEP"}</definedName>
    <definedName name="jcjfjfjjf" localSheetId="3" hidden="1">{#N/A,#N/A,FALSE,"RIEP"}</definedName>
    <definedName name="jcjfjfjjf" hidden="1">{#N/A,#N/A,FALSE,"RIEP"}</definedName>
    <definedName name="jdjdjdj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3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3" hidden="1">{"QQQ",#N/A,FALSE,"RIEP"}</definedName>
    <definedName name="jjfhfh" hidden="1">{"QQQ",#N/A,FALSE,"RIEP"}</definedName>
    <definedName name="jjj" localSheetId="3" hidden="1">{"SPM1",#N/A,FALSE,"RIEP"}</definedName>
    <definedName name="jjj" hidden="1">{"SPM1",#N/A,FALSE,"RIEP"}</definedName>
    <definedName name="jjjjj" localSheetId="3" hidden="1">{"SPM1",#N/A,FALSE,"RIEP"}</definedName>
    <definedName name="jjjjj" hidden="1">{"SPM1",#N/A,FALSE,"RIEP"}</definedName>
    <definedName name="kfkfkfk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3" hidden="1">{#N/A,#N/A,FALSE,"RIEP"}</definedName>
    <definedName name="kfkfkfkfkkf" hidden="1">{#N/A,#N/A,FALSE,"RIEP"}</definedName>
    <definedName name="khkhkhk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3" hidden="1">{#N/A,#N/A,FALSE,"RIEP"}</definedName>
    <definedName name="kjfsoyiupo6rhtgz" hidden="1">{#N/A,#N/A,FALSE,"RIEP"}</definedName>
    <definedName name="kjhjhkjh" localSheetId="3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3" hidden="1">{#N/A,#N/A,FALSE,"RIEP"}</definedName>
    <definedName name="kk" hidden="1">{#N/A,#N/A,FALSE,"RIEP"}</definedName>
    <definedName name="kkkkk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3" hidden="1">{"QQQ",#N/A,FALSE,"RIEP"}</definedName>
    <definedName name="LLL" hidden="1">{"QQQ",#N/A,FALSE,"RIEP"}</definedName>
    <definedName name="m" localSheetId="3" hidden="1">{"'domaće količine'!$K$34:$P$47"}</definedName>
    <definedName name="m" hidden="1">{"'domaće količine'!$K$34:$P$47"}</definedName>
    <definedName name="MARTESANA">#REF!</definedName>
    <definedName name="minnii" localSheetId="3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3" hidden="1">{"SPM1",#N/A,FALSE,"RIEP"}</definedName>
    <definedName name="ño" hidden="1">{"SPM1",#N/A,FALSE,"RIEP"}</definedName>
    <definedName name="ODRŽ." localSheetId="3" hidden="1">{"'domaće količine'!$K$34:$P$47"}</definedName>
    <definedName name="ODRŽ." hidden="1">{"'domaće količine'!$K$34:$P$47"}</definedName>
    <definedName name="òflfgfppfpf" localSheetId="3" hidden="1">{"SPM1",#N/A,FALSE,"RIEP"}</definedName>
    <definedName name="òflfgfppfpf" hidden="1">{"SPM1",#N/A,FALSE,"RIEP"}</definedName>
    <definedName name="OIOIIUIUG" localSheetId="3" hidden="1">{"SPM1",#N/A,FALSE,"RIEP"}</definedName>
    <definedName name="OIOIIUIUG" hidden="1">{"SPM1",#N/A,FALSE,"RIEP"}</definedName>
    <definedName name="ooo" localSheetId="3" hidden="1">{"QQQ",#N/A,FALSE,"RIEP"}</definedName>
    <definedName name="ooo" hidden="1">{"QQQ",#N/A,FALSE,"RIEP"}</definedName>
    <definedName name="oooooo" localSheetId="3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3" hidden="1">{#N/A,#N/A,FALSE,"RIEP"}</definedName>
    <definedName name="pippo" hidden="1">{#N/A,#N/A,FALSE,"RIEP"}</definedName>
    <definedName name="pluto" localSheetId="3" hidden="1">{"SPM1",#N/A,FALSE,"RIEP"}</definedName>
    <definedName name="pluto" hidden="1">{"SPM1",#N/A,FALSE,"RIEP"}</definedName>
    <definedName name="PO" localSheetId="3" hidden="1">{"QQQ",#N/A,FALSE,"RIEP"}</definedName>
    <definedName name="PO" hidden="1">{"QQQ",#N/A,FALSE,"RIEP"}</definedName>
    <definedName name="poùH" localSheetId="3" hidden="1">{#N/A,#N/A,FALSE,"RIEP"}</definedName>
    <definedName name="poùH" hidden="1">{#N/A,#N/A,FALSE,"RIEP"}</definedName>
    <definedName name="ppp" localSheetId="3" hidden="1">{"QQQ",#N/A,FALSE,"RIEP"}</definedName>
    <definedName name="ppp" hidden="1">{"QQQ",#N/A,FALSE,"RIEP"}</definedName>
    <definedName name="PROD." localSheetId="3" hidden="1">{"'domaće količine'!$K$34:$P$47"}</definedName>
    <definedName name="PROD." hidden="1">{"'domaće količine'!$K$34:$P$47"}</definedName>
    <definedName name="prw" localSheetId="3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3" hidden="1">{#N/A,#N/A,FALSE,"RIEP"}</definedName>
    <definedName name="QQQQQQQQQQQQ" hidden="1">{#N/A,#N/A,FALSE,"RIEP"}</definedName>
    <definedName name="qw" localSheetId="3" hidden="1">{#N/A,#N/A,FALSE,"RIEP"}</definedName>
    <definedName name="qw" hidden="1">{#N/A,#N/A,FALSE,"RIEP"}</definedName>
    <definedName name="rete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3" hidden="1">{"SPM1",#N/A,FALSE,"RIEP"}</definedName>
    <definedName name="sd" hidden="1">{"SPM1",#N/A,FALSE,"RIEP"}</definedName>
    <definedName name="SDFDSJF" localSheetId="3" hidden="1">{#N/A,#N/A,FALSE,"RIEP"}</definedName>
    <definedName name="SDFDSJF" hidden="1">{#N/A,#N/A,FALSE,"RIEP"}</definedName>
    <definedName name="sdsd" localSheetId="3" hidden="1">{"SPM1",#N/A,FALSE,"RIEP"}</definedName>
    <definedName name="sdsd" hidden="1">{"SPM1",#N/A,FALSE,"RIEP"}</definedName>
    <definedName name="SEDSDS" localSheetId="3" hidden="1">{#N/A,#N/A,FALSE,"RIEP"}</definedName>
    <definedName name="SEDSDS" hidden="1">{#N/A,#N/A,FALSE,"RIEP"}</definedName>
    <definedName name="sencount" hidden="1">1</definedName>
    <definedName name="solver_adj" localSheetId="1" hidden="1">'Estandar Tecnico'!$B$27,'Estandar Tecnico'!$B$28,'Estandar Tecnico'!$B$32,'Estandar Tecnico'!$B$34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'Estandar Tecnico'!$B$28</definedName>
    <definedName name="solver_lhs2" localSheetId="1" hidden="1">'Estandar Tecnico'!$B$29</definedName>
    <definedName name="solver_lhs3" localSheetId="1" hidden="1">'Estandar Tecnico'!$B$42</definedName>
    <definedName name="solver_lhs4" localSheetId="1" hidden="1">'Estandar Tecnico'!$B$45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'Estandar Tecnico'!$C$41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hs1" localSheetId="1" hidden="1">0.01</definedName>
    <definedName name="solver_rhs2" localSheetId="1" hidden="1">1</definedName>
    <definedName name="solver_rhs3" localSheetId="1" hidden="1">67.77</definedName>
    <definedName name="solver_rhs4" localSheetId="1" hidden="1">52.56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2.92</definedName>
    <definedName name="solver_ver" localSheetId="1" hidden="1">3</definedName>
    <definedName name="SSSADADSF" localSheetId="3" hidden="1">{"SPM1",#N/A,FALSE,"RIEP"}</definedName>
    <definedName name="SSSADADSF" hidden="1">{"SPM1",#N/A,FALSE,"RIEP"}</definedName>
    <definedName name="ssss" hidden="1">#REF!</definedName>
    <definedName name="sssssss" localSheetId="3" hidden="1">{#N/A,#N/A,FALSE,"RIEP"}</definedName>
    <definedName name="sssssss" hidden="1">{#N/A,#N/A,FALSE,"RIEP"}</definedName>
    <definedName name="ssssssssssssssssssssssssss" localSheetId="3" hidden="1">{"QQQ",#N/A,FALSE,"RIEP"}</definedName>
    <definedName name="ssssssssssssssssssssssssss" hidden="1">{"QQQ",#N/A,FALSE,"RIEP"}</definedName>
    <definedName name="stsrhs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3" hidden="1">{#N/A,#N/A,FALSE,"RIEP"}</definedName>
    <definedName name="Sweden" hidden="1">{#N/A,#N/A,FALSE,"RIEP"}</definedName>
    <definedName name="t" localSheetId="3" hidden="1">{"QQQ",#N/A,FALSE,"RIEP"}</definedName>
    <definedName name="t" hidden="1">{"QQQ",#N/A,FALSE,"RIEP"}</definedName>
    <definedName name="T04CC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3" hidden="1">{#N/A,#N/A,FALSE,"RIEP"}</definedName>
    <definedName name="t79oto97t" hidden="1">{#N/A,#N/A,FALSE,"RIEP"}</definedName>
    <definedName name="t7u74u" localSheetId="3" hidden="1">{"QQQ",#N/A,FALSE,"RIEP"}</definedName>
    <definedName name="t7u74u" hidden="1">{"QQQ",#N/A,FALSE,"RIEP"}</definedName>
    <definedName name="t7u75" localSheetId="3" hidden="1">{"SPM1",#N/A,FALSE,"RIEP"}</definedName>
    <definedName name="t7u75" hidden="1">{"SPM1",#N/A,FALSE,"RIEP"}</definedName>
    <definedName name="t7ur7u" localSheetId="3" hidden="1">{#N/A,#N/A,FALSE,"RIEP"}</definedName>
    <definedName name="t7ur7u" hidden="1">{#N/A,#N/A,FALSE,"RIEP"}</definedName>
    <definedName name="tgfcvds" localSheetId="3" hidden="1">{#N/A,#N/A,FALSE,"RIEP"}</definedName>
    <definedName name="tgfcvds" hidden="1">{#N/A,#N/A,FALSE,"RIEP"}</definedName>
    <definedName name="tgrgg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3" hidden="1">{#N/A,#N/A,FALSE,"RIEP"}</definedName>
    <definedName name="tikl679o679o" hidden="1">{#N/A,#N/A,FALSE,"RIEP"}</definedName>
    <definedName name="TM1REBUILDOPTION">0</definedName>
    <definedName name="toma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3" hidden="1">{"SPM1",#N/A,FALSE,"RIEP"}</definedName>
    <definedName name="trjk5i57" hidden="1">{"SPM1",#N/A,FALSE,"RIEP"}</definedName>
    <definedName name="t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3" hidden="1">{"QQQ",#N/A,FALSE,"RIEP"}</definedName>
    <definedName name="tyiltu9ol" hidden="1">{"QQQ",#N/A,FALSE,"RIEP"}</definedName>
    <definedName name="ugkj" localSheetId="3" hidden="1">{"QQQ",#N/A,FALSE,"RIEP"}</definedName>
    <definedName name="ugkj" hidden="1">{"QQQ",#N/A,FALSE,"RIEP"}</definedName>
    <definedName name="ukkkk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3" hidden="1">{"QQQ",#N/A,FALSE,"RIEP"}</definedName>
    <definedName name="uttkjg" hidden="1">{"QQQ",#N/A,FALSE,"RIEP"}</definedName>
    <definedName name="uuuu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3" hidden="1">{#N/A,#N/A,FALSE,"RIEP"}</definedName>
    <definedName name="v6uyjyu" hidden="1">{#N/A,#N/A,FALSE,"RIEP"}</definedName>
    <definedName name="vcbbxb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3" hidden="1">{"QQQ",#N/A,FALSE,"RIEP"}</definedName>
    <definedName name="vvvv" hidden="1">{"QQQ",#N/A,FALSE,"RIEP"}</definedName>
    <definedName name="vvvvbbbb" localSheetId="3" hidden="1">{#N/A,#N/A,FALSE,"RIEP"}</definedName>
    <definedName name="vvvvbbbb" hidden="1">{#N/A,#N/A,FALSE,"RIEP"}</definedName>
    <definedName name="vvvvvv" localSheetId="3" hidden="1">{#N/A,#N/A,FALSE,"RIEP"}</definedName>
    <definedName name="vvvvvv" hidden="1">{#N/A,#N/A,FALSE,"RIEP"}</definedName>
    <definedName name="vvvvvvvv" localSheetId="3" hidden="1">{"SPM1",#N/A,FALSE,"RIEP"}</definedName>
    <definedName name="vvvvvvvv" hidden="1">{"SPM1",#N/A,FALSE,"RIEP"}</definedName>
    <definedName name="w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3" hidden="1">{"SPM1",#N/A,FALSE,"RIEP"}</definedName>
    <definedName name="we" hidden="1">{"SPM1",#N/A,FALSE,"RIEP"}</definedName>
    <definedName name="wer" localSheetId="3" hidden="1">{#N/A,#N/A,FALSE,"ANALYSE";#N/A,#N/A,FALSE,"PM VALEUR"}</definedName>
    <definedName name="wer" hidden="1">{#N/A,#N/A,FALSE,"ANALYSE";#N/A,#N/A,FALSE,"PM VALEUR"}</definedName>
    <definedName name="wetrwrt" localSheetId="3" hidden="1">{"QQQ",#N/A,FALSE,"RIEP"}</definedName>
    <definedName name="wetrwrt" hidden="1">{"QQQ",#N/A,FALSE,"RIEP"}</definedName>
    <definedName name="wewe" localSheetId="3" hidden="1">{"SPM1",#N/A,FALSE,"RIEP"}</definedName>
    <definedName name="wewe" hidden="1">{"SPM1",#N/A,FALSE,"RIEP"}</definedName>
    <definedName name="wrn.CCC." localSheetId="3" hidden="1">{"QQQ",#N/A,FALSE,"RIEP"}</definedName>
    <definedName name="wrn.CCC." hidden="1">{"QQQ",#N/A,FALSE,"RIEP"}</definedName>
    <definedName name="wrn.Charges." localSheetId="3" hidden="1">{"Analyse charges",#N/A,FALSE,"Feuil1 (2)"}</definedName>
    <definedName name="wrn.Charges." hidden="1">{"Analyse charges",#N/A,FALSE,"Feuil1 (2)"}</definedName>
    <definedName name="wrn.Charges._.Clécy." localSheetId="3" hidden="1">{#N/A,#N/A,FALSE,"Evol98";#N/A,#N/A,FALSE,"Saisie98"}</definedName>
    <definedName name="wrn.Charges._.Clécy." hidden="1">{#N/A,#N/A,FALSE,"Evol98";#N/A,#N/A,FALSE,"Saisie98"}</definedName>
    <definedName name="wrn.CLECY." localSheetId="3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3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3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3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3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1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localSheetId="3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3" hidden="1">{#N/A,#N/A,FALSE,"ANALYSE";#N/A,#N/A,FALSE,"PM VALEUR"}</definedName>
    <definedName name="wrn.ex." hidden="1">{#N/A,#N/A,FALSE,"ANALYSE";#N/A,#N/A,FALSE,"PM VALEUR"}</definedName>
    <definedName name="wrn.Impression._.totale." localSheetId="3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3" hidden="1">{"Indicateurs",#N/A,FALSE,"Feuil1 (2)"}</definedName>
    <definedName name="wrn.Indicateurs." hidden="1">{"Indicateurs",#N/A,FALSE,"Feuil1 (2)"}</definedName>
    <definedName name="wrn.MENSUEL." localSheetId="3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3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3" hidden="1">{"Ratios activités",#N/A,FALSE,"Feuil1 (2)"}</definedName>
    <definedName name="wrn.Ratios." hidden="1">{"Ratios activités",#N/A,FALSE,"Feuil1 (2)"}</definedName>
    <definedName name="wrn.REELBUD." localSheetId="3" hidden="1">{"DETAIL",#N/A,FALSE,"REELBUDGET";"TOTAL",#N/A,FALSE,"REELBUDGET"}</definedName>
    <definedName name="wrn.REELBUD." hidden="1">{"DETAIL",#N/A,FALSE,"REELBUDGET";"TOTAL",#N/A,FALSE,"REELBUDGET"}</definedName>
    <definedName name="wrn.Résultat." localSheetId="1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3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3" hidden="1">{#N/A,#N/A,FALSE,"RIEP"}</definedName>
    <definedName name="wrn.SPA1." hidden="1">{#N/A,#N/A,FALSE,"RIEP"}</definedName>
    <definedName name="wrn.SPM1." localSheetId="3" hidden="1">{"SPM1",#N/A,FALSE,"RIEP"}</definedName>
    <definedName name="wrn.SPM1." hidden="1">{"SPM1",#N/A,FALSE,"RIEP"}</definedName>
    <definedName name="wrn.SYNTHESE." localSheetId="3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3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3" hidden="1">{"QQQ",#N/A,FALSE,"RIEP"}</definedName>
    <definedName name="wrn1.CCC." hidden="1">{"QQQ",#N/A,FALSE,"RIEP"}</definedName>
    <definedName name="wwww" localSheetId="3" hidden="1">{#N/A,#N/A,FALSE,"RIEP"}</definedName>
    <definedName name="wwww" hidden="1">{#N/A,#N/A,FALSE,"RIEP"}</definedName>
    <definedName name="wwwwww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3" hidden="1">{"QQQ",#N/A,FALSE,"RIEP"}</definedName>
    <definedName name="wwwwwwwwwwww" hidden="1">{"QQQ",#N/A,FALSE,"RIEP"}</definedName>
    <definedName name="ybukkbyitkituk" localSheetId="3" hidden="1">{#N/A,#N/A,FALSE,"RIEP"}</definedName>
    <definedName name="ybukkbyitkituk" hidden="1">{#N/A,#N/A,FALSE,"RIEP"}</definedName>
    <definedName name="yertyyyy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3" hidden="1">{"QQQ",#N/A,FALSE,"RIEP"}</definedName>
    <definedName name="yrnukuilky8u" hidden="1">{"QQQ",#N/A,FALSE,"RIEP"}</definedName>
    <definedName name="YY" localSheetId="3" hidden="1">{#N/A,#N/A,FALSE,"RIEP"}</definedName>
    <definedName name="YY" hidden="1">{#N/A,#N/A,FALSE,"RIEP"}</definedName>
    <definedName name="yyqeyqy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localSheetId="1" hidden="1">#REF!</definedName>
    <definedName name="zz" hidden="1">#REF!</definedName>
    <definedName name="zzfzaf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localSheetId="1" hidden="1">#REF!</definedName>
    <definedName name="zzz" hidden="1">#REF!</definedName>
    <definedName name="zzzzz" hidden="1">#REF!</definedName>
    <definedName name="zzzzz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3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3" hidden="1">{#N/A,#N/A,FALSE,"RIEP"}</definedName>
    <definedName name="zzzzzzzzzz" hidden="1">{#N/A,#N/A,FALSE,"RIEP"}</definedName>
    <definedName name="zzzzzzzzzzzzz" localSheetId="3" hidden="1">{#N/A,#N/A,FALSE,"RIEP"}</definedName>
    <definedName name="zzzzzzzzzzzzz" hidden="1">{#N/A,#N/A,FALSE,"RIEP"}</definedName>
    <definedName name="zzzzzzzzzzzzzz" localSheetId="3" hidden="1">{"QQQ",#N/A,FALSE,"RIEP"}</definedName>
    <definedName name="zzzzzzzzzzzzzz" hidden="1">{"QQQ",#N/A,FALSE,"RIEP"}</definedName>
    <definedName name="zzzzzzzzzzzzzzzzzz" localSheetId="3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0" l="1"/>
  <c r="I6" i="10"/>
  <c r="I10" i="10" s="1"/>
  <c r="I5" i="10" s="1"/>
  <c r="B21" i="10"/>
  <c r="H18" i="10"/>
  <c r="B19" i="10" l="1"/>
  <c r="C4" i="9"/>
  <c r="B11" i="8" l="1"/>
  <c r="B12" i="8"/>
  <c r="B8" i="8" s="1"/>
  <c r="B4" i="3"/>
  <c r="C18" i="8"/>
  <c r="B27" i="8"/>
  <c r="B14" i="8" s="1"/>
  <c r="B7" i="8" l="1"/>
  <c r="F15" i="8"/>
  <c r="J7" i="13"/>
  <c r="I7" i="13"/>
  <c r="H7" i="13"/>
  <c r="G7" i="13"/>
  <c r="F7" i="13"/>
  <c r="E7" i="13"/>
  <c r="C7" i="13"/>
  <c r="D7" i="13"/>
  <c r="B9" i="10"/>
  <c r="B8" i="10"/>
  <c r="C9" i="8"/>
  <c r="B37" i="3"/>
  <c r="B7" i="13"/>
  <c r="C11" i="9"/>
  <c r="D9" i="10" l="1"/>
  <c r="D8" i="10"/>
  <c r="B7" i="10"/>
  <c r="B36" i="3"/>
  <c r="C13" i="9"/>
  <c r="G32" i="9" s="1"/>
  <c r="C12" i="9"/>
  <c r="G31" i="9"/>
  <c r="C8" i="9"/>
  <c r="C3" i="9"/>
  <c r="D7" i="10" l="1"/>
  <c r="B6" i="10"/>
  <c r="B17" i="8"/>
  <c r="F16" i="8" s="1"/>
  <c r="B18" i="8"/>
  <c r="F17" i="8" s="1"/>
  <c r="C5" i="9"/>
  <c r="C19" i="9"/>
  <c r="C37" i="9"/>
  <c r="C30" i="9"/>
  <c r="C16" i="9" s="1"/>
  <c r="C9" i="9"/>
  <c r="C21" i="9"/>
  <c r="C6" i="9"/>
  <c r="G38" i="9"/>
  <c r="G37" i="9"/>
  <c r="C10" i="9"/>
  <c r="C14" i="9"/>
  <c r="C26" i="9"/>
  <c r="C36" i="9"/>
  <c r="C31" i="9"/>
  <c r="C15" i="9" s="1"/>
  <c r="C7" i="9"/>
  <c r="G33" i="9"/>
  <c r="D6" i="10" l="1"/>
  <c r="B5" i="10"/>
  <c r="C44" i="9"/>
  <c r="C20" i="9"/>
  <c r="C22" i="9"/>
  <c r="C23" i="9" s="1"/>
  <c r="C6" i="10" l="1"/>
  <c r="B10" i="10"/>
  <c r="C9" i="10"/>
  <c r="C5" i="10"/>
  <c r="C7" i="10"/>
  <c r="C8" i="10"/>
  <c r="C48" i="9"/>
  <c r="C18" i="9"/>
  <c r="C52" i="9" s="1"/>
  <c r="C14" i="10" l="1"/>
  <c r="C12" i="10"/>
  <c r="C10" i="10"/>
  <c r="C17" i="9"/>
  <c r="C24" i="9" s="1"/>
  <c r="C27" i="9" l="1"/>
  <c r="C28" i="9" s="1"/>
  <c r="C25" i="9"/>
  <c r="B54" i="3" l="1"/>
  <c r="B53" i="3"/>
  <c r="B35" i="3"/>
  <c r="B33" i="3"/>
  <c r="B34" i="3"/>
  <c r="B32" i="3"/>
  <c r="B28" i="3"/>
  <c r="B27" i="3"/>
  <c r="B10" i="3"/>
  <c r="B20" i="9" s="1"/>
  <c r="B3" i="3"/>
  <c r="B4" i="9" l="1"/>
  <c r="C46" i="9" s="1"/>
  <c r="B23" i="10"/>
  <c r="B3" i="9"/>
  <c r="B22" i="10"/>
  <c r="C38" i="9"/>
  <c r="C32" i="9" s="1"/>
  <c r="B38" i="9"/>
  <c r="B39" i="9"/>
  <c r="B33" i="9"/>
  <c r="C39" i="9"/>
  <c r="C33" i="9"/>
  <c r="B24" i="10" l="1"/>
  <c r="B25" i="10" s="1"/>
  <c r="B21" i="9"/>
  <c r="B6" i="9"/>
  <c r="B7" i="9"/>
  <c r="B5" i="9"/>
  <c r="C50" i="9" s="1"/>
  <c r="B26" i="10"/>
  <c r="D39" i="9"/>
  <c r="D38" i="9"/>
  <c r="D33" i="9"/>
  <c r="B5" i="3"/>
  <c r="B22" i="9" l="1"/>
  <c r="B23" i="9" s="1"/>
  <c r="B6" i="3"/>
  <c r="B7" i="3"/>
  <c r="B29" i="3"/>
  <c r="B30" i="3"/>
  <c r="B38" i="3"/>
  <c r="B40" i="3"/>
  <c r="B41" i="3"/>
  <c r="B43" i="3"/>
  <c r="B44" i="3"/>
  <c r="B45" i="3" l="1"/>
  <c r="B42" i="3"/>
  <c r="B17" i="3" s="1"/>
  <c r="B16" i="9" l="1"/>
  <c r="B9" i="9"/>
  <c r="B9" i="3"/>
  <c r="B46" i="3"/>
  <c r="B15" i="9" l="1"/>
  <c r="B10" i="9"/>
  <c r="B12" i="3"/>
  <c r="B13" i="3" s="1"/>
  <c r="B20" i="10" s="1"/>
  <c r="D12" i="10" l="1"/>
  <c r="B14" i="3"/>
  <c r="B25" i="3"/>
  <c r="B18" i="3"/>
  <c r="B19" i="3"/>
  <c r="E5" i="10" l="1"/>
  <c r="E9" i="10"/>
  <c r="G9" i="10" s="1"/>
  <c r="K9" i="10" s="1"/>
  <c r="E8" i="10"/>
  <c r="G8" i="10" s="1"/>
  <c r="K8" i="10" s="1"/>
  <c r="E6" i="10"/>
  <c r="B15" i="3"/>
  <c r="B11" i="3"/>
  <c r="B51" i="3"/>
  <c r="B49" i="3"/>
  <c r="B56" i="3" s="1"/>
  <c r="F23" i="10" l="1"/>
  <c r="G6" i="10"/>
  <c r="G5" i="10"/>
  <c r="E7" i="10"/>
  <c r="H23" i="10"/>
  <c r="O6" i="10"/>
  <c r="F27" i="10"/>
  <c r="O8" i="10"/>
  <c r="M8" i="10"/>
  <c r="O9" i="10"/>
  <c r="M9" i="10"/>
  <c r="E10" i="10" l="1"/>
  <c r="G10" i="10" s="1"/>
  <c r="G7" i="10"/>
  <c r="H9" i="10"/>
  <c r="H8" i="10"/>
  <c r="H6" i="10"/>
  <c r="F7" i="10"/>
  <c r="F26" i="10"/>
  <c r="F28" i="10" s="1"/>
  <c r="F29" i="10" s="1"/>
  <c r="F30" i="10" s="1"/>
  <c r="F5" i="10"/>
  <c r="F12" i="10" s="1"/>
  <c r="F8" i="10"/>
  <c r="F22" i="10"/>
  <c r="H22" i="10" s="1"/>
  <c r="F6" i="10"/>
  <c r="O7" i="10"/>
  <c r="F9" i="10"/>
  <c r="B11" i="9"/>
  <c r="C45" i="9"/>
  <c r="B44" i="9"/>
  <c r="D44" i="9" s="1"/>
  <c r="D47" i="9"/>
  <c r="F47" i="9" s="1"/>
  <c r="H47" i="9" s="1"/>
  <c r="I47" i="9" s="1"/>
  <c r="B46" i="9"/>
  <c r="D46" i="9" s="1"/>
  <c r="F46" i="9" s="1"/>
  <c r="H46" i="9" s="1"/>
  <c r="I46" i="9" s="1"/>
  <c r="B45" i="9"/>
  <c r="C49" i="9"/>
  <c r="D51" i="9"/>
  <c r="E51" i="9" s="1"/>
  <c r="G51" i="9" s="1"/>
  <c r="I51" i="9" s="1"/>
  <c r="B48" i="9"/>
  <c r="D48" i="9" s="1"/>
  <c r="B50" i="9"/>
  <c r="D50" i="9" s="1"/>
  <c r="E50" i="9" s="1"/>
  <c r="G50" i="9" s="1"/>
  <c r="I50" i="9" s="1"/>
  <c r="B12" i="9"/>
  <c r="B49" i="9"/>
  <c r="B18" i="9"/>
  <c r="B17" i="9" s="1"/>
  <c r="B24" i="9" s="1"/>
  <c r="B25" i="9" s="1"/>
  <c r="C53" i="9"/>
  <c r="B16" i="3"/>
  <c r="K6" i="10" l="1"/>
  <c r="M6" i="10" s="1"/>
  <c r="H7" i="10"/>
  <c r="K7" i="10"/>
  <c r="M7" i="10" s="1"/>
  <c r="O10" i="10"/>
  <c r="P8" i="10" s="1"/>
  <c r="H5" i="10"/>
  <c r="F24" i="10"/>
  <c r="H15" i="10"/>
  <c r="H12" i="10"/>
  <c r="H13" i="10" s="1"/>
  <c r="H10" i="10"/>
  <c r="H14" i="10"/>
  <c r="F13" i="10"/>
  <c r="F14" i="10"/>
  <c r="F15" i="10"/>
  <c r="F10" i="10"/>
  <c r="O5" i="10"/>
  <c r="P5" i="10" s="1"/>
  <c r="P12" i="10" s="1"/>
  <c r="P9" i="10"/>
  <c r="P6" i="10"/>
  <c r="P7" i="10"/>
  <c r="D45" i="9"/>
  <c r="F45" i="9" s="1"/>
  <c r="H45" i="9" s="1"/>
  <c r="I45" i="9" s="1"/>
  <c r="B30" i="9"/>
  <c r="F31" i="9"/>
  <c r="H31" i="9" s="1"/>
  <c r="I31" i="9" s="1"/>
  <c r="B14" i="9"/>
  <c r="D49" i="9"/>
  <c r="E49" i="9" s="1"/>
  <c r="D31" i="9"/>
  <c r="F38" i="9"/>
  <c r="H38" i="9" s="1"/>
  <c r="I38" i="9" s="1"/>
  <c r="B37" i="9"/>
  <c r="D37" i="9" s="1"/>
  <c r="F33" i="9"/>
  <c r="H33" i="9" s="1"/>
  <c r="I33" i="9" s="1"/>
  <c r="B31" i="9"/>
  <c r="B8" i="9"/>
  <c r="B62" i="9"/>
  <c r="B50" i="3"/>
  <c r="B20" i="3" s="1"/>
  <c r="B26" i="9" s="1"/>
  <c r="B48" i="3"/>
  <c r="B55" i="3" s="1"/>
  <c r="P14" i="10" l="1"/>
  <c r="P15" i="10"/>
  <c r="P10" i="10"/>
  <c r="P13" i="10"/>
  <c r="G49" i="9"/>
  <c r="E58" i="9"/>
  <c r="C55" i="9"/>
  <c r="B54" i="9"/>
  <c r="C56" i="9"/>
  <c r="B55" i="9"/>
  <c r="B53" i="9"/>
  <c r="D53" i="9" s="1"/>
  <c r="F53" i="9" s="1"/>
  <c r="B56" i="9"/>
  <c r="C54" i="9"/>
  <c r="D57" i="9"/>
  <c r="F57" i="9" s="1"/>
  <c r="H57" i="9" s="1"/>
  <c r="I57" i="9" s="1"/>
  <c r="B64" i="9" s="1"/>
  <c r="B13" i="9"/>
  <c r="B52" i="9"/>
  <c r="D52" i="9" s="1"/>
  <c r="B27" i="9"/>
  <c r="B28" i="9" s="1"/>
  <c r="B23" i="3"/>
  <c r="B24" i="3" s="1"/>
  <c r="B21" i="3"/>
  <c r="B22" i="3" s="1"/>
  <c r="B57" i="3"/>
  <c r="D54" i="9" l="1"/>
  <c r="F54" i="9" s="1"/>
  <c r="H54" i="9" s="1"/>
  <c r="I54" i="9" s="1"/>
  <c r="I49" i="9"/>
  <c r="B61" i="9" s="1"/>
  <c r="G58" i="9"/>
  <c r="D55" i="9"/>
  <c r="F55" i="9" s="1"/>
  <c r="H55" i="9" s="1"/>
  <c r="I55" i="9" s="1"/>
  <c r="H53" i="9"/>
  <c r="D56" i="9"/>
  <c r="F56" i="9" s="1"/>
  <c r="H56" i="9" s="1"/>
  <c r="I56" i="9" s="1"/>
  <c r="F32" i="9"/>
  <c r="H32" i="9" s="1"/>
  <c r="B36" i="9"/>
  <c r="D36" i="9" s="1"/>
  <c r="D40" i="9" s="1"/>
  <c r="B32" i="9"/>
  <c r="F37" i="9"/>
  <c r="H37" i="9" s="1"/>
  <c r="F58" i="9" l="1"/>
  <c r="I37" i="9"/>
  <c r="I39" i="9" s="1"/>
  <c r="I32" i="9"/>
  <c r="I34" i="9" s="1"/>
  <c r="D32" i="9"/>
  <c r="D30" i="9"/>
  <c r="I53" i="9"/>
  <c r="H58" i="9"/>
  <c r="B63" i="9" l="1"/>
  <c r="B65" i="9" s="1"/>
  <c r="I58" i="9"/>
  <c r="D34" i="9"/>
  <c r="K5" i="10" l="1"/>
  <c r="L5" i="10" l="1"/>
  <c r="L9" i="10"/>
  <c r="L8" i="10"/>
  <c r="L7" i="10"/>
  <c r="L6" i="10"/>
  <c r="M5" i="10"/>
  <c r="L14" i="10" l="1"/>
  <c r="J7" i="10"/>
  <c r="J9" i="10"/>
  <c r="K10" i="10"/>
  <c r="J8" i="10"/>
  <c r="N6" i="10"/>
  <c r="N5" i="10"/>
  <c r="N8" i="10"/>
  <c r="N9" i="10"/>
  <c r="N7" i="10"/>
  <c r="M10" i="10"/>
  <c r="L12" i="10"/>
  <c r="L13" i="10" s="1"/>
  <c r="L15" i="10"/>
  <c r="L10" i="10"/>
  <c r="N14" i="10" l="1"/>
  <c r="J5" i="10"/>
  <c r="N12" i="10"/>
  <c r="N13" i="10" s="1"/>
  <c r="N15" i="10"/>
  <c r="N10" i="10"/>
  <c r="J12" i="10"/>
  <c r="J13" i="10" s="1"/>
  <c r="J10" i="10"/>
  <c r="J15" i="10"/>
  <c r="J1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Riera</author>
  </authors>
  <commentList>
    <comment ref="C6" authorId="0" shapeId="0" xr:uid="{C7ABF123-0424-422B-BAE8-55EA03083EFF}">
      <text>
        <r>
          <rPr>
            <b/>
            <sz val="9"/>
            <color indexed="81"/>
            <rFont val="Tahoma"/>
            <family val="2"/>
          </rPr>
          <t>Juan Riera:</t>
        </r>
        <r>
          <rPr>
            <sz val="9"/>
            <color indexed="81"/>
            <rFont val="Tahoma"/>
            <family val="2"/>
          </rPr>
          <t xml:space="preserve">
Datos del FEGA de la composición media de la leche en Asturias. Puede cambiarse.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Riera</author>
  </authors>
  <commentList>
    <comment ref="B18" authorId="0" shapeId="0" xr:uid="{C11932D5-1449-49F5-B7A4-FAFD31A7A8D4}">
      <text>
        <r>
          <rPr>
            <b/>
            <sz val="9"/>
            <color indexed="81"/>
            <rFont val="Tahoma"/>
            <family val="2"/>
          </rPr>
          <t>Juan Riera:</t>
        </r>
        <r>
          <rPr>
            <sz val="9"/>
            <color indexed="81"/>
            <rFont val="Tahoma"/>
            <family val="2"/>
          </rPr>
          <t xml:space="preserve">
Sustituir por 1 L o 1000 L poara ver las cantidades estándar
</t>
        </r>
      </text>
    </comment>
    <comment ref="H19" authorId="0" shapeId="0" xr:uid="{3AF2A67E-FCF6-4A4D-A5CB-4BD70DE7E7ED}">
      <text>
        <r>
          <rPr>
            <b/>
            <sz val="9"/>
            <color indexed="81"/>
            <rFont val="Tahoma"/>
            <family val="2"/>
          </rPr>
          <t>Juan Riera:</t>
        </r>
        <r>
          <rPr>
            <sz val="9"/>
            <color indexed="81"/>
            <rFont val="Tahoma"/>
            <family val="2"/>
          </rPr>
          <t xml:space="preserve">
en verde datos que introducimos nosotros
</t>
        </r>
      </text>
    </comment>
  </commentList>
</comments>
</file>

<file path=xl/sharedStrings.xml><?xml version="1.0" encoding="utf-8"?>
<sst xmlns="http://schemas.openxmlformats.org/spreadsheetml/2006/main" count="238" uniqueCount="193">
  <si>
    <t>Total explicado</t>
  </si>
  <si>
    <t>Recup MP</t>
  </si>
  <si>
    <t>ESM</t>
  </si>
  <si>
    <t>MG</t>
  </si>
  <si>
    <t>desv kg MP</t>
  </si>
  <si>
    <t>Real</t>
  </si>
  <si>
    <t>Bdgt</t>
  </si>
  <si>
    <t>MP</t>
  </si>
  <si>
    <t>Coste medio mezcla en cuba MP</t>
  </si>
  <si>
    <t>Consumo MP/kg queso</t>
  </si>
  <si>
    <t>Consumo técnico MP/kg queso</t>
  </si>
  <si>
    <t>MG teórica en cuba g/L</t>
  </si>
  <si>
    <t>g MG/L leche en cuba</t>
  </si>
  <si>
    <t>Litraje unitario (L/Kg)</t>
  </si>
  <si>
    <t>Recup MG</t>
  </si>
  <si>
    <t>G/ES</t>
  </si>
  <si>
    <t>HFD</t>
  </si>
  <si>
    <t>EST</t>
  </si>
  <si>
    <t>Fabricación, KG</t>
  </si>
  <si>
    <t>Análisis de desviaciones</t>
  </si>
  <si>
    <t>KMG puestos en fabricacion (cuba)</t>
  </si>
  <si>
    <t>KMP puestos en fabricacion (cuba)</t>
  </si>
  <si>
    <t>g MP/L  leche en cuba</t>
  </si>
  <si>
    <t>Consumo técnico MG/kg queso (total cuba)</t>
  </si>
  <si>
    <t>Consumo MG/kg queso (sin nata suero)</t>
  </si>
  <si>
    <t>Coste medio mezcla en cuba MG (coste compra MG)</t>
  </si>
  <si>
    <t>desv kg MG</t>
  </si>
  <si>
    <t xml:space="preserve">MP € </t>
  </si>
  <si>
    <t>MG €</t>
  </si>
  <si>
    <t>TOTAL €</t>
  </si>
  <si>
    <t xml:space="preserve">Desv </t>
  </si>
  <si>
    <t>MG pérdida bruta (g/L)</t>
  </si>
  <si>
    <t>MG pérdida bruta %</t>
  </si>
  <si>
    <t>MG pérdida neta g/L</t>
  </si>
  <si>
    <t>MG pérdida neta %</t>
  </si>
  <si>
    <t>gr MG queso/kg queso</t>
  </si>
  <si>
    <t>g ESM queso/kg queso</t>
  </si>
  <si>
    <t>Litros leche puestos en fab (cuba)</t>
  </si>
  <si>
    <t>Coste medio mezcla en cuba MG (ponderado con NS = 0)</t>
  </si>
  <si>
    <t>MG suero recuperada puesta en fab g/L</t>
  </si>
  <si>
    <t>KMG Nata suero recuperada puesta en fab</t>
  </si>
  <si>
    <t>Desviaciones por composición queso</t>
  </si>
  <si>
    <t>Total mat prima</t>
  </si>
  <si>
    <t>VALOR MP</t>
  </si>
  <si>
    <t>VALOR MG</t>
  </si>
  <si>
    <t>Precio materia (euros/kg)</t>
  </si>
  <si>
    <t>Consumo materia g/kg queso</t>
  </si>
  <si>
    <t>Densidad Nata de suero</t>
  </si>
  <si>
    <t>Composición leche</t>
  </si>
  <si>
    <t xml:space="preserve">% Nata de Suero </t>
  </si>
  <si>
    <t>% Leche Oveja</t>
  </si>
  <si>
    <t>Receta</t>
  </si>
  <si>
    <t>ESTANDAR  TECNICO</t>
  </si>
  <si>
    <t>factor MG/MP queso</t>
  </si>
  <si>
    <t>factor MG/MP leche cubas</t>
  </si>
  <si>
    <t>MG Nata de Suero  (g/L)</t>
  </si>
  <si>
    <t>Leche en cubas</t>
  </si>
  <si>
    <t>MG Nata de suero (g/L)</t>
  </si>
  <si>
    <t>MP Nata de suero (g/L)</t>
  </si>
  <si>
    <t>Ratio MG/MP leche</t>
  </si>
  <si>
    <t>G/ES %</t>
  </si>
  <si>
    <t xml:space="preserve">HFD </t>
  </si>
  <si>
    <t xml:space="preserve">EST % </t>
  </si>
  <si>
    <t>Análisis salida sal</t>
  </si>
  <si>
    <t>MP en cuba (g/L)</t>
  </si>
  <si>
    <t>Densidad Leche</t>
  </si>
  <si>
    <t>MG Leche (g/L)</t>
  </si>
  <si>
    <t>MP Leche  (g/L)</t>
  </si>
  <si>
    <t>MG Origen Leche</t>
  </si>
  <si>
    <t>MP Origen Leche</t>
  </si>
  <si>
    <t>MG Origen Nata Suero</t>
  </si>
  <si>
    <t>MP Origen Nata Suero</t>
  </si>
  <si>
    <t>MG Pérddias brutas suero  (g/L)</t>
  </si>
  <si>
    <t>MG estándar en la mezcla (g/L)</t>
  </si>
  <si>
    <t>MG Pérddas suero neta (%)</t>
  </si>
  <si>
    <t>MG Pérddas suero neta (g/L)</t>
  </si>
  <si>
    <t>MG suero en cuba (g/L)</t>
  </si>
  <si>
    <t>MG STD sin nata de suero (g/L)</t>
  </si>
  <si>
    <t>Consumo MP total leche en cuba</t>
  </si>
  <si>
    <t>Consumo MG total leche en cuba</t>
  </si>
  <si>
    <t>MG Pérddias brutas suero  (%)</t>
  </si>
  <si>
    <t>Composición leche en cuba MG (g/L)</t>
  </si>
  <si>
    <t>Composición leche en cuba MP (g/L)</t>
  </si>
  <si>
    <t xml:space="preserve">MG </t>
  </si>
  <si>
    <t>Efecto rendimiento (recup MG)</t>
  </si>
  <si>
    <t>Efecto  rendimiento (recup MP)</t>
  </si>
  <si>
    <t>Prod 1</t>
  </si>
  <si>
    <t>Ratio recuperación MP (Rendimiento MP %)</t>
  </si>
  <si>
    <t>Litraje unitario</t>
  </si>
  <si>
    <t>MG teórica en la cuba (g/L)</t>
  </si>
  <si>
    <t>Consumo MG (sólo MG comprada) (g/K queso)</t>
  </si>
  <si>
    <t>Consumo MP (sólo MP comprada) (g/K queso)</t>
  </si>
  <si>
    <t>Datos del producto</t>
  </si>
  <si>
    <t>Datos de la fabricación</t>
  </si>
  <si>
    <t>EST a salida de sal (%)</t>
  </si>
  <si>
    <t>MG a saida de sal (%)</t>
  </si>
  <si>
    <t>Ratio recuperación MG (%)</t>
  </si>
  <si>
    <t>2. Fabricación real</t>
  </si>
  <si>
    <t>1. Presupuesto</t>
  </si>
  <si>
    <t>Datos de materia prima</t>
  </si>
  <si>
    <t>Coef de recuperación MG</t>
  </si>
  <si>
    <t>Coef de recuperación MP</t>
  </si>
  <si>
    <t>Leche (%)</t>
  </si>
  <si>
    <t>Nata de suero de recuperación (%)</t>
  </si>
  <si>
    <t>Coeficientes de recuperación</t>
  </si>
  <si>
    <t>Composición leche (g/L)</t>
  </si>
  <si>
    <t>Receta en volumen (debe sumar 100%)</t>
  </si>
  <si>
    <t>Composición nata suero (g/L)</t>
  </si>
  <si>
    <t>Otros datos</t>
  </si>
  <si>
    <t>Densidad nata (kg/L)</t>
  </si>
  <si>
    <t>Otros efectos (mix)</t>
  </si>
  <si>
    <t>Con MG total y abono nata suero</t>
  </si>
  <si>
    <t>Con MG sin nata de suero</t>
  </si>
  <si>
    <t>Efecto EST (composición MG)</t>
  </si>
  <si>
    <t>Efecto EST (composición ESM)</t>
  </si>
  <si>
    <t>Std</t>
  </si>
  <si>
    <t>Dif</t>
  </si>
  <si>
    <t>Valor</t>
  </si>
  <si>
    <t>Impacto tasa MP leche en cuba</t>
  </si>
  <si>
    <t>Impacto coef recup MP</t>
  </si>
  <si>
    <t>Impacto ratio recup nata suero</t>
  </si>
  <si>
    <t>Impacto ESM queso</t>
  </si>
  <si>
    <t>Total efectos</t>
  </si>
  <si>
    <t>EST (MG + ESM)</t>
  </si>
  <si>
    <t>Recuperación (MG+MP)</t>
  </si>
  <si>
    <t>Otros efectos no explicados</t>
  </si>
  <si>
    <t>Total</t>
  </si>
  <si>
    <t>Recuperación/Utiización nata suero</t>
  </si>
  <si>
    <t>Desviaciones por MG suero</t>
  </si>
  <si>
    <t>MP leche cuba</t>
  </si>
  <si>
    <t>MP leche compra</t>
  </si>
  <si>
    <t>MG leche compra</t>
  </si>
  <si>
    <t>MG leche cuba</t>
  </si>
  <si>
    <t>MG nata suero</t>
  </si>
  <si>
    <t>Coef G (ESM queso obtenido a partir de MP leche)</t>
  </si>
  <si>
    <t>Componente</t>
  </si>
  <si>
    <t>Agua</t>
  </si>
  <si>
    <t>Materia grasa</t>
  </si>
  <si>
    <t>Proteinas totales</t>
  </si>
  <si>
    <t>Lactosa</t>
  </si>
  <si>
    <t>Sales minerales y otros</t>
  </si>
  <si>
    <t>Cálculos del std técnico</t>
  </si>
  <si>
    <t>% suero obtenido</t>
  </si>
  <si>
    <t>Densidad</t>
  </si>
  <si>
    <t>% agua eliminada secado suero</t>
  </si>
  <si>
    <t>L/kg</t>
  </si>
  <si>
    <t>Kg con vol std</t>
  </si>
  <si>
    <t>Kg ESM</t>
  </si>
  <si>
    <t>Kg MG</t>
  </si>
  <si>
    <t>Recup ESM</t>
  </si>
  <si>
    <t>Densidad (g/L)</t>
  </si>
  <si>
    <t>Volumen (L)</t>
  </si>
  <si>
    <t>Temperatura</t>
  </si>
  <si>
    <t>Mat grasa (% m/m)</t>
  </si>
  <si>
    <t xml:space="preserve">leche
(% m/m) 
</t>
  </si>
  <si>
    <t xml:space="preserve">leche
(% m/v) 
</t>
  </si>
  <si>
    <t>densidad</t>
  </si>
  <si>
    <t>La masse volumique du lait et de crèmes de 65°C à l40°C (archives-ouvertes.fr)</t>
  </si>
  <si>
    <t>FEGA(m/m)</t>
  </si>
  <si>
    <t>⁰C</t>
  </si>
  <si>
    <t>%</t>
  </si>
  <si>
    <t>Queso a salida de sal</t>
  </si>
  <si>
    <t>Lactosa (% m/m)</t>
  </si>
  <si>
    <t>Sales minerales (% m/m)</t>
  </si>
  <si>
    <t>euros/L</t>
  </si>
  <si>
    <t>Materia proteica</t>
  </si>
  <si>
    <t>Coste de la leche en fabrica</t>
  </si>
  <si>
    <t>Precio pagado al ganadero</t>
  </si>
  <si>
    <t>Total euros/L</t>
  </si>
  <si>
    <t>Datos estándar</t>
  </si>
  <si>
    <t>Coste transporte + otros recogida</t>
  </si>
  <si>
    <t>Estándar</t>
  </si>
  <si>
    <t>Ejemplo para cálculo de la densidad en función de la MG y la Tª</t>
  </si>
  <si>
    <t>Fuente:</t>
  </si>
  <si>
    <t>queso salida de sal
(% m/m)</t>
  </si>
  <si>
    <t>suero desnatado
(% m/m)</t>
  </si>
  <si>
    <t>suero polvo
(% m/m)</t>
  </si>
  <si>
    <t>queso
curado
(% m/m)</t>
  </si>
  <si>
    <t>Peso total (kg)</t>
  </si>
  <si>
    <t>leche
(kg)</t>
  </si>
  <si>
    <t>queso
 salida de sal
(kg)</t>
  </si>
  <si>
    <t>suero desnatado
(kg)</t>
  </si>
  <si>
    <t>suero polvo
(kg)</t>
  </si>
  <si>
    <t>queso
curado
(kg)</t>
  </si>
  <si>
    <t>merma maduración</t>
  </si>
  <si>
    <t>suero entero
(kg)</t>
  </si>
  <si>
    <t>suero entero
(% m/m)</t>
  </si>
  <si>
    <t>Nata de suero obtenida
(kg)</t>
  </si>
  <si>
    <t>Nata de suero obtenida
(% m/m)</t>
  </si>
  <si>
    <t>Descomposición del proceso de fabricación de queso y coproductos obtenidos</t>
  </si>
  <si>
    <t>L/kg (obtenidos del coef de recup de ESM)</t>
  </si>
  <si>
    <t>Eficiencia del desnatado en MG</t>
  </si>
  <si>
    <t>Composición en MG nata obtenida en desnatado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</si>
</sst>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_ ;[Red]\-#,##0\ "/>
    <numFmt numFmtId="165" formatCode="#,##0.000_ ;[Red]\-#,##0.000\ "/>
    <numFmt numFmtId="166" formatCode="0.0%"/>
    <numFmt numFmtId="167" formatCode="0.000"/>
    <numFmt numFmtId="168" formatCode="#,##0.000_);\(#,##0.000\)"/>
    <numFmt numFmtId="169" formatCode="#,##0.00_);\(#,##0.00\)"/>
    <numFmt numFmtId="170" formatCode="#,##0.0000"/>
    <numFmt numFmtId="171" formatCode="_-* #,##0.00\ _€_-;\-* #,##0.00\ _€_-;_-* &quot;-&quot;??\ _€_-;_-@_-"/>
    <numFmt numFmtId="172" formatCode="#,##0.00_ ;[Red]\-#,##0.00\ "/>
    <numFmt numFmtId="173" formatCode="#,##0.0_ ;[Red]\-#,##0.0\ "/>
    <numFmt numFmtId="174" formatCode="0.0"/>
    <numFmt numFmtId="17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164" fontId="0" fillId="0" borderId="1" xfId="0" applyNumberFormat="1" applyBorder="1"/>
    <xf numFmtId="0" fontId="0" fillId="0" borderId="2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0" xfId="0" applyNumberFormat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6" fontId="0" fillId="0" borderId="7" xfId="1" applyNumberFormat="1" applyFont="1" applyFill="1" applyBorder="1"/>
    <xf numFmtId="166" fontId="0" fillId="0" borderId="10" xfId="1" applyNumberFormat="1" applyFont="1" applyFill="1" applyBorder="1"/>
    <xf numFmtId="164" fontId="0" fillId="0" borderId="10" xfId="0" applyNumberFormat="1" applyBorder="1" applyAlignment="1">
      <alignment horizontal="left"/>
    </xf>
    <xf numFmtId="164" fontId="0" fillId="0" borderId="11" xfId="0" applyNumberFormat="1" applyBorder="1"/>
    <xf numFmtId="167" fontId="0" fillId="0" borderId="12" xfId="0" applyNumberFormat="1" applyBorder="1"/>
    <xf numFmtId="164" fontId="0" fillId="0" borderId="11" xfId="0" applyNumberFormat="1" applyBorder="1" applyAlignment="1">
      <alignment horizontal="left"/>
    </xf>
    <xf numFmtId="167" fontId="0" fillId="0" borderId="10" xfId="0" applyNumberFormat="1" applyBorder="1"/>
    <xf numFmtId="167" fontId="0" fillId="0" borderId="8" xfId="0" applyNumberFormat="1" applyBorder="1"/>
    <xf numFmtId="164" fontId="0" fillId="0" borderId="8" xfId="0" applyNumberFormat="1" applyBorder="1" applyAlignment="1">
      <alignment horizontal="left"/>
    </xf>
    <xf numFmtId="2" fontId="0" fillId="0" borderId="12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2" fontId="0" fillId="0" borderId="8" xfId="0" applyNumberFormat="1" applyBorder="1"/>
    <xf numFmtId="164" fontId="0" fillId="0" borderId="7" xfId="0" applyNumberFormat="1" applyBorder="1" applyAlignment="1">
      <alignment horizontal="left"/>
    </xf>
    <xf numFmtId="10" fontId="0" fillId="0" borderId="3" xfId="1" applyNumberFormat="1" applyFont="1" applyFill="1" applyBorder="1"/>
    <xf numFmtId="164" fontId="0" fillId="0" borderId="3" xfId="0" applyNumberFormat="1" applyBorder="1" applyAlignment="1">
      <alignment horizontal="left"/>
    </xf>
    <xf numFmtId="10" fontId="0" fillId="0" borderId="5" xfId="1" applyNumberFormat="1" applyFont="1" applyFill="1" applyBorder="1"/>
    <xf numFmtId="167" fontId="0" fillId="0" borderId="5" xfId="0" applyNumberFormat="1" applyBorder="1"/>
    <xf numFmtId="164" fontId="0" fillId="0" borderId="5" xfId="0" applyNumberFormat="1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10" fontId="1" fillId="0" borderId="5" xfId="1" applyNumberFormat="1" applyFont="1" applyFill="1" applyBorder="1"/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10" fontId="0" fillId="0" borderId="11" xfId="0" applyNumberFormat="1" applyBorder="1"/>
    <xf numFmtId="165" fontId="0" fillId="0" borderId="11" xfId="0" applyNumberFormat="1" applyBorder="1"/>
    <xf numFmtId="10" fontId="0" fillId="0" borderId="0" xfId="0" applyNumberFormat="1"/>
    <xf numFmtId="164" fontId="0" fillId="0" borderId="5" xfId="0" applyNumberFormat="1" applyBorder="1" applyAlignment="1">
      <alignment horizontal="left" indent="1"/>
    </xf>
    <xf numFmtId="2" fontId="0" fillId="0" borderId="0" xfId="0" applyNumberFormat="1"/>
    <xf numFmtId="10" fontId="0" fillId="0" borderId="11" xfId="1" applyNumberFormat="1" applyFont="1" applyFill="1" applyBorder="1"/>
    <xf numFmtId="10" fontId="0" fillId="4" borderId="5" xfId="1" applyNumberFormat="1" applyFont="1" applyFill="1" applyBorder="1"/>
    <xf numFmtId="0" fontId="0" fillId="0" borderId="6" xfId="0" applyBorder="1" applyAlignment="1">
      <alignment horizontal="left" indent="1"/>
    </xf>
    <xf numFmtId="0" fontId="2" fillId="0" borderId="9" xfId="0" applyFont="1" applyBorder="1"/>
    <xf numFmtId="0" fontId="4" fillId="0" borderId="1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68" fontId="4" fillId="5" borderId="21" xfId="0" applyNumberFormat="1" applyFont="1" applyFill="1" applyBorder="1"/>
    <xf numFmtId="168" fontId="4" fillId="5" borderId="19" xfId="0" applyNumberFormat="1" applyFont="1" applyFill="1" applyBorder="1"/>
    <xf numFmtId="168" fontId="4" fillId="5" borderId="20" xfId="0" applyNumberFormat="1" applyFont="1" applyFill="1" applyBorder="1"/>
    <xf numFmtId="0" fontId="5" fillId="0" borderId="17" xfId="0" applyFont="1" applyBorder="1" applyAlignment="1">
      <alignment vertical="center"/>
    </xf>
    <xf numFmtId="2" fontId="4" fillId="0" borderId="8" xfId="0" applyNumberFormat="1" applyFont="1" applyBorder="1"/>
    <xf numFmtId="0" fontId="5" fillId="0" borderId="16" xfId="0" applyFont="1" applyBorder="1" applyAlignment="1">
      <alignment vertical="center"/>
    </xf>
    <xf numFmtId="167" fontId="4" fillId="0" borderId="16" xfId="0" applyNumberFormat="1" applyFont="1" applyBorder="1" applyAlignment="1">
      <alignment horizontal="right"/>
    </xf>
    <xf numFmtId="2" fontId="4" fillId="0" borderId="0" xfId="0" applyNumberFormat="1" applyFont="1"/>
    <xf numFmtId="0" fontId="5" fillId="0" borderId="26" xfId="0" applyFont="1" applyBorder="1"/>
    <xf numFmtId="0" fontId="4" fillId="0" borderId="0" xfId="0" applyFont="1"/>
    <xf numFmtId="0" fontId="4" fillId="0" borderId="23" xfId="0" applyFont="1" applyBorder="1"/>
    <xf numFmtId="0" fontId="4" fillId="0" borderId="5" xfId="0" applyFont="1" applyBorder="1" applyAlignment="1">
      <alignment vertical="center"/>
    </xf>
    <xf numFmtId="169" fontId="8" fillId="0" borderId="8" xfId="0" applyNumberFormat="1" applyFont="1" applyBorder="1" applyAlignment="1" applyProtection="1">
      <alignment horizontal="right"/>
      <protection locked="0"/>
    </xf>
    <xf numFmtId="169" fontId="4" fillId="0" borderId="14" xfId="0" applyNumberFormat="1" applyFont="1" applyBorder="1"/>
    <xf numFmtId="169" fontId="4" fillId="0" borderId="14" xfId="0" applyNumberFormat="1" applyFont="1" applyBorder="1" applyAlignment="1">
      <alignment horizontal="right"/>
    </xf>
    <xf numFmtId="10" fontId="4" fillId="0" borderId="14" xfId="0" applyNumberFormat="1" applyFont="1" applyBorder="1" applyAlignment="1">
      <alignment horizontal="right"/>
    </xf>
    <xf numFmtId="0" fontId="5" fillId="0" borderId="15" xfId="0" applyFont="1" applyBorder="1" applyAlignment="1">
      <alignment vertical="center"/>
    </xf>
    <xf numFmtId="168" fontId="4" fillId="0" borderId="14" xfId="0" applyNumberFormat="1" applyFont="1" applyBorder="1" applyAlignment="1">
      <alignment horizontal="right"/>
    </xf>
    <xf numFmtId="10" fontId="8" fillId="0" borderId="14" xfId="1" applyNumberFormat="1" applyFont="1" applyBorder="1" applyAlignment="1" applyProtection="1">
      <alignment horizontal="right"/>
      <protection locked="0"/>
    </xf>
    <xf numFmtId="10" fontId="0" fillId="0" borderId="0" xfId="1" applyNumberFormat="1" applyFont="1"/>
    <xf numFmtId="164" fontId="0" fillId="4" borderId="5" xfId="0" applyNumberFormat="1" applyFill="1" applyBorder="1"/>
    <xf numFmtId="172" fontId="0" fillId="0" borderId="5" xfId="0" applyNumberFormat="1" applyBorder="1"/>
    <xf numFmtId="167" fontId="4" fillId="0" borderId="21" xfId="0" applyNumberFormat="1" applyFont="1" applyBorder="1"/>
    <xf numFmtId="0" fontId="4" fillId="0" borderId="5" xfId="0" quotePrefix="1" applyFont="1" applyBorder="1" applyAlignment="1">
      <alignment vertical="center"/>
    </xf>
    <xf numFmtId="169" fontId="8" fillId="0" borderId="5" xfId="0" applyNumberFormat="1" applyFont="1" applyBorder="1" applyProtection="1">
      <protection locked="0"/>
    </xf>
    <xf numFmtId="0" fontId="4" fillId="0" borderId="1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0" fontId="4" fillId="0" borderId="5" xfId="0" applyNumberFormat="1" applyFont="1" applyBorder="1"/>
    <xf numFmtId="169" fontId="4" fillId="0" borderId="5" xfId="0" applyNumberFormat="1" applyFont="1" applyBorder="1"/>
    <xf numFmtId="169" fontId="4" fillId="0" borderId="11" xfId="0" applyNumberFormat="1" applyFont="1" applyBorder="1"/>
    <xf numFmtId="169" fontId="4" fillId="0" borderId="0" xfId="0" applyNumberFormat="1" applyFont="1"/>
    <xf numFmtId="0" fontId="4" fillId="0" borderId="25" xfId="0" applyFont="1" applyBorder="1" applyAlignment="1">
      <alignment horizontal="left" vertical="center" indent="1"/>
    </xf>
    <xf numFmtId="10" fontId="4" fillId="0" borderId="22" xfId="0" applyNumberFormat="1" applyFont="1" applyBorder="1"/>
    <xf numFmtId="172" fontId="6" fillId="0" borderId="14" xfId="0" applyNumberFormat="1" applyFont="1" applyBorder="1"/>
    <xf numFmtId="0" fontId="4" fillId="0" borderId="24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170" fontId="4" fillId="0" borderId="14" xfId="0" applyNumberFormat="1" applyFont="1" applyBorder="1"/>
    <xf numFmtId="0" fontId="4" fillId="0" borderId="22" xfId="0" applyFont="1" applyBorder="1" applyAlignment="1">
      <alignment horizontal="left" vertical="center" indent="1"/>
    </xf>
    <xf numFmtId="172" fontId="6" fillId="0" borderId="22" xfId="0" applyNumberFormat="1" applyFont="1" applyBorder="1"/>
    <xf numFmtId="166" fontId="4" fillId="0" borderId="22" xfId="1" applyNumberFormat="1" applyFont="1" applyFill="1" applyBorder="1" applyAlignment="1" applyProtection="1">
      <alignment vertical="center"/>
    </xf>
    <xf numFmtId="0" fontId="4" fillId="0" borderId="1" xfId="0" applyFont="1" applyBorder="1" applyAlignment="1">
      <alignment vertical="center"/>
    </xf>
    <xf numFmtId="169" fontId="4" fillId="0" borderId="4" xfId="0" applyNumberFormat="1" applyFont="1" applyBorder="1"/>
    <xf numFmtId="10" fontId="4" fillId="0" borderId="14" xfId="1" applyNumberFormat="1" applyFont="1" applyBorder="1" applyAlignment="1">
      <alignment horizontal="right"/>
    </xf>
    <xf numFmtId="167" fontId="4" fillId="0" borderId="13" xfId="0" applyNumberFormat="1" applyFont="1" applyBorder="1"/>
    <xf numFmtId="0" fontId="4" fillId="0" borderId="15" xfId="0" applyFont="1" applyBorder="1" applyAlignment="1">
      <alignment horizontal="left" vertical="center" indent="1"/>
    </xf>
    <xf numFmtId="0" fontId="4" fillId="0" borderId="15" xfId="0" quotePrefix="1" applyFont="1" applyBorder="1" applyAlignment="1">
      <alignment horizontal="left" vertical="center" indent="1"/>
    </xf>
    <xf numFmtId="168" fontId="4" fillId="0" borderId="14" xfId="0" applyNumberFormat="1" applyFont="1" applyBorder="1" applyProtection="1">
      <protection locked="0"/>
    </xf>
    <xf numFmtId="166" fontId="0" fillId="0" borderId="0" xfId="1" applyNumberFormat="1" applyFont="1"/>
    <xf numFmtId="0" fontId="10" fillId="0" borderId="3" xfId="0" applyFont="1" applyBorder="1" applyAlignment="1">
      <alignment horizontal="center" vertical="center"/>
    </xf>
    <xf numFmtId="9" fontId="0" fillId="0" borderId="0" xfId="0" applyNumberFormat="1"/>
    <xf numFmtId="0" fontId="0" fillId="0" borderId="6" xfId="0" applyBorder="1" applyAlignment="1">
      <alignment horizontal="left" indent="2"/>
    </xf>
    <xf numFmtId="2" fontId="0" fillId="0" borderId="0" xfId="0" applyNumberFormat="1" applyAlignment="1">
      <alignment horizontal="left" indent="2"/>
    </xf>
    <xf numFmtId="0" fontId="5" fillId="6" borderId="5" xfId="0" quotePrefix="1" applyFont="1" applyFill="1" applyBorder="1" applyAlignment="1">
      <alignment vertical="center"/>
    </xf>
    <xf numFmtId="169" fontId="5" fillId="6" borderId="5" xfId="0" applyNumberFormat="1" applyFont="1" applyFill="1" applyBorder="1"/>
    <xf numFmtId="169" fontId="5" fillId="6" borderId="11" xfId="0" applyNumberFormat="1" applyFont="1" applyFill="1" applyBorder="1"/>
    <xf numFmtId="0" fontId="5" fillId="6" borderId="14" xfId="0" applyFont="1" applyFill="1" applyBorder="1" applyAlignment="1">
      <alignment vertical="center"/>
    </xf>
    <xf numFmtId="169" fontId="5" fillId="6" borderId="14" xfId="0" applyNumberFormat="1" applyFont="1" applyFill="1" applyBorder="1"/>
    <xf numFmtId="0" fontId="5" fillId="6" borderId="22" xfId="0" applyFont="1" applyFill="1" applyBorder="1" applyAlignment="1">
      <alignment vertical="center"/>
    </xf>
    <xf numFmtId="169" fontId="5" fillId="6" borderId="22" xfId="0" applyNumberFormat="1" applyFont="1" applyFill="1" applyBorder="1"/>
    <xf numFmtId="164" fontId="0" fillId="0" borderId="0" xfId="0" applyNumberFormat="1" applyAlignment="1">
      <alignment horizontal="left"/>
    </xf>
    <xf numFmtId="167" fontId="0" fillId="7" borderId="5" xfId="0" applyNumberFormat="1" applyFill="1" applyBorder="1"/>
    <xf numFmtId="10" fontId="0" fillId="7" borderId="8" xfId="1" applyNumberFormat="1" applyFont="1" applyFill="1" applyBorder="1"/>
    <xf numFmtId="10" fontId="0" fillId="7" borderId="5" xfId="1" applyNumberFormat="1" applyFont="1" applyFill="1" applyBorder="1"/>
    <xf numFmtId="0" fontId="5" fillId="0" borderId="0" xfId="0" applyFont="1" applyAlignment="1">
      <alignment horizontal="left" vertical="center" indent="1"/>
    </xf>
    <xf numFmtId="167" fontId="0" fillId="2" borderId="11" xfId="0" applyNumberFormat="1" applyFill="1" applyBorder="1"/>
    <xf numFmtId="167" fontId="0" fillId="2" borderId="8" xfId="0" applyNumberFormat="1" applyFill="1" applyBorder="1"/>
    <xf numFmtId="0" fontId="9" fillId="0" borderId="1" xfId="0" applyFont="1" applyBorder="1" applyAlignment="1">
      <alignment horizontal="center" vertical="center"/>
    </xf>
    <xf numFmtId="0" fontId="11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8" xfId="0" applyNumberFormat="1" applyBorder="1" applyAlignment="1">
      <alignment horizontal="left" indent="1"/>
    </xf>
    <xf numFmtId="10" fontId="0" fillId="4" borderId="11" xfId="1" applyNumberFormat="1" applyFont="1" applyFill="1" applyBorder="1"/>
    <xf numFmtId="0" fontId="0" fillId="4" borderId="5" xfId="0" applyFill="1" applyBorder="1"/>
    <xf numFmtId="0" fontId="2" fillId="0" borderId="8" xfId="0" applyFont="1" applyBorder="1"/>
    <xf numFmtId="164" fontId="0" fillId="0" borderId="11" xfId="0" applyNumberFormat="1" applyBorder="1" applyAlignment="1">
      <alignment horizontal="left" indent="1"/>
    </xf>
    <xf numFmtId="164" fontId="12" fillId="0" borderId="8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 indent="1"/>
    </xf>
    <xf numFmtId="164" fontId="0" fillId="0" borderId="5" xfId="0" applyNumberForma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164" fontId="2" fillId="0" borderId="5" xfId="0" applyNumberFormat="1" applyFont="1" applyBorder="1" applyAlignment="1">
      <alignment horizontal="left" indent="2"/>
    </xf>
    <xf numFmtId="164" fontId="0" fillId="0" borderId="5" xfId="0" applyNumberFormat="1" applyBorder="1" applyAlignment="1">
      <alignment horizontal="left" indent="3"/>
    </xf>
    <xf numFmtId="164" fontId="2" fillId="0" borderId="9" xfId="0" applyNumberFormat="1" applyFont="1" applyBorder="1" applyAlignment="1">
      <alignment horizontal="left"/>
    </xf>
    <xf numFmtId="10" fontId="0" fillId="4" borderId="5" xfId="0" applyNumberFormat="1" applyFill="1" applyBorder="1"/>
    <xf numFmtId="2" fontId="0" fillId="4" borderId="5" xfId="0" applyNumberFormat="1" applyFill="1" applyBorder="1"/>
    <xf numFmtId="167" fontId="0" fillId="4" borderId="5" xfId="0" applyNumberFormat="1" applyFill="1" applyBorder="1"/>
    <xf numFmtId="167" fontId="0" fillId="4" borderId="11" xfId="0" applyNumberFormat="1" applyFill="1" applyBorder="1"/>
    <xf numFmtId="164" fontId="0" fillId="0" borderId="11" xfId="0" applyNumberFormat="1" applyBorder="1" applyAlignment="1">
      <alignment horizontal="left" indent="3"/>
    </xf>
    <xf numFmtId="10" fontId="0" fillId="4" borderId="11" xfId="0" applyNumberFormat="1" applyFill="1" applyBorder="1"/>
    <xf numFmtId="0" fontId="0" fillId="0" borderId="18" xfId="0" applyBorder="1" applyAlignment="1">
      <alignment horizontal="left" indent="1"/>
    </xf>
    <xf numFmtId="10" fontId="7" fillId="2" borderId="14" xfId="0" applyNumberFormat="1" applyFont="1" applyFill="1" applyBorder="1"/>
    <xf numFmtId="172" fontId="6" fillId="2" borderId="14" xfId="0" applyNumberFormat="1" applyFont="1" applyFill="1" applyBorder="1"/>
    <xf numFmtId="172" fontId="6" fillId="2" borderId="22" xfId="0" applyNumberFormat="1" applyFont="1" applyFill="1" applyBorder="1"/>
    <xf numFmtId="170" fontId="7" fillId="2" borderId="14" xfId="0" applyNumberFormat="1" applyFont="1" applyFill="1" applyBorder="1"/>
    <xf numFmtId="168" fontId="5" fillId="2" borderId="4" xfId="0" applyNumberFormat="1" applyFont="1" applyFill="1" applyBorder="1"/>
    <xf numFmtId="10" fontId="7" fillId="2" borderId="14" xfId="0" applyNumberFormat="1" applyFont="1" applyFill="1" applyBorder="1" applyAlignment="1">
      <alignment horizontal="right"/>
    </xf>
    <xf numFmtId="165" fontId="0" fillId="4" borderId="11" xfId="0" applyNumberFormat="1" applyFill="1" applyBorder="1"/>
    <xf numFmtId="164" fontId="0" fillId="2" borderId="8" xfId="0" applyNumberFormat="1" applyFill="1" applyBorder="1"/>
    <xf numFmtId="10" fontId="0" fillId="2" borderId="8" xfId="1" applyNumberFormat="1" applyFont="1" applyFill="1" applyBorder="1"/>
    <xf numFmtId="10" fontId="0" fillId="2" borderId="5" xfId="1" applyNumberFormat="1" applyFont="1" applyFill="1" applyBorder="1"/>
    <xf numFmtId="165" fontId="0" fillId="0" borderId="0" xfId="0" applyNumberFormat="1"/>
    <xf numFmtId="0" fontId="0" fillId="0" borderId="9" xfId="0" applyBorder="1" applyAlignment="1">
      <alignment horizontal="left" indent="1"/>
    </xf>
    <xf numFmtId="164" fontId="0" fillId="0" borderId="6" xfId="0" applyNumberFormat="1" applyBorder="1" applyAlignment="1">
      <alignment horizontal="left" indent="2"/>
    </xf>
    <xf numFmtId="0" fontId="0" fillId="0" borderId="18" xfId="0" applyBorder="1" applyAlignment="1">
      <alignment horizontal="left" indent="2"/>
    </xf>
    <xf numFmtId="0" fontId="0" fillId="8" borderId="0" xfId="0" applyFill="1" applyAlignment="1">
      <alignment horizontal="center"/>
    </xf>
    <xf numFmtId="0" fontId="0" fillId="0" borderId="18" xfId="0" applyBorder="1"/>
    <xf numFmtId="0" fontId="2" fillId="9" borderId="2" xfId="0" applyFont="1" applyFill="1" applyBorder="1"/>
    <xf numFmtId="0" fontId="0" fillId="9" borderId="13" xfId="0" applyFill="1" applyBorder="1"/>
    <xf numFmtId="0" fontId="2" fillId="9" borderId="8" xfId="0" applyFont="1" applyFill="1" applyBorder="1" applyAlignment="1">
      <alignment horizontal="center" vertical="center"/>
    </xf>
    <xf numFmtId="165" fontId="2" fillId="9" borderId="8" xfId="0" applyNumberFormat="1" applyFont="1" applyFill="1" applyBorder="1" applyAlignment="1">
      <alignment horizontal="center" vertical="center"/>
    </xf>
    <xf numFmtId="164" fontId="2" fillId="9" borderId="7" xfId="0" applyNumberFormat="1" applyFont="1" applyFill="1" applyBorder="1" applyAlignment="1">
      <alignment horizontal="center"/>
    </xf>
    <xf numFmtId="0" fontId="2" fillId="9" borderId="9" xfId="0" applyFont="1" applyFill="1" applyBorder="1"/>
    <xf numFmtId="0" fontId="2" fillId="9" borderId="2" xfId="0" applyFont="1" applyFill="1" applyBorder="1" applyAlignment="1">
      <alignment horizontal="left"/>
    </xf>
    <xf numFmtId="10" fontId="4" fillId="0" borderId="14" xfId="1" applyNumberFormat="1" applyFont="1" applyBorder="1"/>
    <xf numFmtId="174" fontId="0" fillId="0" borderId="0" xfId="0" applyNumberFormat="1"/>
    <xf numFmtId="0" fontId="0" fillId="0" borderId="0" xfId="0" applyAlignment="1">
      <alignment horizontal="right" indent="1"/>
    </xf>
    <xf numFmtId="164" fontId="2" fillId="0" borderId="0" xfId="0" applyNumberFormat="1" applyFont="1"/>
    <xf numFmtId="167" fontId="0" fillId="0" borderId="0" xfId="0" applyNumberFormat="1"/>
    <xf numFmtId="0" fontId="4" fillId="0" borderId="15" xfId="0" quotePrefix="1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2" fontId="0" fillId="0" borderId="6" xfId="0" applyNumberFormat="1" applyBorder="1"/>
    <xf numFmtId="10" fontId="0" fillId="0" borderId="4" xfId="1" applyNumberFormat="1" applyFont="1" applyBorder="1"/>
    <xf numFmtId="174" fontId="0" fillId="0" borderId="6" xfId="0" applyNumberFormat="1" applyBorder="1"/>
    <xf numFmtId="166" fontId="0" fillId="0" borderId="4" xfId="1" applyNumberFormat="1" applyFont="1" applyBorder="1"/>
    <xf numFmtId="172" fontId="0" fillId="0" borderId="6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6" fontId="0" fillId="0" borderId="0" xfId="1" applyNumberFormat="1" applyFont="1" applyBorder="1"/>
    <xf numFmtId="10" fontId="0" fillId="0" borderId="0" xfId="1" applyNumberFormat="1" applyFont="1" applyBorder="1"/>
    <xf numFmtId="2" fontId="0" fillId="0" borderId="5" xfId="0" applyNumberFormat="1" applyBorder="1"/>
    <xf numFmtId="0" fontId="13" fillId="0" borderId="0" xfId="3"/>
    <xf numFmtId="0" fontId="0" fillId="0" borderId="0" xfId="0" applyAlignment="1">
      <alignment horizontal="right"/>
    </xf>
    <xf numFmtId="164" fontId="16" fillId="11" borderId="0" xfId="0" applyNumberFormat="1" applyFont="1" applyFill="1"/>
    <xf numFmtId="10" fontId="0" fillId="10" borderId="0" xfId="0" applyNumberFormat="1" applyFill="1"/>
    <xf numFmtId="0" fontId="2" fillId="0" borderId="0" xfId="0" applyFont="1"/>
    <xf numFmtId="9" fontId="0" fillId="0" borderId="0" xfId="1" applyFont="1"/>
    <xf numFmtId="0" fontId="0" fillId="10" borderId="0" xfId="0" applyFill="1"/>
    <xf numFmtId="0" fontId="2" fillId="0" borderId="8" xfId="0" applyFont="1" applyBorder="1" applyAlignment="1">
      <alignment horizontal="center"/>
    </xf>
    <xf numFmtId="9" fontId="0" fillId="4" borderId="0" xfId="1" applyFont="1" applyFill="1"/>
    <xf numFmtId="164" fontId="0" fillId="0" borderId="9" xfId="0" applyNumberFormat="1" applyBorder="1" applyAlignment="1">
      <alignment horizontal="left" indent="1"/>
    </xf>
    <xf numFmtId="164" fontId="2" fillId="0" borderId="2" xfId="0" applyNumberFormat="1" applyFont="1" applyBorder="1" applyAlignment="1">
      <alignment horizontal="left" indent="1"/>
    </xf>
    <xf numFmtId="167" fontId="0" fillId="0" borderId="11" xfId="0" applyNumberFormat="1" applyBorder="1"/>
    <xf numFmtId="0" fontId="0" fillId="5" borderId="0" xfId="0" applyFill="1"/>
    <xf numFmtId="2" fontId="0" fillId="5" borderId="0" xfId="0" applyNumberFormat="1" applyFill="1"/>
    <xf numFmtId="165" fontId="2" fillId="0" borderId="1" xfId="0" applyNumberFormat="1" applyFont="1" applyBorder="1"/>
    <xf numFmtId="0" fontId="0" fillId="10" borderId="8" xfId="0" applyFill="1" applyBorder="1"/>
    <xf numFmtId="0" fontId="0" fillId="10" borderId="11" xfId="0" applyFill="1" applyBorder="1"/>
    <xf numFmtId="175" fontId="0" fillId="0" borderId="11" xfId="0" applyNumberFormat="1" applyBorder="1"/>
    <xf numFmtId="0" fontId="17" fillId="0" borderId="0" xfId="0" applyFont="1"/>
    <xf numFmtId="173" fontId="0" fillId="0" borderId="0" xfId="0" applyNumberFormat="1"/>
    <xf numFmtId="172" fontId="0" fillId="4" borderId="5" xfId="0" applyNumberFormat="1" applyFill="1" applyBorder="1"/>
    <xf numFmtId="165" fontId="0" fillId="4" borderId="5" xfId="0" applyNumberFormat="1" applyFill="1" applyBorder="1"/>
    <xf numFmtId="165" fontId="0" fillId="2" borderId="8" xfId="0" applyNumberFormat="1" applyFill="1" applyBorder="1"/>
    <xf numFmtId="173" fontId="0" fillId="0" borderId="1" xfId="0" applyNumberFormat="1" applyBorder="1"/>
    <xf numFmtId="173" fontId="0" fillId="0" borderId="13" xfId="0" applyNumberFormat="1" applyBorder="1"/>
    <xf numFmtId="173" fontId="0" fillId="0" borderId="2" xfId="0" applyNumberFormat="1" applyBorder="1"/>
    <xf numFmtId="173" fontId="0" fillId="0" borderId="5" xfId="0" applyNumberFormat="1" applyBorder="1"/>
    <xf numFmtId="173" fontId="0" fillId="0" borderId="4" xfId="0" applyNumberFormat="1" applyBorder="1"/>
    <xf numFmtId="173" fontId="0" fillId="0" borderId="6" xfId="0" applyNumberFormat="1" applyBorder="1"/>
    <xf numFmtId="173" fontId="0" fillId="0" borderId="11" xfId="0" applyNumberFormat="1" applyBorder="1"/>
    <xf numFmtId="173" fontId="0" fillId="0" borderId="12" xfId="0" applyNumberFormat="1" applyBorder="1"/>
    <xf numFmtId="173" fontId="0" fillId="0" borderId="27" xfId="0" applyNumberFormat="1" applyBorder="1"/>
    <xf numFmtId="173" fontId="0" fillId="0" borderId="18" xfId="0" applyNumberFormat="1" applyBorder="1"/>
    <xf numFmtId="173" fontId="0" fillId="0" borderId="3" xfId="0" applyNumberFormat="1" applyBorder="1"/>
    <xf numFmtId="173" fontId="0" fillId="0" borderId="8" xfId="0" applyNumberFormat="1" applyBorder="1"/>
    <xf numFmtId="172" fontId="0" fillId="2" borderId="5" xfId="0" applyNumberFormat="1" applyFill="1" applyBorder="1"/>
    <xf numFmtId="10" fontId="0" fillId="0" borderId="7" xfId="1" applyNumberFormat="1" applyFont="1" applyBorder="1"/>
    <xf numFmtId="0" fontId="18" fillId="0" borderId="0" xfId="0" applyFont="1"/>
    <xf numFmtId="0" fontId="2" fillId="0" borderId="1" xfId="0" applyFont="1" applyBorder="1" applyAlignment="1">
      <alignment horizontal="center" vertical="center"/>
    </xf>
    <xf numFmtId="164" fontId="0" fillId="0" borderId="2" xfId="0" applyNumberFormat="1" applyBorder="1"/>
    <xf numFmtId="166" fontId="0" fillId="0" borderId="13" xfId="0" applyNumberFormat="1" applyBorder="1"/>
    <xf numFmtId="166" fontId="0" fillId="0" borderId="3" xfId="0" applyNumberFormat="1" applyBorder="1"/>
    <xf numFmtId="2" fontId="0" fillId="0" borderId="2" xfId="0" applyNumberFormat="1" applyBorder="1"/>
    <xf numFmtId="10" fontId="0" fillId="0" borderId="13" xfId="0" applyNumberFormat="1" applyBorder="1"/>
    <xf numFmtId="10" fontId="0" fillId="0" borderId="3" xfId="0" applyNumberFormat="1" applyBorder="1"/>
    <xf numFmtId="10" fontId="0" fillId="0" borderId="13" xfId="1" applyNumberFormat="1" applyFont="1" applyBorder="1"/>
    <xf numFmtId="174" fontId="0" fillId="0" borderId="2" xfId="0" applyNumberFormat="1" applyBorder="1"/>
    <xf numFmtId="167" fontId="0" fillId="0" borderId="6" xfId="0" applyNumberFormat="1" applyBorder="1"/>
  </cellXfs>
  <cellStyles count="4">
    <cellStyle name="Hipervínculo" xfId="3" builtinId="8"/>
    <cellStyle name="Millares 2" xfId="2" xr:uid="{0DF497A4-B1A4-4A8E-B2C1-3A725AAFDCC2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 queso y suero 
a partir de un volumen de leche</a:t>
            </a:r>
          </a:p>
        </c:rich>
      </c:tx>
      <c:layout>
        <c:manualLayout>
          <c:xMode val="edge"/>
          <c:yMode val="edge"/>
          <c:x val="0.45565266841644797"/>
          <c:y val="3.125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27755905511811"/>
          <c:y val="3.8115038115038115E-2"/>
          <c:w val="0.6046633858267717"/>
          <c:h val="0.797937548892739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Proceso!$A$5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(Proceso!$B$5,Proceso!$E$5,Proceso!$K$5)</c:f>
              <c:numCache>
                <c:formatCode>0.00</c:formatCode>
                <c:ptCount val="3"/>
                <c:pt idx="0" formatCode="#,##0_ ;[Red]\-#,##0\ ">
                  <c:v>90.46310268791936</c:v>
                </c:pt>
                <c:pt idx="1">
                  <c:v>5.3187048831794836</c:v>
                </c:pt>
                <c:pt idx="2">
                  <c:v>84.438163709595102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3-48B5-B17A-5901C9628EAB}"/>
            </c:ext>
          </c:extLst>
        </c:ser>
        <c:ser>
          <c:idx val="1"/>
          <c:order val="1"/>
          <c:tx>
            <c:strRef>
              <c:f>Proceso!$A$6</c:f>
              <c:strCache>
                <c:ptCount val="1"/>
                <c:pt idx="0">
                  <c:v>Materia grasa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(Proceso!$B$6,Proceso!$E$6,Proceso!$K$6)</c:f>
              <c:numCache>
                <c:formatCode>0.00</c:formatCode>
                <c:ptCount val="3"/>
                <c:pt idx="0" formatCode="#,##0.00_ ;[Red]\-#,##0.00\ ">
                  <c:v>3.8887208658483199</c:v>
                </c:pt>
                <c:pt idx="1">
                  <c:v>3.3094163717561234</c:v>
                </c:pt>
                <c:pt idx="2">
                  <c:v>9.8481763995673433E-2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3-48B5-B17A-5901C9628EAB}"/>
            </c:ext>
          </c:extLst>
        </c:ser>
        <c:ser>
          <c:idx val="2"/>
          <c:order val="2"/>
          <c:tx>
            <c:strRef>
              <c:f>Proceso!$A$7</c:f>
              <c:strCache>
                <c:ptCount val="1"/>
                <c:pt idx="0">
                  <c:v>Proteinas totales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(Proceso!$B$7,Proceso!$E$7,Proceso!$K$7)</c:f>
              <c:numCache>
                <c:formatCode>0.00</c:formatCode>
                <c:ptCount val="3"/>
                <c:pt idx="0" formatCode="#,##0.00_ ;[Red]\-#,##0.00\ ">
                  <c:v>3.3716037294323193</c:v>
                </c:pt>
                <c:pt idx="1">
                  <c:v>2.8579174238951097</c:v>
                </c:pt>
                <c:pt idx="2">
                  <c:v>0.50868630553720962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3-48B5-B17A-5901C9628EAB}"/>
            </c:ext>
          </c:extLst>
        </c:ser>
        <c:ser>
          <c:idx val="3"/>
          <c:order val="3"/>
          <c:tx>
            <c:strRef>
              <c:f>Proceso!$A$8</c:f>
              <c:strCache>
                <c:ptCount val="1"/>
                <c:pt idx="0">
                  <c:v>Lactosa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(Proceso!$B$8,Proceso!$E$8,Proceso!$K$8)</c:f>
              <c:numCache>
                <c:formatCode>0.00</c:formatCode>
                <c:ptCount val="3"/>
                <c:pt idx="0" formatCode="#,##0.00_ ;[Red]\-#,##0.00\ ">
                  <c:v>4.8</c:v>
                </c:pt>
                <c:pt idx="1">
                  <c:v>0.15128760556599422</c:v>
                </c:pt>
                <c:pt idx="2">
                  <c:v>4.6437123944340053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F3-48B5-B17A-5901C9628EAB}"/>
            </c:ext>
          </c:extLst>
        </c:ser>
        <c:ser>
          <c:idx val="4"/>
          <c:order val="4"/>
          <c:tx>
            <c:strRef>
              <c:f>Proceso!$A$9</c:f>
              <c:strCache>
                <c:ptCount val="1"/>
                <c:pt idx="0">
                  <c:v>Sales minerales y 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(Proceso!$B$9,Proceso!$E$9,Proceso!$K$9)</c:f>
              <c:numCache>
                <c:formatCode>0.00</c:formatCode>
                <c:ptCount val="3"/>
                <c:pt idx="0" formatCode="#,##0.00_ ;[Red]\-#,##0.00\ ">
                  <c:v>0.89999999999999991</c:v>
                </c:pt>
                <c:pt idx="1">
                  <c:v>0.18201790044658678</c:v>
                </c:pt>
                <c:pt idx="2">
                  <c:v>0.71298209955341318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3-48B5-B17A-5901C962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1321872"/>
        <c:axId val="61322288"/>
      </c:barChart>
      <c:catAx>
        <c:axId val="61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322288"/>
        <c:crosses val="autoZero"/>
        <c:auto val="1"/>
        <c:lblAlgn val="ctr"/>
        <c:lblOffset val="100"/>
        <c:noMultiLvlLbl val="0"/>
      </c:catAx>
      <c:valAx>
        <c:axId val="613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32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32786526684173"/>
          <c:y val="0.35381914318922192"/>
          <c:w val="0.20200546806649169"/>
          <c:h val="0.515620567011369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122703412073491E-2"/>
          <c:y val="5.0925925925925923E-2"/>
          <c:w val="0.67031627296587926"/>
          <c:h val="0.7665996705366784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Proceso!$A$5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(Proceso!$B$5,Proceso!$E$5,Proceso!$K$5)</c:f>
              <c:numCache>
                <c:formatCode>0.00</c:formatCode>
                <c:ptCount val="3"/>
                <c:pt idx="0" formatCode="#,##0_ ;[Red]\-#,##0\ ">
                  <c:v>90.46310268791936</c:v>
                </c:pt>
                <c:pt idx="1">
                  <c:v>5.3187048831794836</c:v>
                </c:pt>
                <c:pt idx="2">
                  <c:v>84.438163709595102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B-4C1C-BB0E-2A99308F1CA4}"/>
            </c:ext>
          </c:extLst>
        </c:ser>
        <c:ser>
          <c:idx val="1"/>
          <c:order val="1"/>
          <c:tx>
            <c:strRef>
              <c:f>Proceso!$A$6</c:f>
              <c:strCache>
                <c:ptCount val="1"/>
                <c:pt idx="0">
                  <c:v>Materia grasa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(Proceso!$B$6,Proceso!$E$6,Proceso!$K$6)</c:f>
              <c:numCache>
                <c:formatCode>0.00</c:formatCode>
                <c:ptCount val="3"/>
                <c:pt idx="0" formatCode="#,##0.00_ ;[Red]\-#,##0.00\ ">
                  <c:v>3.8887208658483199</c:v>
                </c:pt>
                <c:pt idx="1">
                  <c:v>3.3094163717561234</c:v>
                </c:pt>
                <c:pt idx="2">
                  <c:v>9.8481763995673433E-2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B-4C1C-BB0E-2A99308F1CA4}"/>
            </c:ext>
          </c:extLst>
        </c:ser>
        <c:ser>
          <c:idx val="2"/>
          <c:order val="2"/>
          <c:tx>
            <c:strRef>
              <c:f>Proceso!$A$7</c:f>
              <c:strCache>
                <c:ptCount val="1"/>
                <c:pt idx="0">
                  <c:v>Proteinas totales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(Proceso!$B$7,Proceso!$E$7,Proceso!$K$7)</c:f>
              <c:numCache>
                <c:formatCode>0.00</c:formatCode>
                <c:ptCount val="3"/>
                <c:pt idx="0" formatCode="#,##0.00_ ;[Red]\-#,##0.00\ ">
                  <c:v>3.3716037294323193</c:v>
                </c:pt>
                <c:pt idx="1">
                  <c:v>2.8579174238951097</c:v>
                </c:pt>
                <c:pt idx="2">
                  <c:v>0.50868630553720962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DB-4C1C-BB0E-2A99308F1CA4}"/>
            </c:ext>
          </c:extLst>
        </c:ser>
        <c:ser>
          <c:idx val="3"/>
          <c:order val="3"/>
          <c:tx>
            <c:strRef>
              <c:f>Proceso!$A$8</c:f>
              <c:strCache>
                <c:ptCount val="1"/>
                <c:pt idx="0">
                  <c:v>Lactosa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(Proceso!$B$8,Proceso!$E$8,Proceso!$K$8)</c:f>
              <c:numCache>
                <c:formatCode>0.00</c:formatCode>
                <c:ptCount val="3"/>
                <c:pt idx="0" formatCode="#,##0.00_ ;[Red]\-#,##0.00\ ">
                  <c:v>4.8</c:v>
                </c:pt>
                <c:pt idx="1">
                  <c:v>0.15128760556599422</c:v>
                </c:pt>
                <c:pt idx="2">
                  <c:v>4.6437123944340053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DB-4C1C-BB0E-2A99308F1CA4}"/>
            </c:ext>
          </c:extLst>
        </c:ser>
        <c:ser>
          <c:idx val="4"/>
          <c:order val="4"/>
          <c:tx>
            <c:strRef>
              <c:f>Proceso!$A$9</c:f>
              <c:strCache>
                <c:ptCount val="1"/>
                <c:pt idx="0">
                  <c:v>Sales minerales y 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(Proceso!$B$9,Proceso!$E$9,Proceso!$K$9)</c:f>
              <c:numCache>
                <c:formatCode>0.00</c:formatCode>
                <c:ptCount val="3"/>
                <c:pt idx="0" formatCode="#,##0.00_ ;[Red]\-#,##0.00\ ">
                  <c:v>0.89999999999999991</c:v>
                </c:pt>
                <c:pt idx="1">
                  <c:v>0.18201790044658678</c:v>
                </c:pt>
                <c:pt idx="2">
                  <c:v>0.71298209955341318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DB-4C1C-BB0E-2A99308F1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07226832"/>
        <c:axId val="307228912"/>
      </c:barChart>
      <c:catAx>
        <c:axId val="3072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228912"/>
        <c:crosses val="autoZero"/>
        <c:auto val="1"/>
        <c:lblAlgn val="ctr"/>
        <c:lblOffset val="100"/>
        <c:noMultiLvlLbl val="0"/>
      </c:catAx>
      <c:valAx>
        <c:axId val="3072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2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8342082239726"/>
          <c:y val="0.3046861329833771"/>
          <c:w val="0.19644991251093613"/>
          <c:h val="0.53877588218139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Proceso!$A$5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(Proceso!$E$5,Proceso!$O$5)</c:f>
              <c:numCache>
                <c:formatCode>0.0</c:formatCode>
                <c:ptCount val="2"/>
                <c:pt idx="0" formatCode="0.00">
                  <c:v>5.3187048831794836</c:v>
                </c:pt>
                <c:pt idx="1">
                  <c:v>3.9003835809982865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A-4A13-8DD8-AAC8C429FDCB}"/>
            </c:ext>
          </c:extLst>
        </c:ser>
        <c:ser>
          <c:idx val="0"/>
          <c:order val="1"/>
          <c:tx>
            <c:strRef>
              <c:f>Proceso!$A$6</c:f>
              <c:strCache>
                <c:ptCount val="1"/>
                <c:pt idx="0">
                  <c:v>Materia grasa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(Proceso!$E$6,Proceso!$O$6)</c:f>
              <c:numCache>
                <c:formatCode>0.0</c:formatCode>
                <c:ptCount val="2"/>
                <c:pt idx="0" formatCode="0.00">
                  <c:v>3.3094163717561234</c:v>
                </c:pt>
                <c:pt idx="1">
                  <c:v>3.3094163717561234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A-4A13-8DD8-AAC8C429FDCB}"/>
            </c:ext>
          </c:extLst>
        </c:ser>
        <c:ser>
          <c:idx val="2"/>
          <c:order val="2"/>
          <c:tx>
            <c:strRef>
              <c:f>Proceso!$A$7</c:f>
              <c:strCache>
                <c:ptCount val="1"/>
                <c:pt idx="0">
                  <c:v>Proteinas totales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(Proceso!$E$7,Proceso!$O$7)</c:f>
              <c:numCache>
                <c:formatCode>0.0</c:formatCode>
                <c:ptCount val="2"/>
                <c:pt idx="0" formatCode="0.00">
                  <c:v>2.8579174238951097</c:v>
                </c:pt>
                <c:pt idx="1">
                  <c:v>2.8579174238951097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A-4A13-8DD8-AAC8C429FDCB}"/>
            </c:ext>
          </c:extLst>
        </c:ser>
        <c:ser>
          <c:idx val="3"/>
          <c:order val="3"/>
          <c:tx>
            <c:strRef>
              <c:f>Proceso!$A$8</c:f>
              <c:strCache>
                <c:ptCount val="1"/>
                <c:pt idx="0">
                  <c:v>Lactosa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(Proceso!$E$8,Proceso!$O$8)</c:f>
              <c:numCache>
                <c:formatCode>0.0</c:formatCode>
                <c:ptCount val="2"/>
                <c:pt idx="0" formatCode="0.00">
                  <c:v>0.15128760556599422</c:v>
                </c:pt>
                <c:pt idx="1">
                  <c:v>0.15128760556599422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A-4A13-8DD8-AAC8C429FDCB}"/>
            </c:ext>
          </c:extLst>
        </c:ser>
        <c:ser>
          <c:idx val="4"/>
          <c:order val="4"/>
          <c:tx>
            <c:strRef>
              <c:f>Proceso!$A$9</c:f>
              <c:strCache>
                <c:ptCount val="1"/>
                <c:pt idx="0">
                  <c:v>Sales minerales y 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(Proceso!$E$9,Proceso!$O$9)</c:f>
              <c:numCache>
                <c:formatCode>0.0</c:formatCode>
                <c:ptCount val="2"/>
                <c:pt idx="0" formatCode="0.00">
                  <c:v>0.18201790044658678</c:v>
                </c:pt>
                <c:pt idx="1">
                  <c:v>0.18201790044658678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A-4A13-8DD8-AAC8C429F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816976"/>
        <c:axId val="786815728"/>
      </c:barChart>
      <c:catAx>
        <c:axId val="7868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815728"/>
        <c:crosses val="autoZero"/>
        <c:auto val="1"/>
        <c:lblAlgn val="ctr"/>
        <c:lblOffset val="100"/>
        <c:noMultiLvlLbl val="0"/>
      </c:catAx>
      <c:valAx>
        <c:axId val="7868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81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336913</xdr:colOff>
      <xdr:row>16</xdr:row>
      <xdr:rowOff>109194</xdr:rowOff>
    </xdr:from>
    <xdr:to>
      <xdr:col>12</xdr:col>
      <xdr:colOff>322086</xdr:colOff>
      <xdr:row>32</xdr:row>
      <xdr:rowOff>56100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DD6873-C5F2-4264-93CF-DB2EBBB5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6627" y="3021123"/>
          <a:ext cx="4720459" cy="2819646"/>
        </a:xfrm>
        <a:prstGeom prst="rect">
          <a:avLst/>
        </a:prstGeom>
      </xdr:spPr>
    </xdr:pic>
    <xdr:clientData/>
  </xdr:twoCellAnchor>
  <xdr:twoCellAnchor editAs="oneCell">
    <xdr:from>
      <xdr:col>6</xdr:col>
      <xdr:colOff>468630</xdr:colOff>
      <xdr:row>0</xdr:row>
      <xdr:rowOff>0</xdr:rowOff>
    </xdr:from>
    <xdr:to>
      <xdr:col>13</xdr:col>
      <xdr:colOff>669486</xdr:colOff>
      <xdr:row>16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B4A0A-1522-4D60-9A6B-A007A7376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8344" y="0"/>
          <a:ext cx="5731071" cy="2911929"/>
        </a:xfrm>
        <a:prstGeom prst="rect">
          <a:avLst/>
        </a:prstGeom>
      </xdr:spPr>
    </xdr:pic>
    <xdr:clientData/>
  </xdr:twoCellAnchor>
  <xdr:twoCellAnchor editAs="oneCell">
    <xdr:from>
      <xdr:col>5</xdr:col>
      <xdr:colOff>736046</xdr:colOff>
      <xdr:row>33</xdr:row>
      <xdr:rowOff>49530</xdr:rowOff>
    </xdr:from>
    <xdr:to>
      <xdr:col>14</xdr:col>
      <xdr:colOff>344348</xdr:colOff>
      <xdr:row>61</xdr:row>
      <xdr:rowOff>134460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D1A934-B311-419C-92F3-FACFF344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7021" y="6107430"/>
          <a:ext cx="6723477" cy="5152230"/>
        </a:xfrm>
        <a:prstGeom prst="rect">
          <a:avLst/>
        </a:prstGeom>
      </xdr:spPr>
    </xdr:pic>
    <xdr:clientData/>
  </xdr:twoCellAnchor>
  <xdr:twoCellAnchor>
    <xdr:from>
      <xdr:col>3</xdr:col>
      <xdr:colOff>571501</xdr:colOff>
      <xdr:row>19</xdr:row>
      <xdr:rowOff>95250</xdr:rowOff>
    </xdr:from>
    <xdr:to>
      <xdr:col>6</xdr:col>
      <xdr:colOff>15241</xdr:colOff>
      <xdr:row>24</xdr:row>
      <xdr:rowOff>53340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2E69CBD-8720-4F9D-9B03-B0447A599523}"/>
            </a:ext>
          </a:extLst>
        </xdr:cNvPr>
        <xdr:cNvSpPr txBox="1"/>
      </xdr:nvSpPr>
      <xdr:spPr>
        <a:xfrm>
          <a:off x="4953001" y="3619500"/>
          <a:ext cx="3653790" cy="86296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 b="1"/>
            <a:t>¡ Modificar sólo los valores en las zonas en verde!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</xdr:colOff>
      <xdr:row>15</xdr:row>
      <xdr:rowOff>51435</xdr:rowOff>
    </xdr:from>
    <xdr:to>
      <xdr:col>16</xdr:col>
      <xdr:colOff>586740</xdr:colOff>
      <xdr:row>31</xdr:row>
      <xdr:rowOff>36195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CDE8A2-2789-4D80-BD3D-9901F4B8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641985</xdr:colOff>
      <xdr:row>15</xdr:row>
      <xdr:rowOff>38099</xdr:rowOff>
    </xdr:from>
    <xdr:to>
      <xdr:col>22</xdr:col>
      <xdr:colOff>474345</xdr:colOff>
      <xdr:row>31</xdr:row>
      <xdr:rowOff>47624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87476F-764B-4FDE-8509-BDADD2481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211455</xdr:colOff>
      <xdr:row>2</xdr:row>
      <xdr:rowOff>171450</xdr:rowOff>
    </xdr:from>
    <xdr:to>
      <xdr:col>19</xdr:col>
      <xdr:colOff>382905</xdr:colOff>
      <xdr:row>13</xdr:row>
      <xdr:rowOff>118110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52FC2-8952-4EA5-96D2-E084789AE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al.archives-ouvertes.fr/hal-00928929/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J38"/>
  <sheetViews>
    <sheetView tabSelected="1" zoomScaleNormal="100" workbookViewId="0">
      <selection activeCell="B7" sqref="B7:B10"/>
    </sheetView>
  </sheetViews>
  <sheetFormatPr baseColWidth="10" defaultRowHeight="15" x14ac:dyDescent="0.25"/>
  <cols>
    <col min="1" max="1" width="40.28515625" customWidth="1"/>
    <col min="3" max="3" width="12.140625" customWidth="1"/>
    <col min="4" max="4" width="8.42578125" customWidth="1"/>
    <col min="5" max="5" width="41.28515625" customWidth="1"/>
  </cols>
  <sheetData>
    <row r="1" spans="1:6" ht="18.75" x14ac:dyDescent="0.3">
      <c r="A1" s="115" t="s">
        <v>98</v>
      </c>
      <c r="E1" s="115" t="s">
        <v>97</v>
      </c>
    </row>
    <row r="2" spans="1:6" x14ac:dyDescent="0.25">
      <c r="A2" s="120" t="s">
        <v>92</v>
      </c>
      <c r="B2" s="31"/>
      <c r="E2" s="42" t="s">
        <v>92</v>
      </c>
      <c r="F2" s="31"/>
    </row>
    <row r="3" spans="1:6" x14ac:dyDescent="0.25">
      <c r="A3" s="37" t="s">
        <v>94</v>
      </c>
      <c r="B3" s="40">
        <v>0.55000000000000004</v>
      </c>
      <c r="E3" s="116" t="s">
        <v>94</v>
      </c>
      <c r="F3" s="40">
        <v>0.49990000000000001</v>
      </c>
    </row>
    <row r="4" spans="1:6" x14ac:dyDescent="0.25">
      <c r="A4" s="121" t="s">
        <v>95</v>
      </c>
      <c r="B4" s="118">
        <v>0.28000000000000003</v>
      </c>
      <c r="E4" s="117" t="s">
        <v>95</v>
      </c>
      <c r="F4" s="118">
        <v>0.25990000000000002</v>
      </c>
    </row>
    <row r="5" spans="1:6" ht="15.75" x14ac:dyDescent="0.25">
      <c r="A5" s="122" t="s">
        <v>99</v>
      </c>
      <c r="B5" s="31"/>
      <c r="E5" s="128" t="s">
        <v>93</v>
      </c>
      <c r="F5" s="31"/>
    </row>
    <row r="6" spans="1:6" x14ac:dyDescent="0.25">
      <c r="A6" s="123" t="s">
        <v>105</v>
      </c>
      <c r="B6" s="28"/>
      <c r="C6" s="177" t="s">
        <v>158</v>
      </c>
      <c r="D6" s="177"/>
      <c r="E6" s="116" t="s">
        <v>18</v>
      </c>
      <c r="F6" s="196">
        <v>10.71</v>
      </c>
    </row>
    <row r="7" spans="1:6" x14ac:dyDescent="0.25">
      <c r="A7" s="124" t="s">
        <v>137</v>
      </c>
      <c r="B7" s="175">
        <f>C7*B12*1000</f>
        <v>38.887208658483196</v>
      </c>
      <c r="C7" s="179">
        <v>3.7600000000000001E-2</v>
      </c>
      <c r="E7" s="116" t="s">
        <v>37</v>
      </c>
      <c r="F7" s="67">
        <v>85</v>
      </c>
    </row>
    <row r="8" spans="1:6" x14ac:dyDescent="0.25">
      <c r="A8" s="124" t="s">
        <v>138</v>
      </c>
      <c r="B8" s="175">
        <f>C8*B12*1000</f>
        <v>33.716037294323193</v>
      </c>
      <c r="C8" s="179">
        <v>3.2599999999999997E-2</v>
      </c>
      <c r="E8" s="116" t="s">
        <v>20</v>
      </c>
      <c r="F8" s="197">
        <v>3.0259999999999998</v>
      </c>
    </row>
    <row r="9" spans="1:6" x14ac:dyDescent="0.25">
      <c r="A9" s="124" t="s">
        <v>139</v>
      </c>
      <c r="B9" s="130">
        <v>48</v>
      </c>
      <c r="C9" s="38">
        <f>C7/C8</f>
        <v>1.1533742331288346</v>
      </c>
      <c r="D9" s="38"/>
      <c r="E9" s="116" t="s">
        <v>21</v>
      </c>
      <c r="F9" s="197">
        <v>2.7629999999999999</v>
      </c>
    </row>
    <row r="10" spans="1:6" x14ac:dyDescent="0.25">
      <c r="A10" s="124" t="s">
        <v>140</v>
      </c>
      <c r="B10" s="130">
        <v>9</v>
      </c>
      <c r="E10" s="117" t="s">
        <v>40</v>
      </c>
      <c r="F10" s="142">
        <v>0</v>
      </c>
    </row>
    <row r="11" spans="1:6" x14ac:dyDescent="0.25">
      <c r="A11" s="124" t="s">
        <v>136</v>
      </c>
      <c r="B11" s="175">
        <f>B12*1000-SUM(B7:B10)</f>
        <v>904.63102687919354</v>
      </c>
    </row>
    <row r="12" spans="1:6" x14ac:dyDescent="0.25">
      <c r="A12" s="148" t="s">
        <v>143</v>
      </c>
      <c r="B12" s="26">
        <f>(-0.2307*10^(-2)*C12^2-0.2655*C12+1040.51-C7*(-0.478*10^(-4)*C12^2+0.969*10^(-2)*C12+0.967))/1000</f>
        <v>1.034234272832</v>
      </c>
      <c r="C12">
        <v>20</v>
      </c>
      <c r="D12" t="s">
        <v>159</v>
      </c>
      <c r="E12" s="128" t="s">
        <v>166</v>
      </c>
      <c r="F12" s="183" t="s">
        <v>164</v>
      </c>
    </row>
    <row r="13" spans="1:6" x14ac:dyDescent="0.25">
      <c r="A13" s="123" t="s">
        <v>107</v>
      </c>
      <c r="B13" s="28"/>
      <c r="E13" s="185" t="s">
        <v>167</v>
      </c>
      <c r="F13" s="191">
        <v>0.36199999999999999</v>
      </c>
    </row>
    <row r="14" spans="1:6" x14ac:dyDescent="0.25">
      <c r="A14" s="124" t="s">
        <v>3</v>
      </c>
      <c r="B14" s="175">
        <f>C14/100*B27*1000</f>
        <v>423.62953279999999</v>
      </c>
      <c r="C14" s="182">
        <v>43</v>
      </c>
      <c r="D14" t="s">
        <v>160</v>
      </c>
      <c r="E14" s="117" t="s">
        <v>170</v>
      </c>
      <c r="F14" s="192">
        <v>2.1000000000000001E-2</v>
      </c>
    </row>
    <row r="15" spans="1:6" x14ac:dyDescent="0.25">
      <c r="A15" s="124" t="s">
        <v>7</v>
      </c>
      <c r="B15" s="119">
        <v>5.91</v>
      </c>
      <c r="E15" s="186" t="s">
        <v>168</v>
      </c>
      <c r="F15" s="190">
        <f>SUM(F13:F14)</f>
        <v>0.38300000000000001</v>
      </c>
    </row>
    <row r="16" spans="1:6" x14ac:dyDescent="0.25">
      <c r="A16" s="125" t="s">
        <v>45</v>
      </c>
      <c r="B16" s="28"/>
      <c r="E16" s="116" t="s">
        <v>137</v>
      </c>
      <c r="F16" s="26">
        <f>B17*B7/1000</f>
        <v>0.1915</v>
      </c>
    </row>
    <row r="17" spans="1:10" x14ac:dyDescent="0.25">
      <c r="A17" s="124" t="s">
        <v>3</v>
      </c>
      <c r="B17" s="131">
        <f>F15/B7*C17*1000</f>
        <v>4.9244984817963919</v>
      </c>
      <c r="C17" s="184">
        <v>0.5</v>
      </c>
      <c r="E17" s="117" t="s">
        <v>165</v>
      </c>
      <c r="F17" s="187">
        <f>B18*B8/1000</f>
        <v>0.19150000000000003</v>
      </c>
    </row>
    <row r="18" spans="1:10" x14ac:dyDescent="0.25">
      <c r="A18" s="124" t="s">
        <v>7</v>
      </c>
      <c r="B18" s="132">
        <f>F15/B8*C18*1000</f>
        <v>5.6797896599860236</v>
      </c>
      <c r="C18" s="181">
        <f>1-C17</f>
        <v>0.5</v>
      </c>
      <c r="G18" s="97"/>
    </row>
    <row r="19" spans="1:10" ht="15.75" x14ac:dyDescent="0.25">
      <c r="A19" s="122" t="s">
        <v>169</v>
      </c>
      <c r="B19" s="31"/>
      <c r="C19" s="38"/>
      <c r="F19" s="163"/>
      <c r="G19" s="97"/>
    </row>
    <row r="20" spans="1:10" x14ac:dyDescent="0.25">
      <c r="A20" s="126" t="s">
        <v>106</v>
      </c>
      <c r="B20" s="28"/>
    </row>
    <row r="21" spans="1:10" x14ac:dyDescent="0.25">
      <c r="A21" s="127" t="s">
        <v>102</v>
      </c>
      <c r="B21" s="129">
        <v>1</v>
      </c>
    </row>
    <row r="22" spans="1:10" x14ac:dyDescent="0.25">
      <c r="A22" s="127" t="s">
        <v>103</v>
      </c>
      <c r="B22" s="129">
        <v>0</v>
      </c>
    </row>
    <row r="23" spans="1:10" x14ac:dyDescent="0.25">
      <c r="A23" s="126" t="s">
        <v>104</v>
      </c>
      <c r="B23" s="28"/>
      <c r="I23" s="38"/>
      <c r="J23" s="163"/>
    </row>
    <row r="24" spans="1:10" x14ac:dyDescent="0.25">
      <c r="A24" s="127" t="s">
        <v>100</v>
      </c>
      <c r="B24" s="129"/>
      <c r="I24" s="38"/>
      <c r="J24" s="163"/>
    </row>
    <row r="25" spans="1:10" x14ac:dyDescent="0.25">
      <c r="A25" s="133" t="s">
        <v>101</v>
      </c>
      <c r="B25" s="134">
        <v>0.94650000000000001</v>
      </c>
      <c r="J25" s="163"/>
    </row>
    <row r="26" spans="1:10" x14ac:dyDescent="0.25">
      <c r="A26" s="128" t="s">
        <v>108</v>
      </c>
      <c r="B26" s="31"/>
    </row>
    <row r="27" spans="1:10" x14ac:dyDescent="0.25">
      <c r="A27" s="135" t="s">
        <v>109</v>
      </c>
      <c r="B27" s="193">
        <f>(-0.2307*10^(-2)*C12^2-0.2655*C12+1040.51-C14*(-0.478*10^(-4)*C12^2+0.969*10^(-2)*C12+0.967))/1000</f>
        <v>0.98518496</v>
      </c>
      <c r="I27" s="38"/>
      <c r="J27" s="163"/>
    </row>
    <row r="28" spans="1:10" x14ac:dyDescent="0.25">
      <c r="I28" s="38"/>
      <c r="J28" s="163"/>
    </row>
    <row r="29" spans="1:10" x14ac:dyDescent="0.25">
      <c r="J29" s="163"/>
    </row>
    <row r="38" spans="1:1" x14ac:dyDescent="0.25">
      <c r="A38" s="10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4E44-83BF-40DD-9F3F-72535AA9A850}">
  <sheetPr>
    <tabColor rgb="FFB1A0C7"/>
    <pageSetUpPr fitToPage="1"/>
  </sheetPr>
  <dimension ref="A1:D57"/>
  <sheetViews>
    <sheetView zoomScaleNormal="100" zoomScaleSheetLayoutView="89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baseColWidth="10" defaultRowHeight="15" customHeight="1" x14ac:dyDescent="0.25"/>
  <cols>
    <col min="1" max="1" width="50.28515625" customWidth="1"/>
    <col min="4" max="4" width="11.85546875" bestFit="1" customWidth="1"/>
  </cols>
  <sheetData>
    <row r="1" spans="1:2" ht="30.75" customHeight="1" x14ac:dyDescent="0.25">
      <c r="A1" s="96" t="s">
        <v>52</v>
      </c>
      <c r="B1" s="114" t="s">
        <v>86</v>
      </c>
    </row>
    <row r="2" spans="1:2" x14ac:dyDescent="0.25">
      <c r="A2" s="63" t="s">
        <v>63</v>
      </c>
      <c r="B2" s="61"/>
    </row>
    <row r="3" spans="1:2" x14ac:dyDescent="0.25">
      <c r="A3" s="92" t="s">
        <v>62</v>
      </c>
      <c r="B3" s="141">
        <f>Datos!B3</f>
        <v>0.55000000000000004</v>
      </c>
    </row>
    <row r="4" spans="1:2" x14ac:dyDescent="0.25">
      <c r="A4" s="92" t="s">
        <v>3</v>
      </c>
      <c r="B4" s="141">
        <f>Datos!B4</f>
        <v>0.28000000000000003</v>
      </c>
    </row>
    <row r="5" spans="1:2" x14ac:dyDescent="0.25">
      <c r="A5" s="93" t="s">
        <v>60</v>
      </c>
      <c r="B5" s="62">
        <f>B4/B3</f>
        <v>0.50909090909090915</v>
      </c>
    </row>
    <row r="6" spans="1:2" x14ac:dyDescent="0.25">
      <c r="A6" s="92" t="s">
        <v>61</v>
      </c>
      <c r="B6" s="62">
        <f>(1-B3)/(1-B3*B5)</f>
        <v>0.625</v>
      </c>
    </row>
    <row r="7" spans="1:2" x14ac:dyDescent="0.25">
      <c r="A7" s="92" t="s">
        <v>2</v>
      </c>
      <c r="B7" s="90">
        <f>B3-B4</f>
        <v>0.27</v>
      </c>
    </row>
    <row r="8" spans="1:2" x14ac:dyDescent="0.25">
      <c r="A8" s="43"/>
      <c r="B8" s="65"/>
    </row>
    <row r="9" spans="1:2" x14ac:dyDescent="0.25">
      <c r="A9" s="43" t="s">
        <v>64</v>
      </c>
      <c r="B9" s="60">
        <f>B45</f>
        <v>33.716037294323193</v>
      </c>
    </row>
    <row r="10" spans="1:2" x14ac:dyDescent="0.25">
      <c r="A10" s="43" t="s">
        <v>87</v>
      </c>
      <c r="B10" s="136">
        <f>Datos!B25</f>
        <v>0.94650000000000001</v>
      </c>
    </row>
    <row r="11" spans="1:2" x14ac:dyDescent="0.25">
      <c r="A11" s="43" t="s">
        <v>96</v>
      </c>
      <c r="B11" s="159">
        <f>B14/B17</f>
        <v>0.85102955082742304</v>
      </c>
    </row>
    <row r="12" spans="1:2" x14ac:dyDescent="0.25">
      <c r="A12" s="43" t="s">
        <v>134</v>
      </c>
      <c r="B12" s="61">
        <f>B10*B9</f>
        <v>31.912229299076902</v>
      </c>
    </row>
    <row r="13" spans="1:2" x14ac:dyDescent="0.25">
      <c r="A13" s="43" t="s">
        <v>88</v>
      </c>
      <c r="B13" s="64">
        <f>B7*1000/B12</f>
        <v>8.4607063163653713</v>
      </c>
    </row>
    <row r="14" spans="1:2" x14ac:dyDescent="0.25">
      <c r="A14" s="43" t="s">
        <v>89</v>
      </c>
      <c r="B14" s="61">
        <f>B4*1000/B13</f>
        <v>33.09416371756123</v>
      </c>
    </row>
    <row r="15" spans="1:2" x14ac:dyDescent="0.25">
      <c r="A15" s="43" t="s">
        <v>72</v>
      </c>
      <c r="B15" s="94">
        <f>B17-B14</f>
        <v>5.7930449409219662</v>
      </c>
    </row>
    <row r="16" spans="1:2" x14ac:dyDescent="0.25">
      <c r="A16" s="43" t="s">
        <v>80</v>
      </c>
      <c r="B16" s="62">
        <f>B15/B17</f>
        <v>0.14897044917257699</v>
      </c>
    </row>
    <row r="17" spans="1:4" x14ac:dyDescent="0.25">
      <c r="A17" s="43" t="s">
        <v>73</v>
      </c>
      <c r="B17" s="61">
        <f>B42</f>
        <v>38.887208658483196</v>
      </c>
    </row>
    <row r="18" spans="1:4" x14ac:dyDescent="0.25">
      <c r="A18" s="103" t="s">
        <v>79</v>
      </c>
      <c r="B18" s="104">
        <f>B17*B13</f>
        <v>329.01325192264693</v>
      </c>
      <c r="C18" s="38"/>
    </row>
    <row r="19" spans="1:4" x14ac:dyDescent="0.25">
      <c r="A19" s="105" t="s">
        <v>78</v>
      </c>
      <c r="B19" s="106">
        <f>B9*B13</f>
        <v>285.26148969889067</v>
      </c>
    </row>
    <row r="20" spans="1:4" x14ac:dyDescent="0.25">
      <c r="A20" s="73" t="s">
        <v>76</v>
      </c>
      <c r="B20" s="59">
        <f>+B50/B13</f>
        <v>0</v>
      </c>
    </row>
    <row r="21" spans="1:4" x14ac:dyDescent="0.25">
      <c r="A21" s="70" t="s">
        <v>75</v>
      </c>
      <c r="B21" s="71">
        <f>B15-B20</f>
        <v>5.7930449409219662</v>
      </c>
    </row>
    <row r="22" spans="1:4" x14ac:dyDescent="0.25">
      <c r="A22" s="70" t="s">
        <v>74</v>
      </c>
      <c r="B22" s="74">
        <f>+B21/B17</f>
        <v>0.14897044917257699</v>
      </c>
    </row>
    <row r="23" spans="1:4" x14ac:dyDescent="0.25">
      <c r="A23" s="58" t="s">
        <v>77</v>
      </c>
      <c r="B23" s="75">
        <f>+B17-B20</f>
        <v>38.887208658483196</v>
      </c>
    </row>
    <row r="24" spans="1:4" x14ac:dyDescent="0.25">
      <c r="A24" s="100" t="s">
        <v>90</v>
      </c>
      <c r="B24" s="101">
        <f>B$23*B$13</f>
        <v>329.01325192264693</v>
      </c>
    </row>
    <row r="25" spans="1:4" x14ac:dyDescent="0.25">
      <c r="A25" s="100" t="s">
        <v>91</v>
      </c>
      <c r="B25" s="102">
        <f>B$9*B$13</f>
        <v>285.26148969889067</v>
      </c>
    </row>
    <row r="26" spans="1:4" x14ac:dyDescent="0.25">
      <c r="A26" s="55" t="s">
        <v>51</v>
      </c>
      <c r="B26" s="77"/>
      <c r="D26" s="5"/>
    </row>
    <row r="27" spans="1:4" x14ac:dyDescent="0.25">
      <c r="A27" s="78" t="s">
        <v>50</v>
      </c>
      <c r="B27" s="136">
        <f>Datos!B21</f>
        <v>1</v>
      </c>
      <c r="D27" s="5"/>
    </row>
    <row r="28" spans="1:4" x14ac:dyDescent="0.25">
      <c r="A28" s="78" t="s">
        <v>49</v>
      </c>
      <c r="B28" s="136">
        <f>Datos!B22</f>
        <v>0</v>
      </c>
      <c r="D28" s="5"/>
    </row>
    <row r="29" spans="1:4" x14ac:dyDescent="0.25">
      <c r="A29" s="57"/>
      <c r="B29" s="79">
        <f>SUM(B27:B28)</f>
        <v>1</v>
      </c>
    </row>
    <row r="30" spans="1:4" x14ac:dyDescent="0.25">
      <c r="A30" s="56"/>
      <c r="B30" s="91">
        <f>B32/B34</f>
        <v>1.1533742331288344</v>
      </c>
    </row>
    <row r="31" spans="1:4" x14ac:dyDescent="0.25">
      <c r="A31" s="55" t="s">
        <v>48</v>
      </c>
      <c r="B31" s="54"/>
    </row>
    <row r="32" spans="1:4" x14ac:dyDescent="0.25">
      <c r="A32" s="78" t="s">
        <v>66</v>
      </c>
      <c r="B32" s="137">
        <f>Datos!B7</f>
        <v>38.887208658483196</v>
      </c>
      <c r="D32" s="5"/>
    </row>
    <row r="33" spans="1:4" x14ac:dyDescent="0.25">
      <c r="A33" s="78" t="s">
        <v>55</v>
      </c>
      <c r="B33" s="138">
        <f>Datos!B14</f>
        <v>423.62953279999999</v>
      </c>
      <c r="D33" s="5"/>
    </row>
    <row r="34" spans="1:4" x14ac:dyDescent="0.25">
      <c r="A34" s="81" t="s">
        <v>67</v>
      </c>
      <c r="B34" s="137">
        <f>Datos!B8</f>
        <v>33.716037294323193</v>
      </c>
      <c r="D34" s="5"/>
    </row>
    <row r="35" spans="1:4" x14ac:dyDescent="0.25">
      <c r="A35" s="82" t="s">
        <v>58</v>
      </c>
      <c r="B35" s="138">
        <f>Datos!B15</f>
        <v>5.91</v>
      </c>
    </row>
    <row r="36" spans="1:4" x14ac:dyDescent="0.25">
      <c r="A36" s="83" t="s">
        <v>65</v>
      </c>
      <c r="B36" s="139">
        <f>Datos!B12/1000</f>
        <v>1.034234272832E-3</v>
      </c>
    </row>
    <row r="37" spans="1:4" x14ac:dyDescent="0.25">
      <c r="A37" s="83" t="s">
        <v>47</v>
      </c>
      <c r="B37" s="139">
        <f>Datos!B27</f>
        <v>0.98518496</v>
      </c>
    </row>
    <row r="38" spans="1:4" x14ac:dyDescent="0.25">
      <c r="A38" s="72"/>
      <c r="B38" s="84">
        <f>SUMPRODUCT(B36:B37,B27:B28)</f>
        <v>1.034234272832E-3</v>
      </c>
    </row>
    <row r="39" spans="1:4" x14ac:dyDescent="0.25">
      <c r="A39" s="52" t="s">
        <v>56</v>
      </c>
      <c r="B39" s="53"/>
    </row>
    <row r="40" spans="1:4" x14ac:dyDescent="0.25">
      <c r="A40" s="83" t="s">
        <v>66</v>
      </c>
      <c r="B40" s="80">
        <f>(B32*B27)</f>
        <v>38.887208658483196</v>
      </c>
    </row>
    <row r="41" spans="1:4" x14ac:dyDescent="0.25">
      <c r="A41" s="83" t="s">
        <v>57</v>
      </c>
      <c r="B41" s="80">
        <f>(B33*B28)</f>
        <v>0</v>
      </c>
      <c r="C41" s="66"/>
      <c r="D41" s="36"/>
    </row>
    <row r="42" spans="1:4" x14ac:dyDescent="0.25">
      <c r="A42" s="85"/>
      <c r="B42" s="86">
        <f>SUM(B40:B41)</f>
        <v>38.887208658483196</v>
      </c>
    </row>
    <row r="43" spans="1:4" x14ac:dyDescent="0.25">
      <c r="A43" s="83" t="s">
        <v>67</v>
      </c>
      <c r="B43" s="80">
        <f>B34*B27</f>
        <v>33.716037294323193</v>
      </c>
    </row>
    <row r="44" spans="1:4" x14ac:dyDescent="0.25">
      <c r="A44" s="83" t="s">
        <v>58</v>
      </c>
      <c r="B44" s="80">
        <f>B35*B28</f>
        <v>0</v>
      </c>
    </row>
    <row r="45" spans="1:4" x14ac:dyDescent="0.25">
      <c r="A45" s="87"/>
      <c r="B45" s="80">
        <f>SUM(B43:B44)</f>
        <v>33.716037294323193</v>
      </c>
    </row>
    <row r="46" spans="1:4" x14ac:dyDescent="0.25">
      <c r="A46" s="88" t="s">
        <v>59</v>
      </c>
      <c r="B46" s="69">
        <f>+B42/B45</f>
        <v>1.1533742331288344</v>
      </c>
    </row>
    <row r="47" spans="1:4" x14ac:dyDescent="0.25">
      <c r="A47" s="52" t="s">
        <v>46</v>
      </c>
      <c r="B47" s="51"/>
    </row>
    <row r="48" spans="1:4" x14ac:dyDescent="0.25">
      <c r="A48" s="83" t="s">
        <v>68</v>
      </c>
      <c r="B48" s="75">
        <f>+B18*(B40)/B42</f>
        <v>329.01325192264693</v>
      </c>
    </row>
    <row r="49" spans="1:2" x14ac:dyDescent="0.25">
      <c r="A49" s="83" t="s">
        <v>69</v>
      </c>
      <c r="B49" s="75">
        <f>+B19*(B43)/B45</f>
        <v>285.26148969889067</v>
      </c>
    </row>
    <row r="50" spans="1:2" x14ac:dyDescent="0.25">
      <c r="A50" s="83" t="s">
        <v>70</v>
      </c>
      <c r="B50" s="75">
        <f>+B$18*(B41)/B$42</f>
        <v>0</v>
      </c>
    </row>
    <row r="51" spans="1:2" x14ac:dyDescent="0.25">
      <c r="A51" s="85" t="s">
        <v>71</v>
      </c>
      <c r="B51" s="76">
        <f>+B$19*(B44)/B$45</f>
        <v>0</v>
      </c>
    </row>
    <row r="52" spans="1:2" x14ac:dyDescent="0.25">
      <c r="A52" s="50" t="s">
        <v>45</v>
      </c>
      <c r="B52" s="89"/>
    </row>
    <row r="53" spans="1:2" x14ac:dyDescent="0.25">
      <c r="A53" s="111" t="s">
        <v>3</v>
      </c>
      <c r="B53" s="140">
        <f>Datos!B17</f>
        <v>4.9244984817963919</v>
      </c>
    </row>
    <row r="54" spans="1:2" x14ac:dyDescent="0.25">
      <c r="A54" s="111" t="s">
        <v>7</v>
      </c>
      <c r="B54" s="140">
        <f>Datos!B18</f>
        <v>5.6797896599860236</v>
      </c>
    </row>
    <row r="55" spans="1:2" x14ac:dyDescent="0.25">
      <c r="A55" s="46" t="s">
        <v>44</v>
      </c>
      <c r="B55" s="49">
        <f>B48*B53/1000</f>
        <v>1.6202252595839686</v>
      </c>
    </row>
    <row r="56" spans="1:2" x14ac:dyDescent="0.25">
      <c r="A56" s="45" t="s">
        <v>43</v>
      </c>
      <c r="B56" s="48">
        <f>B49*B54/1000</f>
        <v>1.6202252595839688</v>
      </c>
    </row>
    <row r="57" spans="1:2" x14ac:dyDescent="0.25">
      <c r="A57" s="44" t="s">
        <v>42</v>
      </c>
      <c r="B57" s="47">
        <f>SUM(B55:B56)</f>
        <v>3.2404505191679371</v>
      </c>
    </row>
  </sheetData>
  <printOptions horizontalCentered="1" verticalCentered="1"/>
  <pageMargins left="0.11811023622047245" right="0.11811023622047245" top="0.15748031496062992" bottom="0.15748031496062992" header="0" footer="0"/>
  <pageSetup paperSize="8"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5982-6BEA-445F-8A60-F31DEB6ACFD0}">
  <sheetPr>
    <pageSetUpPr fitToPage="1"/>
  </sheetPr>
  <dimension ref="A1:K65"/>
  <sheetViews>
    <sheetView zoomScale="90" zoomScaleNormal="90" workbookViewId="0">
      <selection activeCell="B20" sqref="B20"/>
    </sheetView>
  </sheetViews>
  <sheetFormatPr baseColWidth="10" defaultRowHeight="15" x14ac:dyDescent="0.25"/>
  <cols>
    <col min="1" max="1" width="49.140625" bestFit="1" customWidth="1"/>
    <col min="2" max="4" width="13.5703125" customWidth="1"/>
    <col min="5" max="5" width="15.7109375" customWidth="1"/>
    <col min="6" max="6" width="11.85546875" customWidth="1"/>
    <col min="7" max="9" width="10.140625" customWidth="1"/>
  </cols>
  <sheetData>
    <row r="1" spans="1:11" ht="21" x14ac:dyDescent="0.25">
      <c r="A1" s="33" t="s">
        <v>19</v>
      </c>
      <c r="B1" s="32" t="s">
        <v>171</v>
      </c>
      <c r="C1" s="32" t="s">
        <v>5</v>
      </c>
    </row>
    <row r="2" spans="1:11" x14ac:dyDescent="0.25">
      <c r="A2" s="17" t="s">
        <v>18</v>
      </c>
      <c r="B2" s="31"/>
      <c r="C2" s="198">
        <v>100</v>
      </c>
    </row>
    <row r="3" spans="1:11" x14ac:dyDescent="0.25">
      <c r="A3" s="17" t="s">
        <v>17</v>
      </c>
      <c r="B3" s="109">
        <f>'Estandar Tecnico'!B3</f>
        <v>0.55000000000000004</v>
      </c>
      <c r="C3" s="144">
        <f>Datos!F3</f>
        <v>0.49990000000000001</v>
      </c>
    </row>
    <row r="4" spans="1:11" x14ac:dyDescent="0.25">
      <c r="A4" s="37" t="s">
        <v>3</v>
      </c>
      <c r="B4" s="110">
        <f>'Estandar Tecnico'!B4</f>
        <v>0.28000000000000003</v>
      </c>
      <c r="C4" s="145">
        <f>Datos!F4</f>
        <v>0.25990000000000002</v>
      </c>
      <c r="E4" s="5"/>
      <c r="F4" s="66"/>
    </row>
    <row r="5" spans="1:11" x14ac:dyDescent="0.25">
      <c r="A5" s="37" t="s">
        <v>2</v>
      </c>
      <c r="B5" s="25">
        <f>B3-B4</f>
        <v>0.27</v>
      </c>
      <c r="C5" s="25">
        <f>C3-C4</f>
        <v>0.24</v>
      </c>
      <c r="E5" s="5"/>
      <c r="F5" s="66"/>
    </row>
    <row r="6" spans="1:11" x14ac:dyDescent="0.25">
      <c r="A6" s="27" t="s">
        <v>16</v>
      </c>
      <c r="B6" s="30">
        <f>(1-B3)/(1-B4)</f>
        <v>0.625</v>
      </c>
      <c r="C6" s="30">
        <f>(1-C3)/(1-C4)</f>
        <v>0.67571949736522097</v>
      </c>
    </row>
    <row r="7" spans="1:11" x14ac:dyDescent="0.25">
      <c r="A7" s="14" t="s">
        <v>15</v>
      </c>
      <c r="B7" s="34">
        <f>B4/B3</f>
        <v>0.50909090909090915</v>
      </c>
      <c r="C7" s="34">
        <f>C4/C3</f>
        <v>0.51990398079615929</v>
      </c>
    </row>
    <row r="8" spans="1:11" x14ac:dyDescent="0.25">
      <c r="A8" s="17" t="s">
        <v>37</v>
      </c>
      <c r="B8" s="7">
        <f>B12/B15*1000</f>
        <v>846.07063163653709</v>
      </c>
      <c r="C8" s="143">
        <f>Datos!F7</f>
        <v>85</v>
      </c>
      <c r="E8" s="97"/>
      <c r="F8" s="5"/>
      <c r="I8" s="36"/>
    </row>
    <row r="9" spans="1:11" x14ac:dyDescent="0.25">
      <c r="A9" s="27" t="s">
        <v>81</v>
      </c>
      <c r="B9" s="68">
        <f>'Estandar Tecnico'!B17</f>
        <v>38.887208658483196</v>
      </c>
      <c r="C9" s="68">
        <f>C11/C8*1000</f>
        <v>35.6</v>
      </c>
    </row>
    <row r="10" spans="1:11" x14ac:dyDescent="0.25">
      <c r="A10" s="27" t="s">
        <v>82</v>
      </c>
      <c r="B10" s="68">
        <f>'Estandar Tecnico'!B9</f>
        <v>33.716037294323193</v>
      </c>
      <c r="C10" s="68">
        <f>C12/C8*1000</f>
        <v>32.505882352941178</v>
      </c>
      <c r="K10" s="5"/>
    </row>
    <row r="11" spans="1:11" x14ac:dyDescent="0.25">
      <c r="A11" s="27" t="s">
        <v>20</v>
      </c>
      <c r="B11" s="68">
        <f>B$4/B$19*C$2</f>
        <v>28.931597437487088</v>
      </c>
      <c r="C11" s="211">
        <f>Datos!F8</f>
        <v>3.0259999999999998</v>
      </c>
      <c r="D11" s="5"/>
    </row>
    <row r="12" spans="1:11" x14ac:dyDescent="0.25">
      <c r="A12" s="27" t="s">
        <v>21</v>
      </c>
      <c r="B12" s="68">
        <f>C$2*B$5/B$20</f>
        <v>28.526148969889064</v>
      </c>
      <c r="C12" s="211">
        <f>Datos!F9</f>
        <v>2.7629999999999999</v>
      </c>
      <c r="D12" s="5"/>
      <c r="K12" s="5"/>
    </row>
    <row r="13" spans="1:11" x14ac:dyDescent="0.25">
      <c r="A13" s="27" t="s">
        <v>40</v>
      </c>
      <c r="B13" s="68">
        <f>B8*B26/1000</f>
        <v>0</v>
      </c>
      <c r="C13" s="211">
        <f>Datos!F10</f>
        <v>0</v>
      </c>
      <c r="D13" s="66"/>
      <c r="K13" s="38"/>
    </row>
    <row r="14" spans="1:11" x14ac:dyDescent="0.25">
      <c r="A14" s="14" t="s">
        <v>54</v>
      </c>
      <c r="B14" s="35">
        <f>B11/B12</f>
        <v>1.0142132212807975</v>
      </c>
      <c r="C14" s="35">
        <f>C11/C12</f>
        <v>1.0951863916033298</v>
      </c>
    </row>
    <row r="15" spans="1:11" x14ac:dyDescent="0.25">
      <c r="A15" s="28" t="s">
        <v>22</v>
      </c>
      <c r="B15" s="108">
        <f>'Estandar Tecnico'!B9</f>
        <v>33.716037294323193</v>
      </c>
      <c r="C15" s="26">
        <f>C31*C2/C8</f>
        <v>32.505882352941178</v>
      </c>
      <c r="I15" s="36"/>
    </row>
    <row r="16" spans="1:11" x14ac:dyDescent="0.25">
      <c r="A16" s="29" t="s">
        <v>12</v>
      </c>
      <c r="B16" s="108">
        <f>'Estandar Tecnico'!B17</f>
        <v>38.887208658483196</v>
      </c>
      <c r="C16" s="26">
        <f>C30*C2/C8</f>
        <v>35.6</v>
      </c>
      <c r="D16" s="95"/>
    </row>
    <row r="17" spans="1:11" x14ac:dyDescent="0.25">
      <c r="A17" s="28" t="s">
        <v>11</v>
      </c>
      <c r="B17" s="26">
        <f>B21/B18</f>
        <v>33.09416371756123</v>
      </c>
      <c r="C17" s="26">
        <f>C21/C18</f>
        <v>305.76470588235298</v>
      </c>
      <c r="I17" s="5"/>
    </row>
    <row r="18" spans="1:11" x14ac:dyDescent="0.25">
      <c r="A18" s="27" t="s">
        <v>13</v>
      </c>
      <c r="B18" s="26">
        <f>(B5*1000/B15)/B20</f>
        <v>8.4607063163653713</v>
      </c>
      <c r="C18" s="26">
        <f>(C5*1000/C15)/C20</f>
        <v>0.85</v>
      </c>
      <c r="I18" s="5"/>
    </row>
    <row r="19" spans="1:11" x14ac:dyDescent="0.25">
      <c r="A19" s="27" t="s">
        <v>14</v>
      </c>
      <c r="B19" s="110">
        <v>0.96779999999999999</v>
      </c>
      <c r="C19" s="25">
        <f>(C4*C2)/C11</f>
        <v>8.5888962326503648</v>
      </c>
      <c r="I19" s="5"/>
    </row>
    <row r="20" spans="1:11" x14ac:dyDescent="0.25">
      <c r="A20" s="27" t="s">
        <v>1</v>
      </c>
      <c r="B20" s="25">
        <f>'Estandar Tecnico'!B10</f>
        <v>0.94650000000000001</v>
      </c>
      <c r="C20" s="25">
        <f>C5*C2/C12</f>
        <v>8.686210640608035</v>
      </c>
    </row>
    <row r="21" spans="1:11" x14ac:dyDescent="0.25">
      <c r="A21" s="29" t="s">
        <v>35</v>
      </c>
      <c r="B21" s="26">
        <f>B4*1000</f>
        <v>280</v>
      </c>
      <c r="C21" s="26">
        <f>C4*1000</f>
        <v>259.90000000000003</v>
      </c>
      <c r="E21" s="5"/>
      <c r="F21" s="5"/>
    </row>
    <row r="22" spans="1:11" x14ac:dyDescent="0.25">
      <c r="A22" s="28" t="s">
        <v>36</v>
      </c>
      <c r="B22" s="26">
        <f>B5*1000</f>
        <v>270</v>
      </c>
      <c r="C22" s="26">
        <f>C5*1000</f>
        <v>240</v>
      </c>
      <c r="G22" s="5"/>
      <c r="I22" s="5"/>
    </row>
    <row r="23" spans="1:11" x14ac:dyDescent="0.25">
      <c r="A23" s="14" t="s">
        <v>53</v>
      </c>
      <c r="B23" s="26">
        <f>B21/B22</f>
        <v>1.037037037037037</v>
      </c>
      <c r="C23" s="26">
        <f>C21/C22</f>
        <v>1.0829166666666667</v>
      </c>
      <c r="E23" s="146"/>
      <c r="F23" s="146"/>
      <c r="G23" s="5"/>
      <c r="I23" s="5"/>
    </row>
    <row r="24" spans="1:11" x14ac:dyDescent="0.25">
      <c r="A24" s="17" t="s">
        <v>31</v>
      </c>
      <c r="B24" s="16">
        <f>B16-B17</f>
        <v>5.7930449409219662</v>
      </c>
      <c r="C24" s="16">
        <f>C16-C17</f>
        <v>-270.16470588235296</v>
      </c>
      <c r="F24" s="38"/>
      <c r="I24" s="5"/>
    </row>
    <row r="25" spans="1:11" x14ac:dyDescent="0.25">
      <c r="A25" s="27" t="s">
        <v>32</v>
      </c>
      <c r="B25" s="25">
        <f>B24/B16</f>
        <v>0.14897044917257699</v>
      </c>
      <c r="C25" s="25">
        <f>C24/C16</f>
        <v>-7.5888962326503639</v>
      </c>
      <c r="G25" s="5"/>
      <c r="H25" s="5"/>
    </row>
    <row r="26" spans="1:11" x14ac:dyDescent="0.25">
      <c r="A26" s="27" t="s">
        <v>39</v>
      </c>
      <c r="B26" s="108">
        <f>'Estandar Tecnico'!B20</f>
        <v>0</v>
      </c>
      <c r="C26" s="26">
        <f>C13*1000/C8</f>
        <v>0</v>
      </c>
      <c r="G26" s="5"/>
      <c r="H26" s="5"/>
      <c r="I26" s="5"/>
    </row>
    <row r="27" spans="1:11" x14ac:dyDescent="0.25">
      <c r="A27" s="27" t="s">
        <v>33</v>
      </c>
      <c r="B27" s="26">
        <f>B24-B26</f>
        <v>5.7930449409219662</v>
      </c>
      <c r="C27" s="26">
        <f>C24-C26</f>
        <v>-270.16470588235296</v>
      </c>
      <c r="F27" s="5"/>
      <c r="G27" s="5"/>
      <c r="H27" s="5"/>
      <c r="I27" s="5"/>
    </row>
    <row r="28" spans="1:11" x14ac:dyDescent="0.25">
      <c r="A28" s="14" t="s">
        <v>34</v>
      </c>
      <c r="B28" s="39">
        <f>B27/B16</f>
        <v>0.14897044917257699</v>
      </c>
      <c r="C28" s="39">
        <f>C27/C16</f>
        <v>-7.5888962326503639</v>
      </c>
    </row>
    <row r="29" spans="1:11" x14ac:dyDescent="0.25">
      <c r="A29" s="24"/>
      <c r="B29" s="23"/>
      <c r="C29" s="23"/>
      <c r="F29" t="s">
        <v>111</v>
      </c>
      <c r="G29" s="5"/>
      <c r="H29" s="5"/>
      <c r="I29" s="5"/>
      <c r="J29" s="5"/>
      <c r="K29" s="5"/>
    </row>
    <row r="30" spans="1:11" x14ac:dyDescent="0.25">
      <c r="A30" s="17" t="s">
        <v>23</v>
      </c>
      <c r="B30" s="21">
        <f>B11/C2*1000</f>
        <v>289.3159743748709</v>
      </c>
      <c r="C30" s="20">
        <f>C11/C2*1000</f>
        <v>30.259999999999998</v>
      </c>
      <c r="D30" s="7">
        <f>(B11-C11)*B32</f>
        <v>127.57207525093366</v>
      </c>
      <c r="F30" s="150" t="s">
        <v>115</v>
      </c>
      <c r="G30" s="150" t="s">
        <v>5</v>
      </c>
      <c r="H30" s="150" t="s">
        <v>116</v>
      </c>
      <c r="I30" s="150" t="s">
        <v>117</v>
      </c>
      <c r="J30" s="5"/>
      <c r="K30" s="5"/>
    </row>
    <row r="31" spans="1:11" x14ac:dyDescent="0.25">
      <c r="A31" s="14" t="s">
        <v>10</v>
      </c>
      <c r="B31" s="19">
        <f>B12/C2*1000</f>
        <v>285.26148969889067</v>
      </c>
      <c r="C31" s="18">
        <f>C12/C2*1000</f>
        <v>27.63</v>
      </c>
      <c r="D31" s="12">
        <f>(B12-C12)*B33</f>
        <v>146.3292671278555</v>
      </c>
      <c r="E31" t="s">
        <v>132</v>
      </c>
      <c r="F31" s="195">
        <f>B11</f>
        <v>28.931597437487088</v>
      </c>
      <c r="G31" s="195">
        <f>C11</f>
        <v>3.0259999999999998</v>
      </c>
      <c r="H31" s="195">
        <f>F31-G31</f>
        <v>25.905597437487089</v>
      </c>
      <c r="I31" s="195">
        <f>H31*B38</f>
        <v>127.57207525093366</v>
      </c>
      <c r="J31" s="5"/>
      <c r="K31" s="5"/>
    </row>
    <row r="32" spans="1:11" x14ac:dyDescent="0.25">
      <c r="A32" s="17" t="s">
        <v>38</v>
      </c>
      <c r="B32" s="16">
        <f>(B11-B13)*B38/B11</f>
        <v>4.9244984817963919</v>
      </c>
      <c r="C32" s="16">
        <f>(C11-C13)*C38/C11</f>
        <v>4.9244984817963919</v>
      </c>
      <c r="D32" s="7">
        <f>(B32-C32)*C11</f>
        <v>0</v>
      </c>
      <c r="E32" t="s">
        <v>133</v>
      </c>
      <c r="F32" s="195">
        <f>-B13</f>
        <v>0</v>
      </c>
      <c r="G32" s="195">
        <f>-C13</f>
        <v>0</v>
      </c>
      <c r="H32" s="195">
        <f>F32-G32</f>
        <v>0</v>
      </c>
      <c r="I32" s="195">
        <f>H32*B38</f>
        <v>0</v>
      </c>
      <c r="J32" s="5"/>
      <c r="K32" s="5"/>
    </row>
    <row r="33" spans="1:11" x14ac:dyDescent="0.25">
      <c r="A33" s="14" t="s">
        <v>8</v>
      </c>
      <c r="B33" s="112">
        <f>'Estandar Tecnico'!B54</f>
        <v>5.6797896599860236</v>
      </c>
      <c r="C33" s="13">
        <f>'Estandar Tecnico'!B54</f>
        <v>5.6797896599860236</v>
      </c>
      <c r="D33" s="12">
        <f>(B33-C33)*C31*C2/1000</f>
        <v>0</v>
      </c>
      <c r="E33" t="s">
        <v>129</v>
      </c>
      <c r="F33" s="195">
        <f>B12</f>
        <v>28.526148969889064</v>
      </c>
      <c r="G33" s="195">
        <f>C12</f>
        <v>2.7629999999999999</v>
      </c>
      <c r="H33" s="195">
        <f>F33-G33</f>
        <v>25.763148969889066</v>
      </c>
      <c r="I33" s="195">
        <f>H33*B39</f>
        <v>146.3292671278555</v>
      </c>
      <c r="J33" s="5"/>
      <c r="K33" s="5"/>
    </row>
    <row r="34" spans="1:11" x14ac:dyDescent="0.25">
      <c r="A34" s="11"/>
      <c r="B34" s="11"/>
      <c r="C34" s="22"/>
      <c r="D34" s="1">
        <f>SUM(D30:D33)</f>
        <v>273.9013423787892</v>
      </c>
      <c r="F34" s="195"/>
      <c r="G34" s="195"/>
      <c r="H34" s="195"/>
      <c r="I34" s="195">
        <f>SUM(I31:I33)</f>
        <v>273.9013423787892</v>
      </c>
      <c r="J34" s="5"/>
      <c r="K34" s="5"/>
    </row>
    <row r="35" spans="1:11" x14ac:dyDescent="0.25">
      <c r="F35" t="s">
        <v>112</v>
      </c>
      <c r="J35" s="5"/>
      <c r="K35" s="5"/>
    </row>
    <row r="36" spans="1:11" x14ac:dyDescent="0.25">
      <c r="A36" s="17" t="s">
        <v>24</v>
      </c>
      <c r="B36" s="21">
        <f>(B11-B13)/C2*1000</f>
        <v>289.3159743748709</v>
      </c>
      <c r="C36" s="21">
        <f>(C11-C13)/C2*1000</f>
        <v>30.259999999999998</v>
      </c>
      <c r="D36" s="7">
        <f>((B36-C36)*B38*C2/1000)</f>
        <v>127.57207525093368</v>
      </c>
      <c r="F36" s="150" t="s">
        <v>115</v>
      </c>
      <c r="G36" s="150" t="s">
        <v>5</v>
      </c>
      <c r="H36" s="150" t="s">
        <v>116</v>
      </c>
      <c r="I36" s="150" t="s">
        <v>117</v>
      </c>
      <c r="J36" s="5"/>
      <c r="K36" s="5"/>
    </row>
    <row r="37" spans="1:11" x14ac:dyDescent="0.25">
      <c r="A37" s="14" t="s">
        <v>9</v>
      </c>
      <c r="B37" s="19">
        <f>B12/C2*1000</f>
        <v>285.26148969889067</v>
      </c>
      <c r="C37" s="18">
        <f>C12/C2*1000</f>
        <v>27.63</v>
      </c>
      <c r="D37" s="12">
        <f>((B37-C37)*B39*C2/1000)</f>
        <v>146.3292671278555</v>
      </c>
      <c r="E37" t="s">
        <v>131</v>
      </c>
      <c r="F37" s="195">
        <f>(B11-B13)</f>
        <v>28.931597437487088</v>
      </c>
      <c r="G37" s="195">
        <f>C11-C13</f>
        <v>3.0259999999999998</v>
      </c>
      <c r="H37" s="195">
        <f>F37-G37</f>
        <v>25.905597437487089</v>
      </c>
      <c r="I37" s="195">
        <f>H37*B38</f>
        <v>127.57207525093366</v>
      </c>
      <c r="J37" s="5"/>
      <c r="K37" s="5"/>
    </row>
    <row r="38" spans="1:11" x14ac:dyDescent="0.25">
      <c r="A38" s="17" t="s">
        <v>25</v>
      </c>
      <c r="B38" s="113">
        <f>'Estandar Tecnico'!B53</f>
        <v>4.9244984817963919</v>
      </c>
      <c r="C38" s="15">
        <f>'Estandar Tecnico'!B53</f>
        <v>4.9244984817963919</v>
      </c>
      <c r="D38" s="7">
        <f>(B38-C38)*C36*C2/1000</f>
        <v>0</v>
      </c>
      <c r="E38" t="s">
        <v>130</v>
      </c>
      <c r="F38" s="195">
        <f>B12</f>
        <v>28.526148969889064</v>
      </c>
      <c r="G38" s="195">
        <f>C12</f>
        <v>2.7629999999999999</v>
      </c>
      <c r="H38" s="195">
        <f>F38-G38</f>
        <v>25.763148969889066</v>
      </c>
      <c r="I38" s="195">
        <f>H38*B39</f>
        <v>146.3292671278555</v>
      </c>
      <c r="J38" s="5"/>
      <c r="K38" s="5"/>
    </row>
    <row r="39" spans="1:11" x14ac:dyDescent="0.25">
      <c r="A39" s="14" t="s">
        <v>8</v>
      </c>
      <c r="B39" s="112">
        <f>'Estandar Tecnico'!B54</f>
        <v>5.6797896599860236</v>
      </c>
      <c r="C39" s="13">
        <f>'Estandar Tecnico'!B54</f>
        <v>5.6797896599860236</v>
      </c>
      <c r="D39" s="12">
        <f>(B39-C39)*C37*C2/1000</f>
        <v>0</v>
      </c>
      <c r="F39" s="195"/>
      <c r="G39" s="195"/>
      <c r="H39" s="195"/>
      <c r="I39" s="195">
        <f>SUM(I37:I38)</f>
        <v>273.9013423787892</v>
      </c>
      <c r="J39" s="5"/>
      <c r="K39" s="5"/>
    </row>
    <row r="40" spans="1:11" x14ac:dyDescent="0.25">
      <c r="A40" s="11"/>
      <c r="B40" s="10"/>
      <c r="C40" s="9"/>
      <c r="D40" s="1">
        <f>SUM(D36:D39)</f>
        <v>273.9013423787892</v>
      </c>
      <c r="F40" s="5"/>
      <c r="G40" s="5"/>
      <c r="H40" s="5"/>
      <c r="I40" s="5"/>
    </row>
    <row r="42" spans="1:11" x14ac:dyDescent="0.25">
      <c r="B42" s="154" t="s">
        <v>6</v>
      </c>
      <c r="C42" s="154" t="s">
        <v>5</v>
      </c>
      <c r="D42" s="154" t="s">
        <v>30</v>
      </c>
      <c r="E42" s="155" t="s">
        <v>4</v>
      </c>
      <c r="F42" s="155" t="s">
        <v>26</v>
      </c>
      <c r="G42" s="155" t="s">
        <v>27</v>
      </c>
      <c r="H42" s="154" t="s">
        <v>28</v>
      </c>
      <c r="I42" s="156" t="s">
        <v>29</v>
      </c>
    </row>
    <row r="43" spans="1:11" x14ac:dyDescent="0.25">
      <c r="A43" s="157" t="s">
        <v>41</v>
      </c>
      <c r="B43" s="7"/>
      <c r="C43" s="7"/>
      <c r="D43" s="6"/>
      <c r="E43" s="8"/>
      <c r="F43" s="8"/>
      <c r="G43" s="7"/>
      <c r="H43" s="7"/>
      <c r="I43" s="6"/>
    </row>
    <row r="44" spans="1:11" x14ac:dyDescent="0.25">
      <c r="A44" s="147" t="s">
        <v>83</v>
      </c>
      <c r="B44" s="199">
        <f>B$4/B$19*C$2</f>
        <v>28.931597437487088</v>
      </c>
      <c r="C44" s="199">
        <f>(C$4/C$19)*C$2</f>
        <v>3.0259999999999998</v>
      </c>
      <c r="D44" s="200">
        <f>B44-C44</f>
        <v>25.905597437487089</v>
      </c>
      <c r="E44" s="201"/>
      <c r="F44" s="201"/>
      <c r="G44" s="199"/>
      <c r="H44" s="199"/>
      <c r="I44" s="200"/>
    </row>
    <row r="45" spans="1:11" x14ac:dyDescent="0.25">
      <c r="A45" s="98" t="s">
        <v>113</v>
      </c>
      <c r="B45" s="202">
        <f>B$4/B$19*C$2</f>
        <v>28.931597437487088</v>
      </c>
      <c r="C45" s="202">
        <f>(C$4/B$19)*C$2</f>
        <v>26.854722050010331</v>
      </c>
      <c r="D45" s="203">
        <f>B45-C45</f>
        <v>2.0768753874767576</v>
      </c>
      <c r="E45" s="204"/>
      <c r="F45" s="204">
        <f>D45</f>
        <v>2.0768753874767576</v>
      </c>
      <c r="G45" s="202"/>
      <c r="H45" s="202">
        <f t="shared" ref="H45:H47" si="0">F45*B$38</f>
        <v>10.227569692509586</v>
      </c>
      <c r="I45" s="203">
        <f t="shared" ref="I45:I47" si="1">SUM(G45:H45)</f>
        <v>10.227569692509586</v>
      </c>
    </row>
    <row r="46" spans="1:11" x14ac:dyDescent="0.25">
      <c r="A46" s="148" t="s">
        <v>84</v>
      </c>
      <c r="B46" s="202">
        <f>B$4/B$19*C$2</f>
        <v>28.931597437487088</v>
      </c>
      <c r="C46" s="202">
        <f>(B$4/C$19)*C$2</f>
        <v>3.2600230858022314</v>
      </c>
      <c r="D46" s="203">
        <f>B46-C46</f>
        <v>25.671574351684857</v>
      </c>
      <c r="E46" s="204"/>
      <c r="F46" s="204">
        <f>D46</f>
        <v>25.671574351684857</v>
      </c>
      <c r="G46" s="202"/>
      <c r="H46" s="202">
        <f t="shared" si="0"/>
        <v>126.41962892019528</v>
      </c>
      <c r="I46" s="203">
        <f t="shared" si="1"/>
        <v>126.41962892019528</v>
      </c>
    </row>
    <row r="47" spans="1:11" x14ac:dyDescent="0.25">
      <c r="A47" s="149" t="s">
        <v>110</v>
      </c>
      <c r="B47" s="205"/>
      <c r="C47" s="206"/>
      <c r="D47" s="207">
        <f>(B19-C19)*(B4-C4)*C2</f>
        <v>-15.318403427627237</v>
      </c>
      <c r="E47" s="208"/>
      <c r="F47" s="208">
        <f>D47</f>
        <v>-15.318403427627237</v>
      </c>
      <c r="G47" s="205"/>
      <c r="H47" s="205">
        <f t="shared" si="0"/>
        <v>-75.435454422894978</v>
      </c>
      <c r="I47" s="207">
        <f t="shared" si="1"/>
        <v>-75.435454422894978</v>
      </c>
    </row>
    <row r="48" spans="1:11" x14ac:dyDescent="0.25">
      <c r="A48" s="147" t="s">
        <v>7</v>
      </c>
      <c r="B48" s="199">
        <f t="shared" ref="B48" si="2">C$2*B$5/B$20</f>
        <v>28.526148969889064</v>
      </c>
      <c r="C48" s="199">
        <f>C2*C5/C20</f>
        <v>2.7629999999999999</v>
      </c>
      <c r="D48" s="200">
        <f>B48-C48</f>
        <v>25.763148969889066</v>
      </c>
      <c r="E48" s="201"/>
      <c r="F48" s="201"/>
      <c r="G48" s="199"/>
      <c r="H48" s="199"/>
      <c r="I48" s="200"/>
    </row>
    <row r="49" spans="1:9" x14ac:dyDescent="0.25">
      <c r="A49" s="98" t="s">
        <v>114</v>
      </c>
      <c r="B49" s="202">
        <f t="shared" ref="B49:B50" si="3">C$2*B$5/B$20</f>
        <v>28.526148969889064</v>
      </c>
      <c r="C49" s="202">
        <f>C2*C5/B20</f>
        <v>25.356576862123614</v>
      </c>
      <c r="D49" s="203">
        <f>B49-C49</f>
        <v>3.1695721077654504</v>
      </c>
      <c r="E49" s="204">
        <f>D49</f>
        <v>3.1695721077654504</v>
      </c>
      <c r="F49" s="204"/>
      <c r="G49" s="202">
        <f>E49*B$39</f>
        <v>18.002502884266313</v>
      </c>
      <c r="H49" s="202"/>
      <c r="I49" s="203">
        <f>SUM(G49:H49)</f>
        <v>18.002502884266313</v>
      </c>
    </row>
    <row r="50" spans="1:9" x14ac:dyDescent="0.25">
      <c r="A50" s="98" t="s">
        <v>85</v>
      </c>
      <c r="B50" s="202">
        <f t="shared" si="3"/>
        <v>28.526148969889064</v>
      </c>
      <c r="C50" s="202">
        <f>C2*B5/C20</f>
        <v>3.1083750000000001</v>
      </c>
      <c r="D50" s="203">
        <f>B50-C50</f>
        <v>25.417773969889065</v>
      </c>
      <c r="E50" s="204">
        <f>D50</f>
        <v>25.417773969889065</v>
      </c>
      <c r="F50" s="204"/>
      <c r="G50" s="202">
        <f t="shared" ref="G50:G51" si="4">E50*B$39</f>
        <v>144.36760977403782</v>
      </c>
      <c r="H50" s="202"/>
      <c r="I50" s="203">
        <f t="shared" ref="I50:I51" si="5">SUM(G50:H50)</f>
        <v>144.36760977403782</v>
      </c>
    </row>
    <row r="51" spans="1:9" x14ac:dyDescent="0.25">
      <c r="A51" s="149" t="s">
        <v>110</v>
      </c>
      <c r="B51" s="205"/>
      <c r="C51" s="206"/>
      <c r="D51" s="205">
        <f>(B20-C20)*(B5-C5)*C2</f>
        <v>-23.219131921824125</v>
      </c>
      <c r="E51" s="208">
        <f>D51</f>
        <v>-23.219131921824125</v>
      </c>
      <c r="F51" s="208"/>
      <c r="G51" s="205">
        <f t="shared" si="4"/>
        <v>-131.87978540342809</v>
      </c>
      <c r="H51" s="205"/>
      <c r="I51" s="207">
        <f t="shared" si="5"/>
        <v>-131.87978540342809</v>
      </c>
    </row>
    <row r="52" spans="1:9" x14ac:dyDescent="0.25">
      <c r="A52" s="158" t="s">
        <v>128</v>
      </c>
      <c r="B52" s="199">
        <f>B$26*B18*C$2/1000</f>
        <v>0</v>
      </c>
      <c r="C52" s="199">
        <f>C$26*C$18*C$2/1000</f>
        <v>0</v>
      </c>
      <c r="D52" s="200">
        <f>C52-B52</f>
        <v>0</v>
      </c>
      <c r="E52" s="201"/>
      <c r="F52" s="201"/>
      <c r="G52" s="199"/>
      <c r="H52" s="199"/>
      <c r="I52" s="200"/>
    </row>
    <row r="53" spans="1:9" x14ac:dyDescent="0.25">
      <c r="A53" s="99" t="s">
        <v>120</v>
      </c>
      <c r="B53" s="202">
        <f t="shared" ref="B53:B56" si="6">B$26*(B$5*1000/B$15/B$20)*C$2/1000</f>
        <v>0</v>
      </c>
      <c r="C53" s="202">
        <f>C$26*(B$5*1000/B$15/B$20)*C$2/1000</f>
        <v>0</v>
      </c>
      <c r="D53" s="203">
        <f>C53-B53</f>
        <v>0</v>
      </c>
      <c r="E53" s="204"/>
      <c r="F53" s="204">
        <f>D53</f>
        <v>0</v>
      </c>
      <c r="G53" s="202"/>
      <c r="H53" s="202">
        <f t="shared" ref="H53:H57" si="7">F53*B$38</f>
        <v>0</v>
      </c>
      <c r="I53" s="203">
        <f>SUM(G53:H53)</f>
        <v>0</v>
      </c>
    </row>
    <row r="54" spans="1:9" x14ac:dyDescent="0.25">
      <c r="A54" s="99" t="s">
        <v>119</v>
      </c>
      <c r="B54" s="202">
        <f t="shared" si="6"/>
        <v>0</v>
      </c>
      <c r="C54" s="202">
        <f>B$26*(B$5*1000/B$15/C$20)*C$2/1000</f>
        <v>0</v>
      </c>
      <c r="D54" s="203">
        <f t="shared" ref="D54:D56" si="8">C54-B54</f>
        <v>0</v>
      </c>
      <c r="E54" s="204"/>
      <c r="F54" s="204">
        <f>D54</f>
        <v>0</v>
      </c>
      <c r="G54" s="202"/>
      <c r="H54" s="202">
        <f t="shared" si="7"/>
        <v>0</v>
      </c>
      <c r="I54" s="203">
        <f>SUM(G54:H54)</f>
        <v>0</v>
      </c>
    </row>
    <row r="55" spans="1:9" x14ac:dyDescent="0.25">
      <c r="A55" s="99" t="s">
        <v>118</v>
      </c>
      <c r="B55" s="202">
        <f t="shared" si="6"/>
        <v>0</v>
      </c>
      <c r="C55" s="202">
        <f>B$26*(B$5*1000/C$15/B$20)*C$2/1000</f>
        <v>0</v>
      </c>
      <c r="D55" s="203">
        <f t="shared" si="8"/>
        <v>0</v>
      </c>
      <c r="E55" s="204"/>
      <c r="F55" s="204">
        <f t="shared" ref="F55:F56" si="9">D55</f>
        <v>0</v>
      </c>
      <c r="G55" s="202"/>
      <c r="H55" s="202">
        <f t="shared" ref="H55:H56" si="10">F55*B$38</f>
        <v>0</v>
      </c>
      <c r="I55" s="203">
        <f t="shared" ref="I55:I56" si="11">SUM(G55:H55)</f>
        <v>0</v>
      </c>
    </row>
    <row r="56" spans="1:9" x14ac:dyDescent="0.25">
      <c r="A56" s="99" t="s">
        <v>121</v>
      </c>
      <c r="B56" s="202">
        <f t="shared" si="6"/>
        <v>0</v>
      </c>
      <c r="C56" s="202">
        <f>B$26*(C$5*1000/B$15/B$20)*C$2/1000</f>
        <v>0</v>
      </c>
      <c r="D56" s="203">
        <f t="shared" si="8"/>
        <v>0</v>
      </c>
      <c r="E56" s="204"/>
      <c r="F56" s="204">
        <f t="shared" si="9"/>
        <v>0</v>
      </c>
      <c r="G56" s="202"/>
      <c r="H56" s="202">
        <f t="shared" si="10"/>
        <v>0</v>
      </c>
      <c r="I56" s="203">
        <f t="shared" si="11"/>
        <v>0</v>
      </c>
    </row>
    <row r="57" spans="1:9" x14ac:dyDescent="0.25">
      <c r="A57" s="98" t="s">
        <v>110</v>
      </c>
      <c r="B57" s="202"/>
      <c r="C57" s="195"/>
      <c r="D57" s="195">
        <f>(B26-C26)*(B18-C18)*C2/1000</f>
        <v>0</v>
      </c>
      <c r="E57" s="204"/>
      <c r="F57" s="204">
        <f>D57</f>
        <v>0</v>
      </c>
      <c r="G57" s="202"/>
      <c r="H57" s="202">
        <f t="shared" si="7"/>
        <v>0</v>
      </c>
      <c r="I57" s="203">
        <f>SUM(G57:H57)</f>
        <v>0</v>
      </c>
    </row>
    <row r="58" spans="1:9" x14ac:dyDescent="0.25">
      <c r="A58" s="2" t="s">
        <v>0</v>
      </c>
      <c r="B58" s="199"/>
      <c r="C58" s="209"/>
      <c r="D58" s="199"/>
      <c r="E58" s="201">
        <f>SUM(E44:E54)</f>
        <v>5.3682141558303904</v>
      </c>
      <c r="F58" s="201">
        <f>SUM(F44:F54)</f>
        <v>12.430046311534378</v>
      </c>
      <c r="G58" s="199">
        <f>SUM(G44:G54)</f>
        <v>30.490327254876036</v>
      </c>
      <c r="H58" s="199">
        <f>SUM(H44:H54)</f>
        <v>61.211744189809892</v>
      </c>
      <c r="I58" s="200">
        <f>SUM(I44:I57)</f>
        <v>91.702071444685942</v>
      </c>
    </row>
    <row r="60" spans="1:9" x14ac:dyDescent="0.25">
      <c r="A60" s="152" t="s">
        <v>122</v>
      </c>
      <c r="B60" s="153"/>
    </row>
    <row r="61" spans="1:9" x14ac:dyDescent="0.25">
      <c r="A61" s="41" t="s">
        <v>123</v>
      </c>
      <c r="B61" s="210">
        <f>SUM(I45,I49)</f>
        <v>28.2300725767759</v>
      </c>
      <c r="D61" s="5"/>
    </row>
    <row r="62" spans="1:9" x14ac:dyDescent="0.25">
      <c r="A62" s="41" t="s">
        <v>124</v>
      </c>
      <c r="B62" s="202">
        <f>SUM(I46,I50)</f>
        <v>270.78723869423311</v>
      </c>
    </row>
    <row r="63" spans="1:9" x14ac:dyDescent="0.25">
      <c r="A63" s="41" t="s">
        <v>127</v>
      </c>
      <c r="B63" s="202">
        <f>SUM(I53:I56)</f>
        <v>0</v>
      </c>
    </row>
    <row r="64" spans="1:9" x14ac:dyDescent="0.25">
      <c r="A64" s="41" t="s">
        <v>125</v>
      </c>
      <c r="B64" s="202">
        <f>SUM(I47+I51+I57)</f>
        <v>-207.31523982632308</v>
      </c>
    </row>
    <row r="65" spans="1:2" x14ac:dyDescent="0.25">
      <c r="A65" s="151" t="s">
        <v>126</v>
      </c>
      <c r="B65" s="205">
        <f>SUM(B61:B64)</f>
        <v>91.702071444685942</v>
      </c>
    </row>
  </sheetData>
  <pageMargins left="0.25" right="0.25" top="0.75" bottom="0.75" header="0.3" footer="0.3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4FE-E5BF-4A81-99FF-CA8861D1942D}">
  <dimension ref="A1:P33"/>
  <sheetViews>
    <sheetView workbookViewId="0">
      <selection activeCell="B20" sqref="B20"/>
    </sheetView>
  </sheetViews>
  <sheetFormatPr baseColWidth="10" defaultRowHeight="15" x14ac:dyDescent="0.25"/>
  <cols>
    <col min="1" max="1" width="38.42578125" customWidth="1"/>
    <col min="2" max="2" width="9" customWidth="1"/>
    <col min="3" max="3" width="10.42578125" customWidth="1"/>
    <col min="4" max="4" width="9.85546875" customWidth="1"/>
    <col min="5" max="5" width="10.140625" customWidth="1"/>
    <col min="6" max="6" width="9.85546875" customWidth="1"/>
    <col min="7" max="7" width="10.5703125" customWidth="1"/>
    <col min="8" max="8" width="9.7109375" customWidth="1"/>
    <col min="9" max="10" width="11.85546875" customWidth="1"/>
    <col min="11" max="11" width="10.28515625" customWidth="1"/>
    <col min="13" max="13" width="9.28515625" customWidth="1"/>
    <col min="14" max="14" width="8.85546875" customWidth="1"/>
    <col min="15" max="15" width="8.5703125" customWidth="1"/>
    <col min="16" max="16" width="9.140625" customWidth="1"/>
  </cols>
  <sheetData>
    <row r="1" spans="1:16" ht="23.25" x14ac:dyDescent="0.35">
      <c r="A1" s="213" t="s">
        <v>189</v>
      </c>
    </row>
    <row r="4" spans="1:16" ht="60" x14ac:dyDescent="0.25">
      <c r="A4" s="214" t="s">
        <v>135</v>
      </c>
      <c r="B4" s="171" t="s">
        <v>179</v>
      </c>
      <c r="C4" s="172" t="s">
        <v>154</v>
      </c>
      <c r="D4" s="172" t="s">
        <v>155</v>
      </c>
      <c r="E4" s="171" t="s">
        <v>180</v>
      </c>
      <c r="F4" s="172" t="s">
        <v>174</v>
      </c>
      <c r="G4" s="171" t="s">
        <v>185</v>
      </c>
      <c r="H4" s="172" t="s">
        <v>186</v>
      </c>
      <c r="I4" s="171" t="s">
        <v>187</v>
      </c>
      <c r="J4" s="171" t="s">
        <v>188</v>
      </c>
      <c r="K4" s="171" t="s">
        <v>181</v>
      </c>
      <c r="L4" s="172" t="s">
        <v>175</v>
      </c>
      <c r="M4" s="171" t="s">
        <v>182</v>
      </c>
      <c r="N4" s="172" t="s">
        <v>176</v>
      </c>
      <c r="O4" s="171" t="s">
        <v>183</v>
      </c>
      <c r="P4" s="172" t="s">
        <v>177</v>
      </c>
    </row>
    <row r="5" spans="1:16" x14ac:dyDescent="0.25">
      <c r="A5" s="31" t="s">
        <v>136</v>
      </c>
      <c r="B5" s="4">
        <f>B18*B19-SUM(B6:B9)</f>
        <v>90.46310268791936</v>
      </c>
      <c r="C5" s="167">
        <f>B5/SUM($B$5:$B$9)</f>
        <v>0.87468676163871528</v>
      </c>
      <c r="D5" s="173"/>
      <c r="E5" s="166">
        <f>B$21*(1-B22)</f>
        <v>5.3187048831794836</v>
      </c>
      <c r="F5" s="167">
        <f>E5/SUM($E$5:$E$9)</f>
        <v>0.45</v>
      </c>
      <c r="G5" s="166">
        <f>B5-E5</f>
        <v>85.144397804739882</v>
      </c>
      <c r="H5" s="174">
        <f>G5/SUM($G$5:$G$9)</f>
        <v>0.9294825615286062</v>
      </c>
      <c r="I5" s="166">
        <f>I10-SUM(I6:I9)</f>
        <v>0.70623409514478463</v>
      </c>
      <c r="J5" s="212">
        <f>1-SUM(J6:J9)</f>
        <v>0.58752138860241587</v>
      </c>
      <c r="K5" s="166">
        <f>G5-I5</f>
        <v>84.438163709595102</v>
      </c>
      <c r="L5" s="167">
        <f>K5/SUM($K$5:$K$9)</f>
        <v>0.93402954768400037</v>
      </c>
      <c r="M5" s="166">
        <f>K5*(1-H19)</f>
        <v>0.25331449112878551</v>
      </c>
      <c r="N5" s="167">
        <f>M5/SUM($M$5:$M$9)</f>
        <v>4.074429421940972E-2</v>
      </c>
      <c r="O5" s="168">
        <f>O10-SUM(O6:O9)</f>
        <v>3.9003835809982865</v>
      </c>
      <c r="P5" s="169">
        <f>O5/$O$10</f>
        <v>0.37499999999999989</v>
      </c>
    </row>
    <row r="6" spans="1:16" x14ac:dyDescent="0.25">
      <c r="A6" s="28" t="s">
        <v>137</v>
      </c>
      <c r="B6" s="170">
        <f>Datos!B7/1000*B$18</f>
        <v>3.8887208658483199</v>
      </c>
      <c r="C6" s="167">
        <f t="shared" ref="C6:C9" si="0">B6/SUM($B$5:$B$9)</f>
        <v>3.7600000000000001E-2</v>
      </c>
      <c r="D6" s="174">
        <f>B6/1000</f>
        <v>3.8887208658483197E-3</v>
      </c>
      <c r="E6" s="166">
        <f>B$21*B23</f>
        <v>3.3094163717561234</v>
      </c>
      <c r="F6" s="167">
        <f>E6/SUM($E$5:$E$9)</f>
        <v>0.28000000000000003</v>
      </c>
      <c r="G6" s="166">
        <f t="shared" ref="G6:G10" si="1">B6-E6</f>
        <v>0.57930449409219653</v>
      </c>
      <c r="H6" s="174">
        <f>G6/SUM($G$5:$G$9)</f>
        <v>6.3240029756117802E-3</v>
      </c>
      <c r="I6" s="166">
        <f>G6*B33</f>
        <v>0.4808227300965231</v>
      </c>
      <c r="J6" s="167">
        <f>B32</f>
        <v>0.4</v>
      </c>
      <c r="K6" s="166">
        <f t="shared" ref="K6:K10" si="2">G6-I6</f>
        <v>9.8481763995673433E-2</v>
      </c>
      <c r="L6" s="167">
        <f>K6/SUM($K$5:$K$9)</f>
        <v>1.0893756263620482E-3</v>
      </c>
      <c r="M6" s="166">
        <f>K6</f>
        <v>9.8481763995673433E-2</v>
      </c>
      <c r="N6" s="167">
        <f t="shared" ref="N6:N9" si="3">M6/SUM($M$5:$M$9)</f>
        <v>1.5840270130642434E-2</v>
      </c>
      <c r="O6" s="168">
        <f>E6</f>
        <v>3.3094163717561234</v>
      </c>
      <c r="P6" s="169">
        <f t="shared" ref="P6:P9" si="4">O6/$O$10</f>
        <v>0.31818181818181823</v>
      </c>
    </row>
    <row r="7" spans="1:16" x14ac:dyDescent="0.25">
      <c r="A7" s="28" t="s">
        <v>138</v>
      </c>
      <c r="B7" s="170">
        <f>Datos!B8/1000*B$18</f>
        <v>3.3716037294323193</v>
      </c>
      <c r="C7" s="167">
        <f t="shared" si="0"/>
        <v>3.2599999999999997E-2</v>
      </c>
      <c r="D7" s="174">
        <f t="shared" ref="D7:D9" si="5">B7/1000</f>
        <v>3.3716037294323192E-3</v>
      </c>
      <c r="E7" s="166">
        <f>(B21*B26)-SUM(E8:E9)</f>
        <v>2.8579174238951097</v>
      </c>
      <c r="F7" s="167">
        <f>E7/SUM($E$5:$E$9)</f>
        <v>0.24180000000000004</v>
      </c>
      <c r="G7" s="166">
        <f t="shared" si="1"/>
        <v>0.51368630553720962</v>
      </c>
      <c r="H7" s="174">
        <f>G7/SUM($G$5:$G$9)</f>
        <v>5.6076791357177478E-3</v>
      </c>
      <c r="I7" s="223">
        <v>5.0000000000000001E-3</v>
      </c>
      <c r="J7" s="167">
        <f>I7/I10</f>
        <v>4.1595371325280498E-3</v>
      </c>
      <c r="K7" s="166">
        <f t="shared" si="2"/>
        <v>0.50868630553720962</v>
      </c>
      <c r="L7" s="167">
        <f>K7/SUM($K$5:$K$9)</f>
        <v>5.6269347768866046E-3</v>
      </c>
      <c r="M7" s="166">
        <f>K7</f>
        <v>0.50868630553720962</v>
      </c>
      <c r="N7" s="167">
        <f t="shared" si="3"/>
        <v>8.1819497991749118E-2</v>
      </c>
      <c r="O7" s="168">
        <f t="shared" ref="O7:O9" si="6">E7</f>
        <v>2.8579174238951097</v>
      </c>
      <c r="P7" s="169">
        <f t="shared" si="4"/>
        <v>0.27477272727272734</v>
      </c>
    </row>
    <row r="8" spans="1:16" x14ac:dyDescent="0.25">
      <c r="A8" s="3" t="s">
        <v>139</v>
      </c>
      <c r="B8" s="170">
        <f>Datos!B9/1000*B$18</f>
        <v>4.8</v>
      </c>
      <c r="C8" s="167">
        <f t="shared" si="0"/>
        <v>4.6411148093713453E-2</v>
      </c>
      <c r="D8" s="174">
        <f t="shared" si="5"/>
        <v>4.7999999999999996E-3</v>
      </c>
      <c r="E8" s="166">
        <f>B29*B21</f>
        <v>0.15128760556599422</v>
      </c>
      <c r="F8" s="167">
        <f>E8/SUM($E$5:$E$9)</f>
        <v>1.2800000000000001E-2</v>
      </c>
      <c r="G8" s="166">
        <f t="shared" si="1"/>
        <v>4.6487123944340052</v>
      </c>
      <c r="H8" s="174">
        <f>G8/SUM($G$5:$G$9)</f>
        <v>5.0747873208256578E-2</v>
      </c>
      <c r="I8" s="223">
        <v>5.0000000000000001E-3</v>
      </c>
      <c r="J8" s="167">
        <f>I8/I10</f>
        <v>4.1595371325280498E-3</v>
      </c>
      <c r="K8" s="166">
        <f t="shared" si="2"/>
        <v>4.6437123944340053</v>
      </c>
      <c r="L8" s="167">
        <f>K8/SUM($K$5:$K$9)</f>
        <v>5.1367348563679215E-2</v>
      </c>
      <c r="M8" s="166">
        <f>K8</f>
        <v>4.6437123944340053</v>
      </c>
      <c r="N8" s="167">
        <f t="shared" si="3"/>
        <v>0.74691654325036883</v>
      </c>
      <c r="O8" s="168">
        <f t="shared" si="6"/>
        <v>0.15128760556599422</v>
      </c>
      <c r="P8" s="169">
        <f t="shared" si="4"/>
        <v>1.4545454545454547E-2</v>
      </c>
    </row>
    <row r="9" spans="1:16" x14ac:dyDescent="0.25">
      <c r="A9" s="3" t="s">
        <v>140</v>
      </c>
      <c r="B9" s="170">
        <f>Datos!B10/1000*B$18</f>
        <v>0.89999999999999991</v>
      </c>
      <c r="C9" s="167">
        <f t="shared" si="0"/>
        <v>8.7020902675712716E-3</v>
      </c>
      <c r="D9" s="174">
        <f t="shared" si="5"/>
        <v>8.9999999999999987E-4</v>
      </c>
      <c r="E9" s="166">
        <f>B30*B21</f>
        <v>0.18201790044658678</v>
      </c>
      <c r="F9" s="167">
        <f>E9/SUM($E$5:$E$9)</f>
        <v>1.54E-2</v>
      </c>
      <c r="G9" s="166">
        <f t="shared" si="1"/>
        <v>0.71798209955341319</v>
      </c>
      <c r="H9" s="174">
        <f>G9/SUM($G$5:$G$9)</f>
        <v>7.8378831518078167E-3</v>
      </c>
      <c r="I9" s="223">
        <v>5.0000000000000001E-3</v>
      </c>
      <c r="J9" s="167">
        <f>I9/I10</f>
        <v>4.1595371325280498E-3</v>
      </c>
      <c r="K9" s="166">
        <f t="shared" si="2"/>
        <v>0.71298209955341318</v>
      </c>
      <c r="L9" s="167">
        <f>K9/SUM($K$5:$K$9)</f>
        <v>7.8867933490717156E-3</v>
      </c>
      <c r="M9" s="166">
        <f>K9</f>
        <v>0.71298209955341318</v>
      </c>
      <c r="N9" s="167">
        <f t="shared" si="3"/>
        <v>0.11467939440782995</v>
      </c>
      <c r="O9" s="168">
        <f t="shared" si="6"/>
        <v>0.18201790044658678</v>
      </c>
      <c r="P9" s="169">
        <f t="shared" si="4"/>
        <v>1.7500000000000002E-2</v>
      </c>
    </row>
    <row r="10" spans="1:16" x14ac:dyDescent="0.25">
      <c r="A10" s="1" t="s">
        <v>178</v>
      </c>
      <c r="B10" s="215">
        <f t="shared" ref="B10:L10" si="7">SUM(B5:B9)</f>
        <v>103.4234272832</v>
      </c>
      <c r="C10" s="216">
        <f t="shared" si="7"/>
        <v>1</v>
      </c>
      <c r="D10" s="217"/>
      <c r="E10" s="218">
        <f t="shared" si="7"/>
        <v>11.819344184843297</v>
      </c>
      <c r="F10" s="219">
        <f t="shared" si="7"/>
        <v>1</v>
      </c>
      <c r="G10" s="218">
        <f t="shared" si="1"/>
        <v>91.604083098356696</v>
      </c>
      <c r="H10" s="220">
        <f t="shared" si="7"/>
        <v>1.0000000000000002</v>
      </c>
      <c r="I10" s="218">
        <f>I6/J6</f>
        <v>1.2020568252413077</v>
      </c>
      <c r="J10" s="220">
        <f t="shared" si="7"/>
        <v>1</v>
      </c>
      <c r="K10" s="218">
        <f t="shared" si="2"/>
        <v>90.402026273115382</v>
      </c>
      <c r="L10" s="221">
        <f t="shared" si="7"/>
        <v>0.99999999999999989</v>
      </c>
      <c r="M10" s="218">
        <f>SUM(M5:M9)</f>
        <v>6.2171770546490865</v>
      </c>
      <c r="N10" s="221">
        <f>SUM(N5:N9)</f>
        <v>1</v>
      </c>
      <c r="O10" s="222">
        <f>E10*(1-H20)</f>
        <v>10.401022882662101</v>
      </c>
      <c r="P10" s="216">
        <f>SUM(P5:P9)</f>
        <v>1</v>
      </c>
    </row>
    <row r="12" spans="1:16" x14ac:dyDescent="0.25">
      <c r="A12" s="5" t="s">
        <v>17</v>
      </c>
      <c r="B12" s="95"/>
      <c r="C12" s="36">
        <f>SUM(C6:C9)</f>
        <v>0.12531323836128472</v>
      </c>
      <c r="D12" s="36">
        <f>SUM(D6:D9)</f>
        <v>1.2960324595280638E-2</v>
      </c>
      <c r="F12" s="36">
        <f>1-F5</f>
        <v>0.55000000000000004</v>
      </c>
      <c r="G12" s="36"/>
      <c r="H12" s="36">
        <f>1-H5</f>
        <v>7.0517438471393801E-2</v>
      </c>
      <c r="I12" s="36"/>
      <c r="J12" s="36">
        <f>1-J5</f>
        <v>0.41247861139758413</v>
      </c>
      <c r="L12" s="36">
        <f>1-L5</f>
        <v>6.5970452315999628E-2</v>
      </c>
      <c r="N12" s="36">
        <f>1-N5</f>
        <v>0.95925570578059027</v>
      </c>
      <c r="P12" s="36">
        <f>1-P5</f>
        <v>0.62500000000000011</v>
      </c>
    </row>
    <row r="13" spans="1:16" ht="15" customHeight="1" x14ac:dyDescent="0.25">
      <c r="A13" s="5" t="s">
        <v>15</v>
      </c>
      <c r="F13" s="66">
        <f>F6/F12</f>
        <v>0.50909090909090915</v>
      </c>
      <c r="G13" s="66"/>
      <c r="H13" s="66">
        <f>H6/H12</f>
        <v>8.9679987144983778E-2</v>
      </c>
      <c r="I13" s="66"/>
      <c r="J13" s="66">
        <f>J6/J12</f>
        <v>0.9697472522143552</v>
      </c>
      <c r="L13" s="66">
        <f>L6/L12</f>
        <v>1.6513084087159503E-2</v>
      </c>
      <c r="N13" s="66">
        <f>N6/N12</f>
        <v>1.6513084087159513E-2</v>
      </c>
      <c r="P13" s="66">
        <f>P6/P12</f>
        <v>0.50909090909090904</v>
      </c>
    </row>
    <row r="14" spans="1:16" x14ac:dyDescent="0.25">
      <c r="A14" s="5" t="s">
        <v>2</v>
      </c>
      <c r="B14" s="161"/>
      <c r="C14" s="36">
        <f>SUM(C7:C9)</f>
        <v>8.7713238361284723E-2</v>
      </c>
      <c r="D14" s="36"/>
      <c r="E14" s="161"/>
      <c r="F14" s="36">
        <f>SUM(F7:F9)</f>
        <v>0.27000000000000007</v>
      </c>
      <c r="G14" s="36"/>
      <c r="H14" s="36">
        <f>SUM(H7:H9)</f>
        <v>6.4193435495782145E-2</v>
      </c>
      <c r="I14" s="36"/>
      <c r="J14" s="36">
        <f>SUM(J7:J9)</f>
        <v>1.247861139758415E-2</v>
      </c>
      <c r="L14" s="36">
        <f>SUM(L7:L9)</f>
        <v>6.4881076689637537E-2</v>
      </c>
      <c r="N14" s="36">
        <f>SUM(N7:N9)</f>
        <v>0.9434154356499479</v>
      </c>
      <c r="P14" s="36">
        <f>SUM(P7:P9)</f>
        <v>0.30681818181818188</v>
      </c>
    </row>
    <row r="15" spans="1:16" x14ac:dyDescent="0.25">
      <c r="A15" s="5" t="s">
        <v>16</v>
      </c>
      <c r="F15" s="36">
        <f>F5/(1-F6)</f>
        <v>0.625</v>
      </c>
      <c r="G15" s="36"/>
      <c r="H15" s="36">
        <f>H5/(1-H6)</f>
        <v>0.93539802139931683</v>
      </c>
      <c r="I15" s="36"/>
      <c r="J15" s="36">
        <f>J5/(1-J6)</f>
        <v>0.97920231433735982</v>
      </c>
      <c r="L15" s="36">
        <f>L5/(1-L6)</f>
        <v>0.93504816636591392</v>
      </c>
      <c r="N15" s="36">
        <f>N5/(1-N6)</f>
        <v>4.1400082713014819E-2</v>
      </c>
      <c r="P15" s="36">
        <f>P5/(1-P6)</f>
        <v>0.54999999999999982</v>
      </c>
    </row>
    <row r="17" spans="1:10" x14ac:dyDescent="0.25">
      <c r="A17" s="162" t="s">
        <v>141</v>
      </c>
    </row>
    <row r="18" spans="1:10" x14ac:dyDescent="0.25">
      <c r="A18" s="5" t="s">
        <v>151</v>
      </c>
      <c r="B18" s="178">
        <v>100</v>
      </c>
      <c r="E18" t="s">
        <v>142</v>
      </c>
      <c r="H18" s="66">
        <f>G10/B10</f>
        <v>0.88571888888888883</v>
      </c>
      <c r="I18" s="66"/>
      <c r="J18" s="66"/>
    </row>
    <row r="19" spans="1:10" x14ac:dyDescent="0.25">
      <c r="A19" s="5" t="s">
        <v>150</v>
      </c>
      <c r="B19" s="146">
        <f>Datos!B12</f>
        <v>1.034234272832</v>
      </c>
      <c r="E19" t="s">
        <v>144</v>
      </c>
      <c r="H19" s="179">
        <v>0.997</v>
      </c>
      <c r="I19" s="179"/>
      <c r="J19" s="179"/>
    </row>
    <row r="20" spans="1:10" x14ac:dyDescent="0.25">
      <c r="A20" s="5" t="s">
        <v>190</v>
      </c>
      <c r="B20" s="163">
        <f>'Estandar Tecnico'!B13</f>
        <v>8.4607063163653713</v>
      </c>
      <c r="E20" t="s">
        <v>184</v>
      </c>
      <c r="H20" s="179">
        <v>0.12</v>
      </c>
      <c r="I20" s="179"/>
      <c r="J20" s="179"/>
    </row>
    <row r="21" spans="1:10" x14ac:dyDescent="0.25">
      <c r="A21" s="5" t="s">
        <v>146</v>
      </c>
      <c r="B21" s="38">
        <f>B18/B20</f>
        <v>11.819344184843297</v>
      </c>
    </row>
    <row r="22" spans="1:10" x14ac:dyDescent="0.25">
      <c r="A22" s="5" t="s">
        <v>17</v>
      </c>
      <c r="B22" s="36">
        <f>'Estandar Tecnico'!B3</f>
        <v>0.55000000000000004</v>
      </c>
      <c r="E22" t="s">
        <v>149</v>
      </c>
      <c r="F22" s="66">
        <f>SUM(E7:E9)/B7</f>
        <v>0.94650000000000012</v>
      </c>
      <c r="G22" s="66"/>
      <c r="H22" s="38">
        <f>SUM(E7:E9)/F22</f>
        <v>3.3716037294323193</v>
      </c>
      <c r="I22" s="38"/>
      <c r="J22" s="38"/>
    </row>
    <row r="23" spans="1:10" x14ac:dyDescent="0.25">
      <c r="A23" s="5" t="s">
        <v>3</v>
      </c>
      <c r="B23" s="36">
        <f>'Estandar Tecnico'!B4</f>
        <v>0.28000000000000003</v>
      </c>
      <c r="E23" t="s">
        <v>14</v>
      </c>
      <c r="F23" s="66">
        <f>E6/B6</f>
        <v>0.85102955082742304</v>
      </c>
      <c r="G23" s="66"/>
      <c r="H23" s="38">
        <f>E6/F23</f>
        <v>3.8887208658483199</v>
      </c>
      <c r="I23" s="38"/>
      <c r="J23" s="38"/>
    </row>
    <row r="24" spans="1:10" x14ac:dyDescent="0.25">
      <c r="A24" s="164" t="s">
        <v>15</v>
      </c>
      <c r="B24" s="36">
        <f>B23/B22</f>
        <v>0.50909090909090915</v>
      </c>
      <c r="E24" t="s">
        <v>145</v>
      </c>
      <c r="F24" s="163">
        <f>B18/E10</f>
        <v>8.4607063163653713</v>
      </c>
      <c r="G24" s="163"/>
      <c r="H24" s="163"/>
      <c r="I24" s="163"/>
      <c r="J24" s="163"/>
    </row>
    <row r="25" spans="1:10" x14ac:dyDescent="0.25">
      <c r="A25" s="165" t="s">
        <v>61</v>
      </c>
      <c r="B25" s="36">
        <f>(1-B22)/(1-B22*B24)</f>
        <v>0.625</v>
      </c>
    </row>
    <row r="26" spans="1:10" x14ac:dyDescent="0.25">
      <c r="A26" s="165" t="s">
        <v>2</v>
      </c>
      <c r="B26" s="36">
        <f>B22-B23</f>
        <v>0.27</v>
      </c>
      <c r="E26" t="s">
        <v>147</v>
      </c>
      <c r="F26" s="160">
        <f>SUM(E7:E9)</f>
        <v>3.1912229299076906</v>
      </c>
      <c r="G26" s="160"/>
      <c r="H26" s="160"/>
      <c r="I26" s="160"/>
      <c r="J26" s="160"/>
    </row>
    <row r="27" spans="1:10" x14ac:dyDescent="0.25">
      <c r="E27" t="s">
        <v>148</v>
      </c>
      <c r="F27" s="160">
        <f>E6</f>
        <v>3.3094163717561234</v>
      </c>
      <c r="G27" s="160"/>
      <c r="H27" s="160"/>
      <c r="I27" s="160"/>
      <c r="J27" s="160"/>
    </row>
    <row r="28" spans="1:10" x14ac:dyDescent="0.25">
      <c r="A28" s="180" t="s">
        <v>161</v>
      </c>
      <c r="F28" s="160">
        <f>SUM(F26:F27)</f>
        <v>6.5006393016638135</v>
      </c>
      <c r="G28" s="160"/>
      <c r="H28" s="160"/>
      <c r="I28" s="160"/>
      <c r="J28" s="160"/>
    </row>
    <row r="29" spans="1:10" x14ac:dyDescent="0.25">
      <c r="A29" t="s">
        <v>162</v>
      </c>
      <c r="B29" s="66">
        <v>1.2800000000000001E-2</v>
      </c>
      <c r="F29" s="66">
        <f>F28/E10</f>
        <v>0.55000000000000004</v>
      </c>
      <c r="G29" s="66"/>
      <c r="H29" s="66"/>
      <c r="I29" s="66"/>
      <c r="J29" s="66"/>
    </row>
    <row r="30" spans="1:10" x14ac:dyDescent="0.25">
      <c r="A30" t="s">
        <v>163</v>
      </c>
      <c r="B30" s="66">
        <v>1.54E-2</v>
      </c>
      <c r="F30" s="38">
        <f>F28/F29</f>
        <v>11.819344184843297</v>
      </c>
      <c r="G30" s="38"/>
      <c r="H30" s="38"/>
      <c r="I30" s="38"/>
      <c r="J30" s="38"/>
    </row>
    <row r="32" spans="1:10" x14ac:dyDescent="0.25">
      <c r="A32" t="s">
        <v>192</v>
      </c>
      <c r="B32" s="97">
        <v>0.4</v>
      </c>
    </row>
    <row r="33" spans="1:2" x14ac:dyDescent="0.25">
      <c r="A33" t="s">
        <v>191</v>
      </c>
      <c r="B33" s="97">
        <v>0.83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4A8B-0484-473C-83A9-EA55A6F40B29}">
  <dimension ref="A1:J7"/>
  <sheetViews>
    <sheetView workbookViewId="0">
      <selection activeCell="B5" sqref="B5:J7"/>
    </sheetView>
  </sheetViews>
  <sheetFormatPr baseColWidth="10" defaultRowHeight="15" x14ac:dyDescent="0.25"/>
  <cols>
    <col min="1" max="1" width="17.28515625" bestFit="1" customWidth="1"/>
  </cols>
  <sheetData>
    <row r="1" spans="1:10" ht="23.25" x14ac:dyDescent="0.35">
      <c r="A1" s="194" t="s">
        <v>172</v>
      </c>
    </row>
    <row r="2" spans="1:10" x14ac:dyDescent="0.25">
      <c r="A2" t="s">
        <v>173</v>
      </c>
      <c r="B2" s="176" t="s">
        <v>157</v>
      </c>
    </row>
    <row r="3" spans="1:10" x14ac:dyDescent="0.25">
      <c r="B3" s="176"/>
    </row>
    <row r="4" spans="1:10" x14ac:dyDescent="0.25">
      <c r="A4" t="s">
        <v>152</v>
      </c>
      <c r="B4">
        <v>20</v>
      </c>
      <c r="C4">
        <v>20</v>
      </c>
      <c r="D4">
        <v>20</v>
      </c>
      <c r="E4" s="188">
        <v>15</v>
      </c>
      <c r="F4">
        <v>15</v>
      </c>
      <c r="G4">
        <v>15</v>
      </c>
      <c r="H4">
        <v>25</v>
      </c>
      <c r="I4">
        <v>25</v>
      </c>
      <c r="J4" s="188">
        <v>25</v>
      </c>
    </row>
    <row r="5" spans="1:10" x14ac:dyDescent="0.25">
      <c r="A5" t="s">
        <v>153</v>
      </c>
      <c r="B5">
        <v>3.75</v>
      </c>
      <c r="C5">
        <v>43</v>
      </c>
      <c r="D5">
        <v>1</v>
      </c>
      <c r="E5" s="188">
        <v>3.75</v>
      </c>
      <c r="F5">
        <v>43</v>
      </c>
      <c r="G5">
        <v>1</v>
      </c>
      <c r="H5">
        <v>3.75</v>
      </c>
      <c r="I5">
        <v>43</v>
      </c>
      <c r="J5" s="188">
        <v>1</v>
      </c>
    </row>
    <row r="6" spans="1:10" x14ac:dyDescent="0.25">
      <c r="E6" s="188"/>
      <c r="J6" s="188"/>
    </row>
    <row r="7" spans="1:10" x14ac:dyDescent="0.25">
      <c r="A7" t="s">
        <v>156</v>
      </c>
      <c r="B7" s="38">
        <f>-0.2307*10^(-2)*B4^2-0.2655*B4+1040.51-B5*(-0.478*10^(-4)*B4^2+0.969*10^(-2)*B4+0.967)</f>
        <v>1029.9958999999999</v>
      </c>
      <c r="C7" s="38">
        <f t="shared" ref="C7:D7" si="0">-0.2307*10^(-2)*C4^2-0.2655*C4+1040.51-C5*(-0.478*10^(-4)*C4^2+0.969*10^(-2)*C4+0.967)</f>
        <v>985.18496000000005</v>
      </c>
      <c r="D7" s="38">
        <f t="shared" si="0"/>
        <v>1033.13552</v>
      </c>
      <c r="E7" s="189">
        <f>-0.2307*10^(-2)*E4^2-0.2655*E4+1040.51-E5*(-0.478*10^(-4)*E4^2+0.969*10^(-2)*E4+0.967)</f>
        <v>1031.8774437499999</v>
      </c>
      <c r="F7" s="38">
        <f t="shared" ref="F7:G7" si="1">-0.2307*10^(-2)*F4^2-0.2655*F4+1040.51-F5*(-0.478*10^(-4)*F4^2+0.969*10^(-2)*F4+0.967)</f>
        <v>988.63983999999994</v>
      </c>
      <c r="G7" s="38">
        <f t="shared" si="1"/>
        <v>1034.9068299999999</v>
      </c>
      <c r="H7" s="38">
        <f>-0.2307*10^(-2)*H4^2-0.2655*H4+1040.51-H5*(-0.478*10^(-4)*H4^2+0.969*10^(-2)*H4+0.967)</f>
        <v>1028.0079687499999</v>
      </c>
      <c r="I7" s="38">
        <f t="shared" ref="I7:J7" si="2">-0.2307*10^(-2)*I4^2-0.2655*I4+1040.51-I5*(-0.478*10^(-4)*I4^2+0.969*10^(-2)*I4+0.967)</f>
        <v>981.71749999999997</v>
      </c>
      <c r="J7" s="189">
        <f t="shared" si="2"/>
        <v>1031.25125</v>
      </c>
    </row>
  </sheetData>
  <hyperlinks>
    <hyperlink ref="B2" r:id="rId1" display="https://hal.archives-ouvertes.fr/hal-00928929/document" xr:uid="{64B5FC94-B0B4-43D3-BE8E-AB676B6058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Estandar Tecnico</vt:lpstr>
      <vt:lpstr>Desviaciones</vt:lpstr>
      <vt:lpstr>Proceso</vt:lpstr>
      <vt:lpstr>densidad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2025-11-09T12:05:12Z</dcterms:modified>
</cp:coreProperties>
</file>