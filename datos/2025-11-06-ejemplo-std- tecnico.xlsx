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4bf2af71bbc2e43/Documentos/GitHub/master-queseria/website/datos/"/>
    </mc:Choice>
  </mc:AlternateContent>
  <xr:revisionPtr revIDLastSave="6" documentId="8_{5F9E455A-213A-447C-A11C-7E9616724FEA}" xr6:coauthVersionLast="47" xr6:coauthVersionMax="47" xr10:uidLastSave="{E8105B56-49FD-4911-AA20-738C56F446FD}"/>
  <bookViews>
    <workbookView xWindow="10965" yWindow="255" windowWidth="15390" windowHeight="14250" tabRatio="675" activeTab="1" xr2:uid="{6977E7F1-D64B-47FE-B2A7-D4E9B0399E18}"/>
  </bookViews>
  <sheets>
    <sheet name="Std con datos de csv fab_queso" sheetId="16" r:id="rId1"/>
    <sheet name="Std con datos de csv fab_qu (2)" sheetId="17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23Graph_AGRAFIND" hidden="1">#REF!</definedName>
    <definedName name="__123Graph_AGRAFTOT" hidden="1">#REF!</definedName>
    <definedName name="__123Graph_APRINCIPALE" hidden="1">[1]ACTIVITE!#REF!</definedName>
    <definedName name="__123Graph_BGRAFIND" hidden="1">#REF!</definedName>
    <definedName name="__123Graph_BGRAFTOT" hidden="1">#REF!</definedName>
    <definedName name="__123Graph_BPRINCIPALE" hidden="1">[1]ACTIVITE!#REF!</definedName>
    <definedName name="__123Graph_CPRINCIPALE" hidden="1">[1]ACTIVITE!#REF!</definedName>
    <definedName name="__123Graph_XPRINCIPALE" hidden="1">[1]ACTIVITE!#REF!</definedName>
    <definedName name="__Amount_for_Gross_Profit_Monthly_ASDA_All_Unit_2" hidden="1">[2]pcQueryData!#REF!</definedName>
    <definedName name="__Amount_for_Gross_Profit_Monthly_TESCO_All_1" hidden="1">#REF!</definedName>
    <definedName name="__Amount_for_Monthly_1" hidden="1">[3]pcQueryData!$A$4</definedName>
    <definedName name="__c" hidden="1">{"SPM1",#N/A,FALSE,"RIEP"}</definedName>
    <definedName name="_100_PV">#REF!</definedName>
    <definedName name="_100_SVI">#REF!</definedName>
    <definedName name="_1000_XM">#REF!</definedName>
    <definedName name="_145110">#REF!</definedName>
    <definedName name="_162460">[4]STEPHAN!$B$2:$P$71</definedName>
    <definedName name="_170_LIGHT">#REF!</definedName>
    <definedName name="_170_PV">#REF!</definedName>
    <definedName name="_171015">#REF!</definedName>
    <definedName name="_171064">#REF!</definedName>
    <definedName name="_171066">#REF!</definedName>
    <definedName name="_171068">#REF!</definedName>
    <definedName name="_171510">#REF!</definedName>
    <definedName name="_171562">#REF!</definedName>
    <definedName name="_172012">#REF!</definedName>
    <definedName name="_172020">#REF!</definedName>
    <definedName name="_172022">#REF!</definedName>
    <definedName name="_172062">#REF!</definedName>
    <definedName name="_172510">[4]STEPHAN!$B$2:$Q$71</definedName>
    <definedName name="_172610">[4]STEPHAN!$B$2:$Q$71</definedName>
    <definedName name="_176072">#REF!</definedName>
    <definedName name="_Amount_for_Monthly" hidden="1">[5]pcQueryData!$A$3</definedName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pcSlicerSheet_Slicer1" hidden="1">#REF!</definedName>
    <definedName name="_pcSlicerSheet_Slicer2" hidden="1">#REF!</definedName>
    <definedName name="_pcSlicerSheet_Slicer3" hidden="1">#REF!</definedName>
    <definedName name="_pcSlicerSheet1_Slicer1" hidden="1">#REF!</definedName>
    <definedName name="_pcSlicerSheet1_Slicer2" hidden="1">#REF!</definedName>
    <definedName name="_pcSlicerSheet1_Slicer3" hidden="1">#REF!</definedName>
    <definedName name="_pcSlicerSheet10_Slicer1" hidden="1">#REF!</definedName>
    <definedName name="_pcSlicerSheet11_Slicer1" hidden="1">#REF!</definedName>
    <definedName name="_pcSlicerSheet12_Slicer1" hidden="1">#REF!</definedName>
    <definedName name="_pcSlicerSheet12_Slicer2" hidden="1">#REF!</definedName>
    <definedName name="_pcSlicerSheet12_Slicer3" hidden="1">#REF!</definedName>
    <definedName name="_pcSlicerSheet13_Slicer2" hidden="1">#REF!</definedName>
    <definedName name="_pcSlicerSheet13_Slicer3" hidden="1">#REF!</definedName>
    <definedName name="_pcSlicerSheet14_Slicer1" hidden="1">[2]_pcSlicerSheet14!$A$2:$A$25</definedName>
    <definedName name="_pcSlicerSheet14_Slicer2" hidden="1">#REF!</definedName>
    <definedName name="_pcSlicerSheet14_Slicer3" hidden="1">#REF!</definedName>
    <definedName name="_pcSlicerSheet15_Slicer1" hidden="1">[2]_pcSlicerSheet15!$A$2:$A$25</definedName>
    <definedName name="_pcSlicerSheet15_Slicer2" hidden="1">#REF!</definedName>
    <definedName name="_pcSlicerSheet15_Slicer3" hidden="1">#REF!</definedName>
    <definedName name="_pcSlicerSheet16_Slicer1" hidden="1">[2]_pcSlicerSheet16!$A$2:$A$25</definedName>
    <definedName name="_pcSlicerSheet16_Slicer2" hidden="1">#REF!</definedName>
    <definedName name="_pcSlicerSheet16_Slicer3" hidden="1">#REF!</definedName>
    <definedName name="_pcSlicerSheet17_Slicer1" hidden="1">#REF!</definedName>
    <definedName name="_pcSlicerSheet17_Slicer2" hidden="1">#REF!</definedName>
    <definedName name="_pcSlicerSheet17_Slicer3" hidden="1">#REF!</definedName>
    <definedName name="_pcSlicerSheet18_Slicer1" hidden="1">#REF!</definedName>
    <definedName name="_pcSlicerSheet19_Slicer1" hidden="1">#REF!</definedName>
    <definedName name="_pcSlicerSheet2_Slicer1" hidden="1">#REF!</definedName>
    <definedName name="_pcSlicerSheet2_Slicer2" hidden="1">#REF!</definedName>
    <definedName name="_pcSlicerSheet2_Slicer3" hidden="1">#REF!</definedName>
    <definedName name="_pcSlicerSheet20_Slicer1" hidden="1">#REF!</definedName>
    <definedName name="_pcSlicerSheet20_Slicer2" hidden="1">#REF!</definedName>
    <definedName name="_pcSlicerSheet20_Slicer3" hidden="1">#REF!</definedName>
    <definedName name="_pcSlicerSheet21_Slicer1" hidden="1">#REF!</definedName>
    <definedName name="_pcSlicerSheet22_Slicer1" hidden="1">#REF!</definedName>
    <definedName name="_pcSlicerSheet22_Slicer2" hidden="1">#REF!</definedName>
    <definedName name="_pcSlicerSheet22_Slicer3" hidden="1">#REF!</definedName>
    <definedName name="_pcSlicerSheet23_Slicer1" hidden="1">#REF!</definedName>
    <definedName name="_pcSlicerSheet23_Slicer2" hidden="1">#REF!</definedName>
    <definedName name="_pcSlicerSheet23_Slicer3" hidden="1">#REF!</definedName>
    <definedName name="_pcSlicerSheet24_Slicer1" hidden="1">#REF!</definedName>
    <definedName name="_pcSlicerSheet25_Slicer1" hidden="1">#REF!</definedName>
    <definedName name="_pcSlicerSheet26_Slicer1" hidden="1">#REF!</definedName>
    <definedName name="_pcSlicerSheet27_Slicer1" hidden="1">#REF!</definedName>
    <definedName name="_pcSlicerSheet28_Slicer1" hidden="1">#REF!</definedName>
    <definedName name="_pcSlicerSheet29_Slicer1" hidden="1">#REF!</definedName>
    <definedName name="_pcSlicerSheet30_Slicer1" hidden="1">#REF!</definedName>
    <definedName name="_pcSlicerSheet31_Slicer1" hidden="1">#REF!</definedName>
    <definedName name="_pcSlicerSheet32_Slicer1" hidden="1">#REF!</definedName>
    <definedName name="_pcSlicerSheet32_Slicer2" hidden="1">#REF!</definedName>
    <definedName name="_pcSlicerSheet32_Slicer3" hidden="1">#REF!</definedName>
    <definedName name="_pcSlicerSheet33_Slicer1" hidden="1">#REF!</definedName>
    <definedName name="_pcSlicerSheet33_Slicer2" hidden="1">#REF!</definedName>
    <definedName name="_pcSlicerSheet33_Slicer3" hidden="1">#REF!</definedName>
    <definedName name="_pcSlicerSheet34_Slicer1" hidden="1">#REF!</definedName>
    <definedName name="_pcSlicerSheet34_Slicer2" hidden="1">#REF!</definedName>
    <definedName name="_pcSlicerSheet34_Slicer3" hidden="1">#REF!</definedName>
    <definedName name="_pcSlicerSheet35_Slicer1" hidden="1">#REF!</definedName>
    <definedName name="_pcSlicerSheet35_Slicer2" hidden="1">#REF!</definedName>
    <definedName name="_pcSlicerSheet35_Slicer3" hidden="1">#REF!</definedName>
    <definedName name="_pcSlicerSheet36_Slicer1" hidden="1">#REF!</definedName>
    <definedName name="_pcSlicerSheet37_Slicer1" hidden="1">#REF!</definedName>
    <definedName name="_pcSlicerSheet38_Slicer1" hidden="1">#REF!</definedName>
    <definedName name="_pcSlicerSheet39_Slicer1" hidden="1">#REF!</definedName>
    <definedName name="_pcSlicerSheet4_Slicer1" hidden="1">[2]_pcSlicerSheet4!$A$2:$A$14</definedName>
    <definedName name="_pcSlicerSheet4_Slicer2" hidden="1">#REF!</definedName>
    <definedName name="_pcSlicerSheet40_Slicer1" hidden="1">#REF!</definedName>
    <definedName name="_pcSlicerSheet41_Slicer1" hidden="1">#REF!</definedName>
    <definedName name="_pcSlicerSheet42_Slicer1" hidden="1">#REF!</definedName>
    <definedName name="_pcSlicerSheet43_Slicer1" hidden="1">#REF!</definedName>
    <definedName name="_pcSlicerSheet44_Slicer1" hidden="1">#REF!</definedName>
    <definedName name="_pcSlicerSheet45_Slicer1" hidden="1">#REF!</definedName>
    <definedName name="_pcSlicerSheet46_Slicer1" hidden="1">#REF!</definedName>
    <definedName name="_pcSlicerSheet47_Slicer1" hidden="1">#REF!</definedName>
    <definedName name="_pcSlicerSheet48_Slicer1" hidden="1">#REF!</definedName>
    <definedName name="_pcSlicerSheet49_Slicer1" hidden="1">#REF!</definedName>
    <definedName name="_pcSlicerSheet49_Slicer2" hidden="1">#REF!</definedName>
    <definedName name="_pcSlicerSheet5_Slicer1" hidden="1">#REF!</definedName>
    <definedName name="_pcSlicerSheet50_Slicer1" hidden="1">#REF!</definedName>
    <definedName name="_pcSlicerSheet50_Slicer2" hidden="1">#REF!</definedName>
    <definedName name="_pcSlicerSheet51_Slicer1" hidden="1">#REF!</definedName>
    <definedName name="_pcSlicerSheet52_Slicer1" hidden="1">#REF!</definedName>
    <definedName name="_pcSlicerSheet53_Slicer1" hidden="1">#REF!</definedName>
    <definedName name="_pcSlicerSheet54_Slicer1" hidden="1">#REF!</definedName>
    <definedName name="_pcSlicerSheet55_Slicer1" hidden="1">#REF!</definedName>
    <definedName name="_pcSlicerSheet55_Slicer2" hidden="1">#REF!</definedName>
    <definedName name="_pcSlicerSheet56_Slicer1" hidden="1">#REF!</definedName>
    <definedName name="_pcSlicerSheet58_Slicer1" hidden="1">#REF!</definedName>
    <definedName name="_pcSlicerSheet59_Slicer1" hidden="1">#REF!</definedName>
    <definedName name="_pcSlicerSheet6_Slicer1" hidden="1">#REF!</definedName>
    <definedName name="_pcSlicerSheet6_Slicer2" hidden="1">#REF!</definedName>
    <definedName name="_pcSlicerSheet60_Slicer1" hidden="1">#REF!</definedName>
    <definedName name="_pcSlicerSheet61_Slicer1" hidden="1">#REF!</definedName>
    <definedName name="_pcSlicerSheet7_Slicer1" hidden="1">#REF!</definedName>
    <definedName name="_pcSlicerSheet7_Slicer2" hidden="1">#REF!</definedName>
    <definedName name="_pcSlicerSheet8_Slicer1" hidden="1">#REF!</definedName>
    <definedName name="_pcSlicerSheet8_Slicer2" hidden="1">#REF!</definedName>
    <definedName name="_pcSlicerSheet9_Slicer1" hidden="1">#REF!</definedName>
    <definedName name="_Sort" hidden="1">#REF!</definedName>
    <definedName name="a" hidden="1">{"SPM1",#N/A,FALSE,"RIEP"}</definedName>
    <definedName name="A_impresión_IM">#REF!</definedName>
    <definedName name="aaa" hidden="1">#REF!</definedName>
    <definedName name="aaaa" hidden="1">#REF!</definedName>
    <definedName name="aaaaa" hidden="1">{#N/A,#N/A,FALSE,"RIEP"}</definedName>
    <definedName name="aaaaaaaaaaaaaaaa" hidden="1">{#N/A,#N/A,FALSE,"RIEP"}</definedName>
    <definedName name="AASAS" hidden="1">{"QQQ",#N/A,FALSE,"RIEP"}</definedName>
    <definedName name="ADV" hidden="1">{#N/A,#N/A,TRUE,"ANALYSE";#N/A,#N/A,TRUE,"PM VOLUME";#N/A,#N/A,TRUE,"PM VALEUR";#N/A,#N/A,TRUE,"AR1";#N/A,#N/A,TRUE,"AR2";#N/A,#N/A,TRUE,"RAF";#N/A,#N/A,TRUE,"BILAN";#N/A,#N/A,TRUE,"CASH FLOW";#N/A,#N/A,TRUE,"ETAT FI"}</definedName>
    <definedName name="ana" hidden="1">{#N/A,#N/A,TRUE,"EC COMM-t";#N/A,#N/A,TRUE,"EC PAR PDTS-t";#N/A,#N/A,TRUE,"EC MAT-t";#N/A,#N/A,TRUE,"SUIVI HAUSSES-t"}</definedName>
    <definedName name="anscount" hidden="1">1</definedName>
    <definedName name="ardqer" hidden="1">{"SPM1",#N/A,FALSE,"RIEP"}</definedName>
    <definedName name="ASD" hidden="1">{"QQQ",#N/A,FALSE,"RIEP"}</definedName>
    <definedName name="ASDF" hidden="1">{#N/A,#N/A,FALSE,"RIEP"}</definedName>
    <definedName name="asdfas" hidden="1">{#N/A,#N/A,FALSE,"RIEP"}</definedName>
    <definedName name="aùsw" hidden="1">{"SPM1",#N/A,FALSE,"RIEP"}</definedName>
    <definedName name="bbbbb" hidden="1">{#N/A,#N/A,FALSE,"recap";#N/A,#N/A,FALSE,"matNeuf";#N/A,#N/A,FALSE,"matNdie";#N/A,#N/A,FALSE,"incNeuf";#N/A,#N/A,FALSE,"incNdie";#N/A,#N/A,FALSE,"volume";#N/A,#N/A,FALSE,"emballage";#N/A,#N/A,FALSE,"charge"}</definedName>
    <definedName name="bd">#REF!</definedName>
    <definedName name="bimes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bof">"ComboBox1"</definedName>
    <definedName name="byikbyuj" hidden="1">{"SPM1",#N/A,FALSE,"RIEP"}</definedName>
    <definedName name="byubtyuj" hidden="1">{"QQQ",#N/A,FALSE,"RIEP"}</definedName>
    <definedName name="byukkty" hidden="1">{#N/A,#N/A,FALSE,"RIEP"}</definedName>
    <definedName name="byuku" hidden="1">{#N/A,#N/A,FALSE,"RIEP"}</definedName>
    <definedName name="č" hidden="1">{"'domaće količine'!$K$34:$P$47"}</definedName>
    <definedName name="cc" hidden="1">{#N/A,#N/A,FALSE,"RIEP"}</definedName>
    <definedName name="ccc" hidden="1">{"SPM1",#N/A,FALSE,"RIEP"}</definedName>
    <definedName name="cccc" hidden="1">{"SPM1",#N/A,FALSE,"RIEP"}</definedName>
    <definedName name="CCSFDFRDF" hidden="1">{"SPM1",#N/A,FALSE,"RIEP"}</definedName>
    <definedName name="cdf" hidden="1">{"SPM1",#N/A,FALSE,"RIEP"}</definedName>
    <definedName name="CDVF" hidden="1">{"SPM1",#N/A,FALSE,"RIEP"}</definedName>
    <definedName name="copie" hidden="1">{#N/A,#N/A,TRUE,"ANALYSE";#N/A,#N/A,TRUE,"PM VOLUME";#N/A,#N/A,TRUE,"PM VALEUR";#N/A,#N/A,TRUE,"AR1";#N/A,#N/A,TRUE,"AR2";#N/A,#N/A,TRUE,"RAF";#N/A,#N/A,TRUE,"BILAN";#N/A,#N/A,TRUE,"CASH FLOW";#N/A,#N/A,TRUE,"ETAT FI"}</definedName>
    <definedName name="D" hidden="1">{#N/A,#N/A,FALSE,"RIEP"}</definedName>
    <definedName name="DAFreofè0eirfh" hidden="1">{"SPM1",#N/A,FALSE,"RIEP"}</definedName>
    <definedName name="dd">#REF!</definedName>
    <definedName name="DDD" hidden="1">{#N/A,#N/A,TRUE,"EC COMM-t";#N/A,#N/A,TRUE,"EC PAR PDTS-t";#N/A,#N/A,TRUE,"EC MAT-t";#N/A,#N/A,TRUE,"SUIVI HAUSSES-t"}</definedName>
    <definedName name="DDDDD" hidden="1">{"SPM1",#N/A,FALSE,"RIEP"}</definedName>
    <definedName name="ddddddd" hidden="1">{#N/A,#N/A,FALSE,"RIEP"}</definedName>
    <definedName name="d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fa" hidden="1">{"SPM1",#N/A,FALSE,"RIEP"}</definedName>
    <definedName name="DFda" hidden="1">{#N/A,#N/A,FALSE,"RIEP"}</definedName>
    <definedName name="DFRSFG" hidden="1">{"SPM1",#N/A,FALSE,"RIEP"}</definedName>
    <definedName name="djdjdj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qdqdq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DRAGAN" hidden="1">{"'domaće količine'!$K$34:$P$47"}</definedName>
    <definedName name="draganć" hidden="1">{"'domaće količine'!$K$34:$P$47"}</definedName>
    <definedName name="DSFSDGFG" hidden="1">{"SPM1",#N/A,FALSE,"RIEP"}</definedName>
    <definedName name="dthrrr" hidden="1">{"SPM1",#N/A,FALSE,"RIEP"}</definedName>
    <definedName name="ECA" hidden="1">{#N/A,#N/A,FALSE,"ANALYSE";#N/A,#N/A,FALSE,"PM VALEUR"}</definedName>
    <definedName name="ECARTBM" hidden="1">{"DETAIL",#N/A,FALSE,"REELBUDGET";"TOTAL",#N/A,FALSE,"REELBUDGET"}</definedName>
    <definedName name="eeee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erreerr" hidden="1">#REF!</definedName>
    <definedName name="efaz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hethr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e" hidden="1">{"QQQ",#N/A,FALSE,"RIEP"}</definedName>
    <definedName name="erte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etq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r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rtwe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EssLatest">"JAN"</definedName>
    <definedName name="EssLatest_10">"JAN"</definedName>
    <definedName name="EssLatest_11">"JAN"</definedName>
    <definedName name="EssLatest_12">"JAN"</definedName>
    <definedName name="EssLatest_13">"JAN"</definedName>
    <definedName name="EssLatest_14">"JAN"</definedName>
    <definedName name="EssLatest_15">"JAN"</definedName>
    <definedName name="EssLatest_16">"JAN"</definedName>
    <definedName name="EssLatest_18">"JAN"</definedName>
    <definedName name="EssLatest_2">"JANN0"</definedName>
    <definedName name="EssLatest_20">"YTDMM01"</definedName>
    <definedName name="EssLatest_25">"YTDMM01"</definedName>
    <definedName name="EssLatest_26">"YTDMM01"</definedName>
    <definedName name="EssLatest_3">"JANN0"</definedName>
    <definedName name="EssLatest_38">"JAN"</definedName>
    <definedName name="EssLatest_39">"JAN"</definedName>
    <definedName name="EssLatest_4">"JANN0"</definedName>
    <definedName name="EssLatest_47">"JAN"</definedName>
    <definedName name="EssLatest_48">"JAN"</definedName>
    <definedName name="EssLatest_5">"JANN0"</definedName>
    <definedName name="EssLatest_6">"YTDMM01"</definedName>
    <definedName name="EssLatest_7">"YTDMM01"</definedName>
    <definedName name="EssLatest_8">"YTDMM01"</definedName>
    <definedName name="EssLatest_9">"JAN"</definedName>
    <definedName name="EssOptions_10">"A3000001100130001011001101020_01 00"</definedName>
    <definedName name="EssOptions_11">"A3000001100130001011001101020_01 00"</definedName>
    <definedName name="EssOptions_12">"A3000001100130001011001101020_01 00"</definedName>
    <definedName name="EssOptions_13">"A3000001100130001011001101020_01 00"</definedName>
    <definedName name="EssOptions_14">"A3000001100130001011001101020_01 00"</definedName>
    <definedName name="EssOptions_15">"A3000001100130001011001101020_01 00"</definedName>
    <definedName name="EssOptions_16">"A3000001100130001011001101020_01 00"</definedName>
    <definedName name="EssOptions_18">"A3000001100130001011001101020_01 00"</definedName>
    <definedName name="EssOptions_2">"A1100000010121000011001111120_01000"</definedName>
    <definedName name="EssOptions_20">"A3100000000110001011011111020_01000"</definedName>
    <definedName name="EssOptions_25">"A3100000000130000000011100020_01000"</definedName>
    <definedName name="EssOptions_26">"A3100000000110001011011111020_01000"</definedName>
    <definedName name="EssOptions_3">"A1100000010121000011001111120_01000"</definedName>
    <definedName name="EssOptions_38">"A1100000000131000011001101020_01000"</definedName>
    <definedName name="EssOptions_39">"A1100000000131000011001101020_01000"</definedName>
    <definedName name="EssOptions_4">"A1100000010121000011001111120_01000"</definedName>
    <definedName name="EssOptions_47">"A1100000000131000011001101020_01000"</definedName>
    <definedName name="EssOptions_48">"A1100000000131000011001101020_01000"</definedName>
    <definedName name="EssOptions_5">"A1100000010121000011001111120_01000"</definedName>
    <definedName name="EssOptions_6">"A3100000000110001011011111020_01000"</definedName>
    <definedName name="EssOptions_7">"A3100001100110001011011111020_01000"</definedName>
    <definedName name="EssOptions_8">"A3100000000110001011011111020_01000"</definedName>
    <definedName name="EssOptions_9">"A3000001100130001011001101020_01 00"</definedName>
    <definedName name="ESTEROPARAFF">#REF!</definedName>
    <definedName name="ESTEROPLAST">#REF!</definedName>
    <definedName name="ExactAddinConnection" hidden="1">"900"</definedName>
    <definedName name="ExactAddinConnection.900" hidden="1">"SRVSQLCZ;900;skubistova;1"</definedName>
    <definedName name="ExactAddinReports" hidden="1">1</definedName>
    <definedName name="EXCEL" hidden="1">{"'domaće količine'!$K$34:$P$47"}</definedName>
    <definedName name="ez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a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DDSFDSGF" hidden="1">{#N/A,#N/A,FALSE,"RIEP"}</definedName>
    <definedName name="fdsdsgfsggd" hidden="1">{#N/A,#N/A,FALSE,"DIVISION";#N/A,#N/A,FALSE,"ED CAT";#N/A,#N/A,FALSE,"ED CAREL";#N/A,#N/A,FALSE,"ED JORT";#N/A,#N/A,FALSE,"ED VEYS";#N/A,#N/A,FALSE,"ED ORBEC";#N/A,#N/A,FALSE,"ED CLECY"}</definedName>
    <definedName name="fdzfze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azefza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er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fffffffff" hidden="1">{"QQQ",#N/A,FALSE,"RIEP"}</definedName>
    <definedName name="fg" hidden="1">{#N/A,#N/A,FALSE,"RIEP"}</definedName>
    <definedName name="fgffg" hidden="1">{#N/A,#N/A,FALSE,"RIEP"}</definedName>
    <definedName name="FSDG" hidden="1">{#N/A,#N/A,FALSE,"RIEP"}</definedName>
    <definedName name="ftereare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fzfzf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BP">'[6]Nrj présentat°'!$AR$2</definedName>
    <definedName name="gegeg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F" hidden="1">[7]ACTIVITE!#REF!</definedName>
    <definedName name="gfhkkmh" hidden="1">{#N/A,#N/A,FALSE,"RIEP"}</definedName>
    <definedName name="GG" hidden="1">[7]ACTIVITE!#REF!</definedName>
    <definedName name="GGGG" hidden="1">{"SPM1",#N/A,FALSE,"RIEP"}</definedName>
    <definedName name="ggg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gggggggggg" hidden="1">{"QQQ",#N/A,FALSE,"RIEP"}</definedName>
    <definedName name="GHJ" hidden="1">{"SPM1",#N/A,FALSE,"RIEP"}</definedName>
    <definedName name="gsdgsd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g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trztrg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t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gz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rtr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gzt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bhajx" hidden="1">{"SPM1",#N/A,FALSE,"RIEP"}</definedName>
    <definedName name="hfderfPOURE" hidden="1">{#N/A,#N/A,FALSE,"RIEP"}</definedName>
    <definedName name="hfhf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g" hidden="1">{"QQQ",#N/A,FALSE,"RIEP"}</definedName>
    <definedName name="hhfxhxf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hhhh" hidden="1">{"QQQ",#N/A,FALSE,"RIEP"}</definedName>
    <definedName name="hhhhhhh" hidden="1">{"SPM1",#N/A,FALSE,"RIEP"}</definedName>
    <definedName name="HTML_CodePage" hidden="1">1250</definedName>
    <definedName name="HTML_Control" hidden="1">{"'domaće količine'!$K$34:$P$47"}</definedName>
    <definedName name="HTML_Description" hidden="1">""</definedName>
    <definedName name="HTML_Email" hidden="1">""</definedName>
    <definedName name="HTML_Header" hidden="1">"domaće količine"</definedName>
    <definedName name="HTML_LastUpdate" hidden="1">"27.03.2001"</definedName>
    <definedName name="HTML_LineAfter" hidden="1">FALSE</definedName>
    <definedName name="HTML_LineBefore" hidden="1">FALSE</definedName>
    <definedName name="HTML_Name" hidden="1">"Informatika"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"Moja PRODAJA  II VELJAČA '2001"</definedName>
    <definedName name="hzthzh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iiiiiii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IRI_WorkspaceId" hidden="1">"bc7b7ef8a7ba454b9c6b30466fcd76e0"</definedName>
    <definedName name="ITAPLASPIC">#REF!</definedName>
    <definedName name="IZVQ01" hidden="1">{"'domaće količine'!$K$34:$P$47"}</definedName>
    <definedName name="j" hidden="1">{"SPM1",#N/A,FALSE,"RIEP"}</definedName>
    <definedName name="jcjfjfjjf" hidden="1">{#N/A,#N/A,FALSE,"RIEP"}</definedName>
    <definedName name="jdjdjdj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jej" hidden="1">{#N/A,#N/A,TRUE,"EC COMM-t";#N/A,#N/A,TRUE,"EC PAR PDTS-t";#N/A,#N/A,TRUE,"EC MAT-t";#N/A,#N/A,TRUE,"SUIVI HAUSSES-t"}</definedName>
    <definedName name="jjfhfh" hidden="1">{"QQQ",#N/A,FALSE,"RIEP"}</definedName>
    <definedName name="jjj" hidden="1">{"SPM1",#N/A,FALSE,"RIEP"}</definedName>
    <definedName name="jjjjj" hidden="1">{"SPM1",#N/A,FALSE,"RIEP"}</definedName>
    <definedName name="kfkfkf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fkfkfkfkkf" hidden="1">{#N/A,#N/A,FALSE,"RIEP"}</definedName>
    <definedName name="khkhkh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h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irirti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kjfsoyiupo6rhtgz" hidden="1">{#N/A,#N/A,FALSE,"RIEP"}</definedName>
    <definedName name="kjhjhkjh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kk" hidden="1">{#N/A,#N/A,FALSE,"RIEP"}</definedName>
    <definedName name="k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LLL" hidden="1">{"QQQ",#N/A,FALSE,"RIEP"}</definedName>
    <definedName name="m" hidden="1">{"'domaće količine'!$K$34:$P$47"}</definedName>
    <definedName name="MARTESANA">#REF!</definedName>
    <definedName name="minnii" hidden="1">{"SPM1",#N/A,FALSE,"RIEP"}</definedName>
    <definedName name="MOIS">[8]Grille!$B$3:$C$14</definedName>
    <definedName name="Month_No.">7</definedName>
    <definedName name="nico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nueva1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ñ" hidden="1">#REF!</definedName>
    <definedName name="ño" hidden="1">{"SPM1",#N/A,FALSE,"RIEP"}</definedName>
    <definedName name="ODRŽ." hidden="1">{"'domaće količine'!$K$34:$P$47"}</definedName>
    <definedName name="òflfgfppfpf" hidden="1">{"SPM1",#N/A,FALSE,"RIEP"}</definedName>
    <definedName name="OIOIIUIUG" hidden="1">{"SPM1",#N/A,FALSE,"RIEP"}</definedName>
    <definedName name="ooo" hidden="1">{"QQQ",#N/A,FALSE,"RIEP"}</definedName>
    <definedName name="oooooo" hidden="1">{#N/A,#N/A,FALSE,"RIEP"}</definedName>
    <definedName name="P_HostName">#REF!</definedName>
    <definedName name="P_ServerName">#REF!</definedName>
    <definedName name="pippo" hidden="1">{#N/A,#N/A,FALSE,"RIEP"}</definedName>
    <definedName name="pluto" hidden="1">{"SPM1",#N/A,FALSE,"RIEP"}</definedName>
    <definedName name="PO" hidden="1">{"QQQ",#N/A,FALSE,"RIEP"}</definedName>
    <definedName name="poùH" hidden="1">{#N/A,#N/A,FALSE,"RIEP"}</definedName>
    <definedName name="ppp" hidden="1">{"QQQ",#N/A,FALSE,"RIEP"}</definedName>
    <definedName name="PROD." hidden="1">{"'domaće količine'!$K$34:$P$47"}</definedName>
    <definedName name="prw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QQQQQQQQQQQQ" hidden="1">{#N/A,#N/A,FALSE,"RIEP"}</definedName>
    <definedName name="qw" hidden="1">{#N/A,#N/A,FALSE,"RIEP"}</definedName>
    <definedName name="rete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geegeq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rrrr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eqt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gtgrz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herr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rtqtrq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a" hidden="1">#REF!</definedName>
    <definedName name="SAPBEXrevision" hidden="1">3</definedName>
    <definedName name="SAPBEXsysID" hidden="1">"BPP"</definedName>
    <definedName name="SAPBEXwbID" hidden="1">"4GNIIN8XAB6OYSDJFHQ7XQLUA"</definedName>
    <definedName name="sd" hidden="1">{"SPM1",#N/A,FALSE,"RIEP"}</definedName>
    <definedName name="SDFDSJF" hidden="1">{#N/A,#N/A,FALSE,"RIEP"}</definedName>
    <definedName name="sdsd" hidden="1">{"SPM1",#N/A,FALSE,"RIEP"}</definedName>
    <definedName name="SEDSDS" hidden="1">{#N/A,#N/A,FALSE,"RIEP"}</definedName>
    <definedName name="sencount" hidden="1">1</definedName>
    <definedName name="SSSADADSF" hidden="1">{"SPM1",#N/A,FALSE,"RIEP"}</definedName>
    <definedName name="ssss" hidden="1">#REF!</definedName>
    <definedName name="sssssss" hidden="1">{#N/A,#N/A,FALSE,"RIEP"}</definedName>
    <definedName name="ssssssssssssssssssssssssss" hidden="1">{"QQQ",#N/A,FALSE,"RIEP"}</definedName>
    <definedName name="stsrhs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Sweden" hidden="1">{#N/A,#N/A,FALSE,"RIEP"}</definedName>
    <definedName name="t" hidden="1">{"QQQ",#N/A,FALSE,"RIEP"}</definedName>
    <definedName name="T04CC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79oto97t" hidden="1">{#N/A,#N/A,FALSE,"RIEP"}</definedName>
    <definedName name="t7u74u" hidden="1">{"QQQ",#N/A,FALSE,"RIEP"}</definedName>
    <definedName name="t7u75" hidden="1">{"SPM1",#N/A,FALSE,"RIEP"}</definedName>
    <definedName name="t7ur7u" hidden="1">{#N/A,#N/A,FALSE,"RIEP"}</definedName>
    <definedName name="tgfcvds" hidden="1">{#N/A,#N/A,FALSE,"RIEP"}</definedName>
    <definedName name="tgrgg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gzgtgrr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ertherth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hzsrhrzht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ikl679o679o" hidden="1">{#N/A,#N/A,FALSE,"RIEP"}</definedName>
    <definedName name="TM1REBUILDOPTION">0</definedName>
    <definedName name="toma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rjk5i57" hidden="1">{"SPM1",#N/A,FALSE,"RIEP"}</definedName>
    <definedName name="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ttttttttttt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tyiltu9ol" hidden="1">{"QQQ",#N/A,FALSE,"RIEP"}</definedName>
    <definedName name="ugkj" hidden="1">{"QQQ",#N/A,FALSE,"RIEP"}</definedName>
    <definedName name="ukkkk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SD">'[6]Nrj présentat°'!$AR$3</definedName>
    <definedName name="uttkjg" hidden="1">{"QQQ",#N/A,FALSE,"RIEP"}</definedName>
    <definedName name="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uuuuuu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6uyjyu" hidden="1">{#N/A,#N/A,FALSE,"RIEP"}</definedName>
    <definedName name="vcbbxb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vvvv" hidden="1">{"QQQ",#N/A,FALSE,"RIEP"}</definedName>
    <definedName name="vvvvbbbb" hidden="1">{#N/A,#N/A,FALSE,"RIEP"}</definedName>
    <definedName name="vvvvvv" hidden="1">{#N/A,#N/A,FALSE,"RIEP"}</definedName>
    <definedName name="vvvvvvvv" hidden="1">{"SPM1",#N/A,FALSE,"RIEP"}</definedName>
    <definedName name="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e" hidden="1">{"SPM1",#N/A,FALSE,"RIEP"}</definedName>
    <definedName name="wer" hidden="1">{#N/A,#N/A,FALSE,"ANALYSE";#N/A,#N/A,FALSE,"PM VALEUR"}</definedName>
    <definedName name="wetrwrt" hidden="1">{"QQQ",#N/A,FALSE,"RIEP"}</definedName>
    <definedName name="wewe" hidden="1">{"SPM1",#N/A,FALSE,"RIEP"}</definedName>
    <definedName name="wrn.CCC." hidden="1">{"QQQ",#N/A,FALSE,"RIEP"}</definedName>
    <definedName name="wrn.Charges." hidden="1">{"Analyse charges",#N/A,FALSE,"Feuil1 (2)"}</definedName>
    <definedName name="wrn.Charges._.Clécy." hidden="1">{#N/A,#N/A,FALSE,"Evol98";#N/A,#N/A,FALSE,"Saisie98"}</definedName>
    <definedName name="wrn.CLECY." hidden="1">{#N/A,#N/A,TRUE,"VOLUMES";#N/A,#N/A,TRUE,"1A-TB 240";#N/A,#N/A,TRUE,"1B-TB 250";#N/A,#N/A,TRUE,"1D-Tr 240";#N/A,#N/A,TRUE,"1E-Tr 250";#N/A,#N/A,TRUE,"1M-Tr 250 60%";#N/A,#N/A,TRUE,"5A-Cru 240";#N/A,#N/A,TRUE,"5B-Cru 250";#N/A,#N/A,TRUE,"5D-Bio 250";#N/A,#N/A,TRUE,"3B-TB 320";#N/A,#N/A,TRUE,"3C-TB 350";#N/A,#N/A,TRUE,"Sérum";#N/A,#N/A,TRUE,"Recap Mat";#N/A,#N/A,TRUE,"ING CAM-TB";#N/A,#N/A,TRUE,"ING CAM-60%";#N/A,#N/A,TRUE,"ING CAM-Cru";#N/A,#N/A,TRUE,"ING COULO -52%";#N/A,#N/A,TRUE,"Recap Ing";#N/A,#N/A,TRUE,"CHARGES";#N/A,#N/A,TRUE,"Répart_charges";#N/A,#N/A,TRUE,"ENERGIES";#N/A,#N/A,TRUE,"EFFECTIF";#N/A,#N/A,TRUE,"Synthèse";#N/A,#N/A,TRUE,"CPTE EXPLOIT";#N/A,#N/A,TRUE,"PRIX CESSION";#N/A,#N/A,TRUE,"CONTROLE"}</definedName>
    <definedName name="wrn.CNQGLOBAL." hidden="1">{#N/A,#N/A,FALSE,"RODEZ";#N/A,#N/A,FALSE,"BLEU CAUSSES";#N/A,#N/A,FALSE,"BLOC PAST";#N/A,#N/A,FALSE,"PENA";#N/A,#N/A,FALSE,"BUCHES";"RONDELEBASE",#N/A,FALSE,"RONDELE";"LONS",#N/A,FALSE,"RONDELE";#N/A,#N/A,FALSE,"UHT";#N/A,#N/A,FALSE,"POUDRE LAIT";#N/A,#N/A,FALSE,"POUDRE SER"}</definedName>
    <definedName name="wrn.COMMENTAIRES." hidden="1">{#N/A,#N/A,FALSE,"EC COMM-c";#N/A,#N/A,FALSE,"EC PAR PDTS-c";#N/A,#N/A,FALSE,"EC MAT-c";#N/A,#N/A,FALSE,"SUIVI HAUSSES-c"}</definedName>
    <definedName name="wrn.Complet." hidden="1">{"fr_collecte",#N/A,FALSE,"Fr_SA";"Fr_holding",#N/A,FALSE,"Fr_SA";"Frais_from",#N/A,FALSE,"Frs";"Couverture",#N/A,FALSE,"Frs";"Activité",#N/A,FALSE,"Act";"Act_commentaires",#N/A,FALSE,"Act";"Eff_personnel",#N/A,FALSE,"Eff";"Rendement",#N/A,FALSE,"Rdt";"Péreq",#N/A,FALSE,"Péreq";"récapit_mat",#N/A,FALSE,"récap_matière";#N/A,#N/A,FALSE,"Pci";"Ing_ingrédients",#N/A,FALSE,"Ing";"pci_évolution",#N/A,FALSE,"Pci";"pci_CA",#N/A,FALSE,"Pci";"pci_amélioration",#N/A,FALSE,"Pci";"SIG_Vercel",#N/A,FALSE,"Pci";"SIG_Philipona",#N/A,FALSE,"Pci"}</definedName>
    <definedName name="wrn.CUMUL." hidden="1">{#N/A,#N/A,FALSE,"recap";#N/A,#N/A,FALSE,"matNeuf";#N/A,#N/A,FALSE,"matNdie";#N/A,#N/A,FALSE,"incNeuf";#N/A,#N/A,FALSE,"incNdie";#N/A,#N/A,FALSE,"volume";#N/A,#N/A,FALSE,"emballage";#N/A,#N/A,FALSE,"charge"}</definedName>
    <definedName name="wrn.EDITION." hidden="1">{#N/A,#N/A,TRUE,"VOLUMES";#N/A,#N/A,TRUE,"RDT CAM";#N/A,#N/A,TRUE,"RDT BDP";#N/A,#N/A,TRUE,"RDT LIV250";#N/A,#N/A,TRUE,"RDT LIV500";#N/A,#N/A,TRUE,"ING CAM";#N/A,#N/A,TRUE,"ING BDP";#N/A,#N/A,TRUE,"ING LIV";#N/A,#N/A,TRUE,"CHARGES";#N/A,#N/A,TRUE,"ENERGIES";#N/A,#N/A,TRUE,"PRODCHIM";#N/A,#N/A,TRUE,"EFFECTIF";#N/A,#N/A,TRUE,"PRIX CESSION";#N/A,#N/A,TRUE,"CPTE EXPLOIT";#N/A,#N/A,TRUE,"CONTROLE"}</definedName>
    <definedName name="wrn.ex." hidden="1">{#N/A,#N/A,FALSE,"ANALYSE";#N/A,#N/A,FALSE,"PM VALEUR"}</definedName>
    <definedName name="wrn.Impression._.totale." hidden="1">{"Analyse charges",#N/A,FALSE,"Feuil1 (2)";"Ratios activités",#N/A,FALSE,"Feuil1 (2)";"Indicateurs",#N/A,FALSE,"Feuil1 (2)"}</definedName>
    <definedName name="wrn.Indicateurs." hidden="1">{"Indicateurs",#N/A,FALSE,"Feuil1 (2)"}</definedName>
    <definedName name="wrn.MENSUEL." hidden="1">{#N/A,#N/A,FALSE,"recap";#N/A,#N/A,FALSE,"matNeuf";#N/A,#N/A,FALSE,"matNdie";#N/A,#N/A,FALSE,"incNeuf";#N/A,#N/A,FALSE,"incNdie";#N/A,#N/A,FALSE,"volume";#N/A,#N/A,FALSE,"emballage";#N/A,#N/A,FALSE,"charge";#N/A,#N/A,FALSE,"cumul I";#N/A,#N/A,FALSE,"cumul II";#N/A,#N/A,FALSE,"cumul III"}</definedName>
    <definedName name="wrn.MOYENNE." hidden="1">{#N/A,#N/A,FALSE,"recap";#N/A,#N/A,FALSE,"matNeuf";#N/A,#N/A,FALSE,"matNdie";#N/A,#N/A,FALSE,"incNeuf";#N/A,#N/A,FALSE,"incNdie";#N/A,#N/A,FALSE,"volume";#N/A,#N/A,FALSE,"emballage";#N/A,#N/A,FALSE,"charge"}</definedName>
    <definedName name="wrn.novgl.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rn.Ratios." hidden="1">{"Ratios activités",#N/A,FALSE,"Feuil1 (2)"}</definedName>
    <definedName name="wrn.REELBUD." hidden="1">{"DETAIL",#N/A,FALSE,"REELBUDGET";"TOTAL",#N/A,FALSE,"REELBUDGET"}</definedName>
    <definedName name="wrn.Résultat." hidden="1">{"Struct",#N/A,FALSE,"Récap Struct";"Struct",#N/A,FALSE,"Récap Struct";"Chges Total",#N/A,FALSE,"Chges Récap";"Chges Détail",#N/A,FALSE,"Chges Récap";"Struct",#N/A,FALSE,"Récap Struct";"Chges Total",#N/A,FALSE,"Chges Récap";"Chges Détail",#N/A,FALSE,"Chges Récap";"Détail",#N/A,FALSE,"Chges Détail"}</definedName>
    <definedName name="wrn.SPA1." hidden="1">{#N/A,#N/A,FALSE,"RIEP"}</definedName>
    <definedName name="wrn.SPM1." hidden="1">{"SPM1",#N/A,FALSE,"RIEP"}</definedName>
    <definedName name="wrn.SYNTHESE." hidden="1">{#N/A,#N/A,TRUE,"ANALYSE";#N/A,#N/A,TRUE,"PM VOLUME";#N/A,#N/A,TRUE,"PM VALEUR";#N/A,#N/A,TRUE,"AR1";#N/A,#N/A,TRUE,"AR2";#N/A,#N/A,TRUE,"RAF";#N/A,#N/A,TRUE,"BILAN";#N/A,#N/A,TRUE,"CASH FLOW";#N/A,#N/A,TRUE,"ETAT FI"}</definedName>
    <definedName name="wrn.TABLEAUX." hidden="1">{#N/A,#N/A,TRUE,"EC COMM-t";#N/A,#N/A,TRUE,"EC PAR PDTS-t";#N/A,#N/A,TRUE,"EC MAT-t";#N/A,#N/A,TRUE,"SUIVI HAUSSES-t"}</definedName>
    <definedName name="wrn1.CCC." hidden="1">{"QQQ",#N/A,FALSE,"RIEP"}</definedName>
    <definedName name="wwww" hidden="1">{#N/A,#N/A,FALSE,"RIEP"}</definedName>
    <definedName name="wwwwww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wwwwwwwwwwww" hidden="1">{"QQQ",#N/A,FALSE,"RIEP"}</definedName>
    <definedName name="ybukkbyitkituk" hidden="1">{#N/A,#N/A,FALSE,"RIEP"}</definedName>
    <definedName name="yert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e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rnukuilky8u" hidden="1">{"QQQ",#N/A,FALSE,"RIEP"}</definedName>
    <definedName name="YY" hidden="1">{#N/A,#N/A,FALSE,"RIEP"}</definedName>
    <definedName name="yyqeyq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yyyyyy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aefze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fzerfzef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egtrgzgt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" hidden="1">#REF!</definedName>
    <definedName name="zzfzaf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" hidden="1">#REF!</definedName>
    <definedName name="zzzzz" hidden="1">#REF!</definedName>
    <definedName name="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" hidden="1">{"glinput",#N/A,FALSE,"NOVGL";"page2",#N/A,FALSE,"NOVGL";"veveypl",#N/A,FALSE,"NOVGL";"compl",#N/A,FALSE,"NOVGL";"asset",#N/A,FALSE,"NOVGL";"liab",#N/A,FALSE,"NOVGL";"assetgl",#N/A,FALSE,"NOVGL";"liabgl",#N/A,FALSE,"NOVGL";"balast",#N/A,FALSE,"NOVGL";"ballib",#N/A,FALSE,"NOVGL"}</definedName>
    <definedName name="zzzzzzzzzz" hidden="1">{#N/A,#N/A,FALSE,"RIEP"}</definedName>
    <definedName name="zzzzzzzzzzzzz" hidden="1">{#N/A,#N/A,FALSE,"RIEP"}</definedName>
    <definedName name="zzzzzzzzzzzzzz" hidden="1">{"QQQ",#N/A,FALSE,"RIEP"}</definedName>
    <definedName name="zzzzzzzzzzzzzzzzzz" hidden="1">{"QQQ",#N/A,FALSE,"RIEP"}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7" l="1"/>
  <c r="B72" i="17"/>
  <c r="B64" i="17"/>
  <c r="B41" i="17"/>
  <c r="B40" i="17"/>
  <c r="B36" i="17"/>
  <c r="B77" i="17" s="1"/>
  <c r="B31" i="17"/>
  <c r="B65" i="17" s="1"/>
  <c r="B16" i="17"/>
  <c r="B76" i="17" s="1"/>
  <c r="B61" i="16"/>
  <c r="E89" i="16"/>
  <c r="E84" i="16"/>
  <c r="E76" i="16"/>
  <c r="E53" i="16"/>
  <c r="E54" i="16" s="1"/>
  <c r="E52" i="16"/>
  <c r="E56" i="16" s="1"/>
  <c r="E48" i="16"/>
  <c r="E43" i="16"/>
  <c r="E77" i="16" s="1"/>
  <c r="E35" i="16"/>
  <c r="E81" i="16" s="1"/>
  <c r="E92" i="16" s="1"/>
  <c r="E25" i="16"/>
  <c r="E88" i="16" s="1"/>
  <c r="E18" i="16"/>
  <c r="E11" i="16"/>
  <c r="E8" i="16"/>
  <c r="D89" i="16"/>
  <c r="D88" i="16"/>
  <c r="D97" i="16" s="1"/>
  <c r="D84" i="16"/>
  <c r="D76" i="16"/>
  <c r="D53" i="16"/>
  <c r="D52" i="16"/>
  <c r="D48" i="16"/>
  <c r="D43" i="16"/>
  <c r="D77" i="16" s="1"/>
  <c r="D95" i="16" s="1"/>
  <c r="D35" i="16"/>
  <c r="D81" i="16" s="1"/>
  <c r="D92" i="16" s="1"/>
  <c r="D25" i="16"/>
  <c r="D20" i="16"/>
  <c r="D83" i="16" s="1"/>
  <c r="D94" i="16" s="1"/>
  <c r="D96" i="16" s="1"/>
  <c r="D58" i="16" s="1"/>
  <c r="D19" i="16"/>
  <c r="D80" i="16" s="1"/>
  <c r="D91" i="16" s="1"/>
  <c r="D93" i="16" s="1"/>
  <c r="D18" i="16"/>
  <c r="D11" i="16"/>
  <c r="D8" i="16"/>
  <c r="C89" i="16"/>
  <c r="C88" i="16"/>
  <c r="C84" i="16"/>
  <c r="C76" i="16"/>
  <c r="C53" i="16"/>
  <c r="C52" i="16"/>
  <c r="C56" i="16" s="1"/>
  <c r="C48" i="16"/>
  <c r="C43" i="16"/>
  <c r="C77" i="16" s="1"/>
  <c r="C35" i="16"/>
  <c r="C81" i="16" s="1"/>
  <c r="C92" i="16" s="1"/>
  <c r="C25" i="16"/>
  <c r="C20" i="16"/>
  <c r="C83" i="16" s="1"/>
  <c r="C94" i="16" s="1"/>
  <c r="C19" i="16"/>
  <c r="C80" i="16" s="1"/>
  <c r="C91" i="16" s="1"/>
  <c r="C93" i="16" s="1"/>
  <c r="C18" i="16"/>
  <c r="C11" i="16"/>
  <c r="C8" i="16"/>
  <c r="B11" i="17" l="1"/>
  <c r="B71" i="17" s="1"/>
  <c r="B82" i="17" s="1"/>
  <c r="B10" i="17"/>
  <c r="B42" i="17"/>
  <c r="B43" i="17" s="1"/>
  <c r="B66" i="17"/>
  <c r="B83" i="17"/>
  <c r="B68" i="17"/>
  <c r="B79" i="17" s="1"/>
  <c r="B85" i="17"/>
  <c r="B26" i="17"/>
  <c r="B69" i="17" s="1"/>
  <c r="B80" i="17" s="1"/>
  <c r="B44" i="17"/>
  <c r="E19" i="16"/>
  <c r="E80" i="16" s="1"/>
  <c r="E91" i="16" s="1"/>
  <c r="E93" i="16" s="1"/>
  <c r="E66" i="16" s="1"/>
  <c r="E20" i="16"/>
  <c r="E39" i="16" s="1"/>
  <c r="E106" i="16" s="1"/>
  <c r="D56" i="16"/>
  <c r="D54" i="16"/>
  <c r="D55" i="16" s="1"/>
  <c r="C54" i="16"/>
  <c r="C55" i="16" s="1"/>
  <c r="E78" i="16"/>
  <c r="E95" i="16"/>
  <c r="D66" i="16"/>
  <c r="D86" i="16"/>
  <c r="D61" i="16"/>
  <c r="E97" i="16"/>
  <c r="D78" i="16"/>
  <c r="D23" i="16"/>
  <c r="D38" i="16"/>
  <c r="D39" i="16"/>
  <c r="E55" i="16"/>
  <c r="C66" i="16"/>
  <c r="C78" i="16"/>
  <c r="C95" i="16"/>
  <c r="C96" i="16" s="1"/>
  <c r="C97" i="16"/>
  <c r="C23" i="16"/>
  <c r="C38" i="16"/>
  <c r="C39" i="16"/>
  <c r="B84" i="16"/>
  <c r="B76" i="16"/>
  <c r="B53" i="16"/>
  <c r="B52" i="16"/>
  <c r="B48" i="16"/>
  <c r="B89" i="16" s="1"/>
  <c r="B43" i="16"/>
  <c r="B77" i="16" s="1"/>
  <c r="B25" i="16"/>
  <c r="B88" i="16" s="1"/>
  <c r="B18" i="16"/>
  <c r="B11" i="16"/>
  <c r="B8" i="16"/>
  <c r="B84" i="17" l="1"/>
  <c r="B46" i="17" s="1"/>
  <c r="B49" i="17" s="1"/>
  <c r="B50" i="17" s="1"/>
  <c r="B51" i="17" s="1"/>
  <c r="B81" i="17"/>
  <c r="B14" i="17"/>
  <c r="E83" i="16"/>
  <c r="E94" i="16" s="1"/>
  <c r="E96" i="16" s="1"/>
  <c r="E58" i="16" s="1"/>
  <c r="E61" i="16" s="1"/>
  <c r="E62" i="16" s="1"/>
  <c r="E63" i="16" s="1"/>
  <c r="E60" i="16" s="1"/>
  <c r="E38" i="16"/>
  <c r="E105" i="16" s="1"/>
  <c r="E13" i="16"/>
  <c r="E23" i="16"/>
  <c r="B19" i="16"/>
  <c r="B80" i="16" s="1"/>
  <c r="B91" i="16" s="1"/>
  <c r="B20" i="16"/>
  <c r="B83" i="16" s="1"/>
  <c r="B94" i="16" s="1"/>
  <c r="D62" i="16"/>
  <c r="D67" i="16" s="1"/>
  <c r="D63" i="16"/>
  <c r="D60" i="16" s="1"/>
  <c r="D74" i="16"/>
  <c r="D68" i="16"/>
  <c r="D12" i="16"/>
  <c r="D105" i="16"/>
  <c r="D106" i="16"/>
  <c r="D13" i="16"/>
  <c r="C58" i="16"/>
  <c r="C86" i="16"/>
  <c r="C106" i="16"/>
  <c r="C13" i="16"/>
  <c r="C105" i="16"/>
  <c r="C12" i="16"/>
  <c r="B56" i="16"/>
  <c r="B54" i="16"/>
  <c r="B55" i="16" s="1"/>
  <c r="B35" i="16"/>
  <c r="B81" i="16" s="1"/>
  <c r="B92" i="16" s="1"/>
  <c r="B95" i="16"/>
  <c r="B97" i="16"/>
  <c r="B78" i="16"/>
  <c r="B74" i="17" l="1"/>
  <c r="B54" i="17"/>
  <c r="B52" i="17" s="1"/>
  <c r="B55" i="17"/>
  <c r="B48" i="17"/>
  <c r="B62" i="17"/>
  <c r="B56" i="17"/>
  <c r="E86" i="16"/>
  <c r="E12" i="16"/>
  <c r="B39" i="16"/>
  <c r="B23" i="16"/>
  <c r="B38" i="16"/>
  <c r="B105" i="16" s="1"/>
  <c r="B96" i="16"/>
  <c r="B58" i="16" s="1"/>
  <c r="B62" i="16" s="1"/>
  <c r="B63" i="16" s="1"/>
  <c r="E64" i="16"/>
  <c r="E65" i="16" s="1"/>
  <c r="E67" i="16"/>
  <c r="E102" i="16" s="1"/>
  <c r="E69" i="16" s="1"/>
  <c r="E72" i="16" s="1"/>
  <c r="E73" i="16" s="1"/>
  <c r="E68" i="16"/>
  <c r="E101" i="16" s="1"/>
  <c r="E108" i="16" s="1"/>
  <c r="D64" i="16"/>
  <c r="D102" i="16"/>
  <c r="D69" i="16" s="1"/>
  <c r="D72" i="16" s="1"/>
  <c r="D73" i="16" s="1"/>
  <c r="D100" i="16"/>
  <c r="D107" i="16" s="1"/>
  <c r="E74" i="16"/>
  <c r="E103" i="16"/>
  <c r="D103" i="16"/>
  <c r="D101" i="16"/>
  <c r="D108" i="16" s="1"/>
  <c r="C61" i="16"/>
  <c r="C62" i="16" s="1"/>
  <c r="C74" i="16" s="1"/>
  <c r="B93" i="16"/>
  <c r="B66" i="16" s="1"/>
  <c r="B90" i="17" l="1"/>
  <c r="B57" i="17" s="1"/>
  <c r="B60" i="17" s="1"/>
  <c r="B61" i="17" s="1"/>
  <c r="B88" i="17"/>
  <c r="B53" i="17"/>
  <c r="B91" i="17"/>
  <c r="B89" i="17"/>
  <c r="B106" i="16"/>
  <c r="B13" i="16"/>
  <c r="B12" i="16"/>
  <c r="E100" i="16"/>
  <c r="E107" i="16" s="1"/>
  <c r="E109" i="16" s="1"/>
  <c r="C68" i="16"/>
  <c r="C103" i="16" s="1"/>
  <c r="D109" i="16"/>
  <c r="D70" i="16"/>
  <c r="D71" i="16" s="1"/>
  <c r="D65" i="16"/>
  <c r="E70" i="16"/>
  <c r="E71" i="16" s="1"/>
  <c r="C63" i="16"/>
  <c r="C67" i="16"/>
  <c r="B86" i="16"/>
  <c r="B64" i="16"/>
  <c r="B67" i="16"/>
  <c r="B60" i="16"/>
  <c r="B68" i="16"/>
  <c r="B74" i="16"/>
  <c r="B58" i="17" l="1"/>
  <c r="B59" i="17" s="1"/>
  <c r="C101" i="16"/>
  <c r="C108" i="16" s="1"/>
  <c r="C102" i="16"/>
  <c r="C69" i="16" s="1"/>
  <c r="C72" i="16" s="1"/>
  <c r="C73" i="16" s="1"/>
  <c r="C100" i="16"/>
  <c r="C107" i="16" s="1"/>
  <c r="C60" i="16"/>
  <c r="C64" i="16"/>
  <c r="B103" i="16"/>
  <c r="B101" i="16"/>
  <c r="B108" i="16" s="1"/>
  <c r="B102" i="16"/>
  <c r="B69" i="16" s="1"/>
  <c r="B72" i="16" s="1"/>
  <c r="B73" i="16" s="1"/>
  <c r="B100" i="16"/>
  <c r="B107" i="16" s="1"/>
  <c r="B65" i="16"/>
  <c r="C109" i="16" l="1"/>
  <c r="C70" i="16"/>
  <c r="C71" i="16" s="1"/>
  <c r="C65" i="16"/>
  <c r="B70" i="16"/>
  <c r="B71" i="16" s="1"/>
  <c r="B109" i="16"/>
</calcChain>
</file>

<file path=xl/sharedStrings.xml><?xml version="1.0" encoding="utf-8"?>
<sst xmlns="http://schemas.openxmlformats.org/spreadsheetml/2006/main" count="185" uniqueCount="88">
  <si>
    <t>ESM</t>
  </si>
  <si>
    <t>MG</t>
  </si>
  <si>
    <t>MP</t>
  </si>
  <si>
    <t>Total mat prima</t>
  </si>
  <si>
    <t>VALOR MP</t>
  </si>
  <si>
    <t>VALOR MG</t>
  </si>
  <si>
    <t>Precio materia (euros/kg)</t>
  </si>
  <si>
    <t>Consumo materia g/kg queso</t>
  </si>
  <si>
    <t>Densidad Nata de suero</t>
  </si>
  <si>
    <t>Composición leche</t>
  </si>
  <si>
    <t>Receta</t>
  </si>
  <si>
    <t>MG Nata de Suero  (g/L)</t>
  </si>
  <si>
    <t>Leche en cubas</t>
  </si>
  <si>
    <t>MG Nata de suero (g/L)</t>
  </si>
  <si>
    <t>MP Nata de suero (g/L)</t>
  </si>
  <si>
    <t>Ratio MG/MP leche</t>
  </si>
  <si>
    <t>G/ES %</t>
  </si>
  <si>
    <t xml:space="preserve">HFD </t>
  </si>
  <si>
    <t xml:space="preserve">EST % </t>
  </si>
  <si>
    <t>Análisis salida sal</t>
  </si>
  <si>
    <t>MP en cuba (g/L)</t>
  </si>
  <si>
    <t>Densidad Leche</t>
  </si>
  <si>
    <t>MG Leche (g/L)</t>
  </si>
  <si>
    <t>MP Leche  (g/L)</t>
  </si>
  <si>
    <t>MG Origen Leche</t>
  </si>
  <si>
    <t>MP Origen Leche</t>
  </si>
  <si>
    <t>MG Origen Nata Suero</t>
  </si>
  <si>
    <t>MP Origen Nata Suero</t>
  </si>
  <si>
    <t>MG Pérddias brutas suero  (g/L)</t>
  </si>
  <si>
    <t>MG estándar en la mezcla (g/L)</t>
  </si>
  <si>
    <t>MG suero en cuba (g/L)</t>
  </si>
  <si>
    <t>MG STD sin nata de suero (g/L)</t>
  </si>
  <si>
    <t>Consumo MP total leche en cuba</t>
  </si>
  <si>
    <t>Consumo MG total leche en cuba</t>
  </si>
  <si>
    <t>MG Pérddias brutas suero  (%)</t>
  </si>
  <si>
    <t>Ratio recuperación MP (Rendimiento MP %)</t>
  </si>
  <si>
    <t>Litraje unitario</t>
  </si>
  <si>
    <t>MG teórica en la cuba (g/L)</t>
  </si>
  <si>
    <t>Consumo MG (sólo MG comprada) (g/K queso)</t>
  </si>
  <si>
    <t>Consumo MP (sólo MP comprada) (g/K queso)</t>
  </si>
  <si>
    <t>Datos del producto</t>
  </si>
  <si>
    <t>EST a salida de sal (%)</t>
  </si>
  <si>
    <t>MG a saida de sal (%)</t>
  </si>
  <si>
    <t>Ratio recuperación MG (%)</t>
  </si>
  <si>
    <t>1. Presupuesto</t>
  </si>
  <si>
    <t>Datos de materia prima</t>
  </si>
  <si>
    <t>Coef de recuperación MG</t>
  </si>
  <si>
    <t>Coef de recuperación MP</t>
  </si>
  <si>
    <t>Leche (%)</t>
  </si>
  <si>
    <t>Nata de suero de recuperación (%)</t>
  </si>
  <si>
    <t>Coeficientes de recuperación</t>
  </si>
  <si>
    <t>Receta en volumen (debe sumar 100%)</t>
  </si>
  <si>
    <t>Composición nata suero (g/L)</t>
  </si>
  <si>
    <t>Otros datos</t>
  </si>
  <si>
    <t>Densidad nata (kg/L)</t>
  </si>
  <si>
    <t>Coef G (ESM queso obtenido a partir de MP leche)</t>
  </si>
  <si>
    <t>Agua</t>
  </si>
  <si>
    <t>Lactosa</t>
  </si>
  <si>
    <t>Sales minerales y otros</t>
  </si>
  <si>
    <t>Densidad</t>
  </si>
  <si>
    <t>Coste de la leche en fabrica</t>
  </si>
  <si>
    <t>Total euros/L</t>
  </si>
  <si>
    <t>Datos estándar</t>
  </si>
  <si>
    <t>Materia grasa (% m/m)</t>
  </si>
  <si>
    <t>Proteinas totales (% m/m)</t>
  </si>
  <si>
    <t>Materia grasa (g/L)</t>
  </si>
  <si>
    <t>Proteinas totales (g/L)</t>
  </si>
  <si>
    <t>Factor MG/MP</t>
  </si>
  <si>
    <t>Reparto precio MG leche</t>
  </si>
  <si>
    <t>Reparto precio MP leche (1 - MG)</t>
  </si>
  <si>
    <t>Temperatura a la que se hace la medida (⁰C)</t>
  </si>
  <si>
    <t xml:space="preserve">% Leche </t>
  </si>
  <si>
    <t>% Nata de suero</t>
  </si>
  <si>
    <t>Densidad calculada leche en cuba</t>
  </si>
  <si>
    <t>Precio pagado al ganadero (euros/L)</t>
  </si>
  <si>
    <t>Coste transporte + otros recogida (euros/L)</t>
  </si>
  <si>
    <t>Valor MG leche en fábrica (euros/L)</t>
  </si>
  <si>
    <t>Valor MP leche en fábrica (euros/L)</t>
  </si>
  <si>
    <t>2. Estándar técnico del producto</t>
  </si>
  <si>
    <t xml:space="preserve">Composición suero entero (g/L) </t>
  </si>
  <si>
    <t>EST</t>
  </si>
  <si>
    <t>Mezcla</t>
  </si>
  <si>
    <t>Vaca</t>
  </si>
  <si>
    <t>Oveja</t>
  </si>
  <si>
    <t>Bajo en MG</t>
  </si>
  <si>
    <t>MG Pérdidas suero neta (g/L)</t>
  </si>
  <si>
    <t>MG Pérdidas suero neta (%)</t>
  </si>
  <si>
    <t>Ejemplo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</si>
</sst>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#,##0_ ;[Red]\-#,##0\ "/>
    <numFmt numFmtId="165" formatCode="#,##0.000_ ;[Red]\-#,##0.000\ "/>
    <numFmt numFmtId="166" formatCode="0.0%"/>
    <numFmt numFmtId="167" formatCode="0.000"/>
    <numFmt numFmtId="168" formatCode="#,##0.000_);\(#,##0.000\)"/>
    <numFmt numFmtId="169" formatCode="#,##0.00_);\(#,##0.00\)"/>
    <numFmt numFmtId="170" formatCode="#,##0.0000"/>
    <numFmt numFmtId="171" formatCode="_-* #,##0.00\ _€_-;\-* #,##0.00\ _€_-;_-* &quot;-&quot;??\ _€_-;_-@_-"/>
    <numFmt numFmtId="172" formatCode="#,##0.00_ ;[Red]\-#,##0.00\ "/>
    <numFmt numFmtId="173" formatCode="0.0000"/>
    <numFmt numFmtId="174" formatCode="0.0"/>
    <numFmt numFmtId="175" formatCode="_-* #,##0.000_-;\-* #,##0.000_-;_-* &quot;-&quot;??_-;_-@_-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indexed="1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8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5">
    <xf numFmtId="0" fontId="0" fillId="0" borderId="0" xfId="0"/>
    <xf numFmtId="0" fontId="0" fillId="0" borderId="3" xfId="0" applyBorder="1"/>
    <xf numFmtId="0" fontId="0" fillId="0" borderId="5" xfId="0" applyBorder="1"/>
    <xf numFmtId="164" fontId="0" fillId="0" borderId="3" xfId="0" applyNumberFormat="1" applyBorder="1" applyAlignment="1">
      <alignment horizontal="left" indent="1"/>
    </xf>
    <xf numFmtId="10" fontId="0" fillId="3" borderId="3" xfId="1" applyNumberFormat="1" applyFont="1" applyFill="1" applyBorder="1"/>
    <xf numFmtId="168" fontId="3" fillId="4" borderId="16" xfId="0" applyNumberFormat="1" applyFont="1" applyFill="1" applyBorder="1"/>
    <xf numFmtId="168" fontId="3" fillId="4" borderId="14" xfId="0" applyNumberFormat="1" applyFont="1" applyFill="1" applyBorder="1"/>
    <xf numFmtId="168" fontId="3" fillId="4" borderId="15" xfId="0" applyNumberFormat="1" applyFont="1" applyFill="1" applyBorder="1"/>
    <xf numFmtId="2" fontId="3" fillId="0" borderId="5" xfId="0" applyNumberFormat="1" applyFont="1" applyBorder="1"/>
    <xf numFmtId="169" fontId="7" fillId="0" borderId="5" xfId="0" applyNumberFormat="1" applyFont="1" applyBorder="1" applyAlignment="1" applyProtection="1">
      <alignment horizontal="right"/>
      <protection locked="0"/>
    </xf>
    <xf numFmtId="169" fontId="3" fillId="0" borderId="9" xfId="0" applyNumberFormat="1" applyFont="1" applyBorder="1"/>
    <xf numFmtId="169" fontId="3" fillId="0" borderId="9" xfId="0" applyNumberFormat="1" applyFont="1" applyBorder="1" applyAlignment="1">
      <alignment horizontal="right"/>
    </xf>
    <xf numFmtId="10" fontId="3" fillId="0" borderId="9" xfId="0" applyNumberFormat="1" applyFont="1" applyBorder="1" applyAlignment="1">
      <alignment horizontal="right"/>
    </xf>
    <xf numFmtId="168" fontId="3" fillId="0" borderId="9" xfId="0" applyNumberFormat="1" applyFont="1" applyBorder="1" applyAlignment="1">
      <alignment horizontal="right"/>
    </xf>
    <xf numFmtId="10" fontId="7" fillId="0" borderId="9" xfId="1" applyNumberFormat="1" applyFont="1" applyBorder="1" applyAlignment="1" applyProtection="1">
      <alignment horizontal="right"/>
      <protection locked="0"/>
    </xf>
    <xf numFmtId="10" fontId="3" fillId="0" borderId="3" xfId="0" applyNumberFormat="1" applyFont="1" applyBorder="1"/>
    <xf numFmtId="169" fontId="3" fillId="0" borderId="3" xfId="0" applyNumberFormat="1" applyFont="1" applyBorder="1"/>
    <xf numFmtId="169" fontId="3" fillId="0" borderId="7" xfId="0" applyNumberFormat="1" applyFont="1" applyBorder="1"/>
    <xf numFmtId="172" fontId="5" fillId="0" borderId="9" xfId="0" applyNumberFormat="1" applyFont="1" applyBorder="1"/>
    <xf numFmtId="10" fontId="3" fillId="0" borderId="9" xfId="1" applyNumberFormat="1" applyFont="1" applyBorder="1" applyAlignment="1">
      <alignment horizontal="right"/>
    </xf>
    <xf numFmtId="168" fontId="3" fillId="0" borderId="9" xfId="0" applyNumberFormat="1" applyFont="1" applyBorder="1" applyProtection="1">
      <protection locked="0"/>
    </xf>
    <xf numFmtId="169" fontId="4" fillId="5" borderId="3" xfId="0" applyNumberFormat="1" applyFont="1" applyFill="1" applyBorder="1"/>
    <xf numFmtId="169" fontId="4" fillId="5" borderId="7" xfId="0" applyNumberFormat="1" applyFont="1" applyFill="1" applyBorder="1"/>
    <xf numFmtId="169" fontId="4" fillId="5" borderId="9" xfId="0" applyNumberFormat="1" applyFont="1" applyFill="1" applyBorder="1"/>
    <xf numFmtId="169" fontId="4" fillId="5" borderId="17" xfId="0" applyNumberFormat="1" applyFont="1" applyFill="1" applyBorder="1"/>
    <xf numFmtId="0" fontId="9" fillId="0" borderId="0" xfId="0" applyFont="1"/>
    <xf numFmtId="10" fontId="0" fillId="3" borderId="7" xfId="1" applyNumberFormat="1" applyFont="1" applyFill="1" applyBorder="1"/>
    <xf numFmtId="0" fontId="0" fillId="3" borderId="3" xfId="0" applyFill="1" applyBorder="1"/>
    <xf numFmtId="164" fontId="0" fillId="0" borderId="7" xfId="0" applyNumberFormat="1" applyBorder="1" applyAlignment="1">
      <alignment horizontal="left" indent="1"/>
    </xf>
    <xf numFmtId="164" fontId="10" fillId="0" borderId="5" xfId="0" applyNumberFormat="1" applyFont="1" applyBorder="1" applyAlignment="1">
      <alignment horizontal="left"/>
    </xf>
    <xf numFmtId="164" fontId="2" fillId="0" borderId="3" xfId="0" applyNumberFormat="1" applyFont="1" applyBorder="1" applyAlignment="1">
      <alignment horizontal="left" indent="2"/>
    </xf>
    <xf numFmtId="164" fontId="0" fillId="0" borderId="3" xfId="0" applyNumberFormat="1" applyBorder="1" applyAlignment="1">
      <alignment horizontal="left" indent="3"/>
    </xf>
    <xf numFmtId="164" fontId="2" fillId="0" borderId="6" xfId="0" applyNumberFormat="1" applyFont="1" applyBorder="1" applyAlignment="1">
      <alignment horizontal="left"/>
    </xf>
    <xf numFmtId="10" fontId="0" fillId="3" borderId="3" xfId="0" applyNumberFormat="1" applyFill="1" applyBorder="1"/>
    <xf numFmtId="2" fontId="0" fillId="3" borderId="3" xfId="0" applyNumberFormat="1" applyFill="1" applyBorder="1"/>
    <xf numFmtId="167" fontId="0" fillId="3" borderId="3" xfId="0" applyNumberFormat="1" applyFill="1" applyBorder="1"/>
    <xf numFmtId="167" fontId="0" fillId="3" borderId="7" xfId="0" applyNumberFormat="1" applyFill="1" applyBorder="1"/>
    <xf numFmtId="164" fontId="0" fillId="0" borderId="7" xfId="0" applyNumberFormat="1" applyBorder="1" applyAlignment="1">
      <alignment horizontal="left" indent="3"/>
    </xf>
    <xf numFmtId="10" fontId="0" fillId="3" borderId="7" xfId="0" applyNumberFormat="1" applyFill="1" applyBorder="1"/>
    <xf numFmtId="164" fontId="0" fillId="0" borderId="4" xfId="0" applyNumberFormat="1" applyBorder="1" applyAlignment="1">
      <alignment horizontal="left" indent="1"/>
    </xf>
    <xf numFmtId="0" fontId="0" fillId="0" borderId="13" xfId="0" applyBorder="1" applyAlignment="1">
      <alignment horizontal="left" indent="1"/>
    </xf>
    <xf numFmtId="10" fontId="3" fillId="0" borderId="9" xfId="1" applyNumberFormat="1" applyFont="1" applyBorder="1"/>
    <xf numFmtId="164" fontId="0" fillId="0" borderId="4" xfId="0" applyNumberFormat="1" applyBorder="1" applyAlignment="1">
      <alignment horizontal="left" indent="2"/>
    </xf>
    <xf numFmtId="2" fontId="0" fillId="0" borderId="3" xfId="0" applyNumberFormat="1" applyBorder="1"/>
    <xf numFmtId="1" fontId="0" fillId="0" borderId="3" xfId="0" applyNumberFormat="1" applyBorder="1"/>
    <xf numFmtId="0" fontId="2" fillId="0" borderId="5" xfId="0" applyFont="1" applyBorder="1" applyAlignment="1">
      <alignment horizontal="center"/>
    </xf>
    <xf numFmtId="173" fontId="0" fillId="0" borderId="7" xfId="0" applyNumberFormat="1" applyBorder="1"/>
    <xf numFmtId="0" fontId="0" fillId="6" borderId="3" xfId="0" applyFill="1" applyBorder="1"/>
    <xf numFmtId="164" fontId="2" fillId="0" borderId="4" xfId="0" applyNumberFormat="1" applyFont="1" applyBorder="1" applyAlignment="1">
      <alignment horizontal="left" indent="1"/>
    </xf>
    <xf numFmtId="165" fontId="2" fillId="0" borderId="3" xfId="0" applyNumberFormat="1" applyFont="1" applyBorder="1"/>
    <xf numFmtId="167" fontId="2" fillId="0" borderId="3" xfId="0" applyNumberFormat="1" applyFont="1" applyBorder="1"/>
    <xf numFmtId="167" fontId="2" fillId="0" borderId="7" xfId="0" applyNumberFormat="1" applyFont="1" applyBorder="1"/>
    <xf numFmtId="169" fontId="3" fillId="0" borderId="19" xfId="0" applyNumberFormat="1" applyFont="1" applyBorder="1" applyAlignment="1">
      <alignment horizontal="right"/>
    </xf>
    <xf numFmtId="0" fontId="11" fillId="0" borderId="10" xfId="0" applyFont="1" applyBorder="1" applyAlignment="1">
      <alignment horizontal="left" vertical="center" indent="1"/>
    </xf>
    <xf numFmtId="0" fontId="11" fillId="0" borderId="10" xfId="0" quotePrefix="1" applyFont="1" applyBorder="1" applyAlignment="1">
      <alignment horizontal="left" vertical="center" indent="1"/>
    </xf>
    <xf numFmtId="0" fontId="11" fillId="0" borderId="10" xfId="0" applyFont="1" applyBorder="1" applyAlignment="1">
      <alignment vertical="center"/>
    </xf>
    <xf numFmtId="0" fontId="8" fillId="5" borderId="9" xfId="0" applyFont="1" applyFill="1" applyBorder="1" applyAlignment="1">
      <alignment vertical="center"/>
    </xf>
    <xf numFmtId="0" fontId="8" fillId="5" borderId="17" xfId="0" applyFont="1" applyFill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11" fillId="0" borderId="3" xfId="0" quotePrefix="1" applyFont="1" applyBorder="1" applyAlignment="1">
      <alignment vertical="center"/>
    </xf>
    <xf numFmtId="0" fontId="11" fillId="0" borderId="3" xfId="0" applyFont="1" applyBorder="1" applyAlignment="1">
      <alignment vertical="center"/>
    </xf>
    <xf numFmtId="0" fontId="8" fillId="5" borderId="3" xfId="0" quotePrefix="1" applyFont="1" applyFill="1" applyBorder="1" applyAlignment="1">
      <alignment vertical="center"/>
    </xf>
    <xf numFmtId="0" fontId="8" fillId="0" borderId="18" xfId="0" applyFont="1" applyBorder="1"/>
    <xf numFmtId="0" fontId="11" fillId="0" borderId="9" xfId="0" applyFont="1" applyBorder="1" applyAlignment="1">
      <alignment horizontal="left" vertical="center" indent="1"/>
    </xf>
    <xf numFmtId="0" fontId="8" fillId="0" borderId="11" xfId="0" applyFont="1" applyBorder="1" applyAlignment="1">
      <alignment vertical="center"/>
    </xf>
    <xf numFmtId="0" fontId="11" fillId="0" borderId="17" xfId="0" applyFont="1" applyBorder="1" applyAlignment="1">
      <alignment horizontal="left" vertical="center" indent="1"/>
    </xf>
    <xf numFmtId="0" fontId="8" fillId="0" borderId="12" xfId="0" applyFont="1" applyBorder="1" applyAlignment="1">
      <alignment vertical="center"/>
    </xf>
    <xf numFmtId="0" fontId="8" fillId="0" borderId="0" xfId="0" applyFont="1" applyAlignment="1">
      <alignment horizontal="left" vertical="center" indent="1"/>
    </xf>
    <xf numFmtId="0" fontId="11" fillId="0" borderId="6" xfId="0" applyFont="1" applyBorder="1" applyAlignment="1">
      <alignment vertical="center"/>
    </xf>
    <xf numFmtId="0" fontId="11" fillId="0" borderId="4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10" fontId="6" fillId="0" borderId="9" xfId="0" applyNumberFormat="1" applyFont="1" applyBorder="1"/>
    <xf numFmtId="0" fontId="11" fillId="0" borderId="4" xfId="0" applyFont="1" applyBorder="1" applyAlignment="1">
      <alignment horizontal="left" vertical="center" indent="1"/>
    </xf>
    <xf numFmtId="0" fontId="11" fillId="0" borderId="13" xfId="0" applyFont="1" applyBorder="1"/>
    <xf numFmtId="169" fontId="3" fillId="0" borderId="5" xfId="0" applyNumberFormat="1" applyFont="1" applyBorder="1"/>
    <xf numFmtId="10" fontId="6" fillId="0" borderId="3" xfId="0" applyNumberFormat="1" applyFont="1" applyBorder="1"/>
    <xf numFmtId="10" fontId="3" fillId="0" borderId="7" xfId="0" applyNumberFormat="1" applyFont="1" applyBorder="1"/>
    <xf numFmtId="172" fontId="5" fillId="0" borderId="3" xfId="0" applyNumberFormat="1" applyFont="1" applyBorder="1"/>
    <xf numFmtId="170" fontId="3" fillId="0" borderId="20" xfId="0" applyNumberFormat="1" applyFont="1" applyBorder="1"/>
    <xf numFmtId="0" fontId="11" fillId="0" borderId="20" xfId="0" applyFont="1" applyBorder="1" applyAlignment="1">
      <alignment horizontal="left" vertical="center" indent="1"/>
    </xf>
    <xf numFmtId="166" fontId="11" fillId="0" borderId="8" xfId="1" applyNumberFormat="1" applyFont="1" applyFill="1" applyBorder="1" applyAlignment="1" applyProtection="1">
      <alignment vertical="center"/>
    </xf>
    <xf numFmtId="172" fontId="5" fillId="0" borderId="21" xfId="0" applyNumberFormat="1" applyFont="1" applyBorder="1"/>
    <xf numFmtId="166" fontId="11" fillId="0" borderId="9" xfId="1" applyNumberFormat="1" applyFont="1" applyFill="1" applyBorder="1" applyAlignment="1" applyProtection="1">
      <alignment vertical="center"/>
    </xf>
    <xf numFmtId="0" fontId="11" fillId="0" borderId="0" xfId="0" applyFont="1" applyAlignment="1">
      <alignment horizontal="left" vertical="center" indent="1"/>
    </xf>
    <xf numFmtId="167" fontId="3" fillId="0" borderId="9" xfId="0" applyNumberFormat="1" applyFont="1" applyBorder="1" applyAlignment="1">
      <alignment horizontal="right"/>
    </xf>
    <xf numFmtId="170" fontId="6" fillId="0" borderId="3" xfId="0" applyNumberFormat="1" applyFont="1" applyBorder="1"/>
    <xf numFmtId="170" fontId="6" fillId="0" borderId="7" xfId="0" applyNumberFormat="1" applyFont="1" applyBorder="1"/>
    <xf numFmtId="0" fontId="11" fillId="0" borderId="0" xfId="0" applyFont="1" applyAlignment="1">
      <alignment vertical="center"/>
    </xf>
    <xf numFmtId="167" fontId="3" fillId="0" borderId="3" xfId="0" applyNumberFormat="1" applyFont="1" applyBorder="1"/>
    <xf numFmtId="168" fontId="4" fillId="2" borderId="3" xfId="0" applyNumberFormat="1" applyFont="1" applyFill="1" applyBorder="1"/>
    <xf numFmtId="168" fontId="4" fillId="2" borderId="7" xfId="0" applyNumberFormat="1" applyFont="1" applyFill="1" applyBorder="1"/>
    <xf numFmtId="164" fontId="10" fillId="0" borderId="6" xfId="0" applyNumberFormat="1" applyFont="1" applyBorder="1" applyAlignment="1">
      <alignment horizontal="left"/>
    </xf>
    <xf numFmtId="9" fontId="0" fillId="3" borderId="3" xfId="1" applyFont="1" applyFill="1" applyBorder="1"/>
    <xf numFmtId="9" fontId="0" fillId="0" borderId="3" xfId="1" applyFont="1" applyBorder="1"/>
    <xf numFmtId="0" fontId="2" fillId="0" borderId="4" xfId="0" applyFont="1" applyBorder="1" applyAlignment="1">
      <alignment horizontal="left" indent="1"/>
    </xf>
    <xf numFmtId="10" fontId="0" fillId="6" borderId="3" xfId="0" applyNumberFormat="1" applyFill="1" applyBorder="1"/>
    <xf numFmtId="10" fontId="0" fillId="0" borderId="3" xfId="0" applyNumberFormat="1" applyBorder="1"/>
    <xf numFmtId="9" fontId="0" fillId="6" borderId="3" xfId="0" applyNumberFormat="1" applyFill="1" applyBorder="1"/>
    <xf numFmtId="10" fontId="6" fillId="0" borderId="9" xfId="0" applyNumberFormat="1" applyFont="1" applyBorder="1" applyAlignment="1">
      <alignment horizontal="right"/>
    </xf>
    <xf numFmtId="0" fontId="0" fillId="0" borderId="1" xfId="0" applyBorder="1" applyAlignment="1">
      <alignment horizontal="center" vertical="center" wrapText="1"/>
    </xf>
    <xf numFmtId="164" fontId="0" fillId="7" borderId="4" xfId="0" applyNumberFormat="1" applyFill="1" applyBorder="1" applyAlignment="1">
      <alignment horizontal="left" indent="2"/>
    </xf>
    <xf numFmtId="167" fontId="0" fillId="7" borderId="3" xfId="0" applyNumberFormat="1" applyFill="1" applyBorder="1"/>
    <xf numFmtId="174" fontId="0" fillId="0" borderId="3" xfId="0" applyNumberFormat="1" applyBorder="1"/>
    <xf numFmtId="175" fontId="0" fillId="0" borderId="3" xfId="3" applyNumberFormat="1" applyFont="1" applyBorder="1"/>
    <xf numFmtId="168" fontId="7" fillId="0" borderId="3" xfId="0" applyNumberFormat="1" applyFont="1" applyBorder="1" applyProtection="1">
      <protection locked="0"/>
    </xf>
  </cellXfs>
  <cellStyles count="4">
    <cellStyle name="Millares" xfId="3" builtinId="3"/>
    <cellStyle name="Millares 2" xfId="2" xr:uid="{0DF497A4-B1A4-4A8E-B2C1-3A725AAFDCC2}"/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calcChain" Target="calcChain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microsoft.com/office/2017/10/relationships/person" Target="persons/perso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s001688/Lactalis%20Industrial/Presupuesto%202017/VR/B11%20BVR%2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mmercial\Cheddar\Analysis\2009\01-%20Janary%202009\Performance%20Metrics%20Jan%2009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%20and%20Settings\naigeeg.UK\Local%20Settings\Temporary%20Internet%20Files\OLK4\BR%20Variance%20analysis%20Cust%20Clas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OGEST\BDG%2005\ScTempi\TempiFusi204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Commercial\2007\09%20September\Variance%20analysis%20by%20Cust%20Class%20Mar07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dcdg\indcdg\Usines%20Industriel\Budget%202013\0-Synth&#232;se\Analyses%20transversales\Synth&#232;se%20comp%20usine%20budget%20201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Precdg/INDUSTRIEL/Budget%20Industriel/BUDGET%20INDUSTRIEL%202009/BOUVRON/Precdg/INDUSTRIEL/PCI/CREATIONS%20DE%20PCI/PPC%20&amp;%20PPNC/BOUVRON%20PPC/071029%20-%20Mozza%20Galbani/071030%20-%20B08%20BVR%20-%20Mozza%20R&#226;p&#233;%20Galbani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IntInd\Res%20Mens\0CONSO\RECAPVOLUME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DT (2)"/>
      <sheetName val="VERIF"/>
      <sheetName val="Atterrissage PPNC"/>
      <sheetName val="Atterrissage PPC"/>
      <sheetName val="Synthèse Usine PPC"/>
      <sheetName val="Synthèse Usine PPNC"/>
      <sheetName val="SYNT"/>
      <sheetName val="PE"/>
      <sheetName val="U1"/>
      <sheetName val="DI"/>
      <sheetName val="SIG"/>
      <sheetName val="VOL"/>
      <sheetName val="ACTIVITE"/>
      <sheetName val="FR22"/>
      <sheetName val="MIXM"/>
      <sheetName val="RDT"/>
      <sheetName val="FACON"/>
      <sheetName val="PRODté"/>
      <sheetName val="PCI PPNC"/>
      <sheetName val="PCI PPC"/>
      <sheetName val="Nvx Codes apres Bud"/>
      <sheetName val="INTERFACE"/>
    </sheetNames>
    <sheetDataSet>
      <sheetData sheetId="0" refreshError="1"/>
      <sheetData sheetId="1">
        <row r="10">
          <cell r="B10" t="str">
            <v>2010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">
          <cell r="O6">
            <v>29.297000000000001</v>
          </cell>
        </row>
      </sheetData>
      <sheetData sheetId="12">
        <row r="73">
          <cell r="G73">
            <v>1.54</v>
          </cell>
        </row>
      </sheetData>
      <sheetData sheetId="13" refreshError="1"/>
      <sheetData sheetId="14">
        <row r="258">
          <cell r="F258">
            <v>2.2000000000000002</v>
          </cell>
        </row>
      </sheetData>
      <sheetData sheetId="15"/>
      <sheetData sheetId="16">
        <row r="270">
          <cell r="C270" t="str">
            <v>E1</v>
          </cell>
        </row>
      </sheetData>
      <sheetData sheetId="17" refreshError="1"/>
      <sheetData sheetId="18" refreshError="1"/>
      <sheetData sheetId="19">
        <row r="9">
          <cell r="AD9">
            <v>4.3841000000000001</v>
          </cell>
        </row>
      </sheetData>
      <sheetData sheetId="20" refreshError="1"/>
      <sheetData sheetId="21">
        <row r="3">
          <cell r="E3" t="str">
            <v>JAN2010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Cover"/>
      <sheetName val="Contents"/>
      <sheetName val="Summary Superfamily"/>
      <sheetName val="_pcSlicerSheet13"/>
      <sheetName val="_pcHiddenSheet93"/>
      <sheetName val="Customer Continental"/>
      <sheetName val="Customer Cheddar"/>
      <sheetName val="_pcSlicerSheet14"/>
      <sheetName val="_pcHiddenSheet96"/>
      <sheetName val="_pcSlicerSheet15"/>
      <sheetName val="_pcHiddenSheet97"/>
      <sheetName val="_pcSlicerSheet16"/>
      <sheetName val="_pcHiddenSheet98"/>
      <sheetName val="_pcSlicerSheet1"/>
      <sheetName val="_pcHiddenSheet13"/>
      <sheetName val="_pcSlicerSheet4"/>
      <sheetName val="_pcHiddenSheet14"/>
      <sheetName val="Product Analysis"/>
      <sheetName val="_pcSlicerSheet"/>
      <sheetName val="_pcHiddenSheet12"/>
      <sheetName val="Promotions"/>
      <sheetName val="Brand Analysis"/>
      <sheetName val="Ratios"/>
      <sheetName val="Wastage"/>
      <sheetName val="1. Summary DB"/>
      <sheetName val="_pcHiddenSheet95"/>
      <sheetName val="2. Customer Analysis DB"/>
      <sheetName val="Glasgow"/>
      <sheetName val="_pcSlicerSheet57"/>
      <sheetName val="_pcHiddenSheet87"/>
      <sheetName val="_pcSlicerSheet3"/>
      <sheetName val="_pcHiddenSheet47"/>
      <sheetName val="_pcSlicerSheet2"/>
      <sheetName val="_pcHiddenSheet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0"/>
      <sheetData sheetId="11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2"/>
      <sheetData sheetId="13" refreshError="1">
        <row r="2">
          <cell r="A2" t="str">
            <v>January 2008</v>
          </cell>
        </row>
        <row r="3">
          <cell r="A3" t="str">
            <v>February 2008</v>
          </cell>
        </row>
        <row r="4">
          <cell r="A4" t="str">
            <v>March 2008</v>
          </cell>
        </row>
        <row r="5">
          <cell r="A5" t="str">
            <v>April 2008</v>
          </cell>
        </row>
        <row r="6">
          <cell r="A6" t="str">
            <v>May 2008</v>
          </cell>
        </row>
        <row r="7">
          <cell r="A7" t="str">
            <v>June 2008</v>
          </cell>
        </row>
        <row r="8">
          <cell r="A8" t="str">
            <v>July 2008</v>
          </cell>
        </row>
        <row r="9">
          <cell r="A9" t="str">
            <v>August 2008</v>
          </cell>
        </row>
        <row r="10">
          <cell r="A10" t="str">
            <v>September 2008</v>
          </cell>
        </row>
        <row r="11">
          <cell r="A11" t="str">
            <v>October 2008</v>
          </cell>
        </row>
        <row r="12">
          <cell r="A12" t="str">
            <v>November 2008</v>
          </cell>
        </row>
        <row r="13">
          <cell r="A13" t="str">
            <v>December 2008</v>
          </cell>
        </row>
        <row r="14">
          <cell r="A14" t="str">
            <v>January 2009</v>
          </cell>
        </row>
        <row r="15">
          <cell r="A15" t="str">
            <v>February 2009</v>
          </cell>
        </row>
        <row r="16">
          <cell r="A16" t="str">
            <v>March 2009</v>
          </cell>
        </row>
        <row r="17">
          <cell r="A17" t="str">
            <v>April 2009</v>
          </cell>
        </row>
        <row r="18">
          <cell r="A18" t="str">
            <v>May 2009</v>
          </cell>
        </row>
        <row r="19">
          <cell r="A19" t="str">
            <v>June 2009</v>
          </cell>
        </row>
        <row r="20">
          <cell r="A20" t="str">
            <v>July 2009</v>
          </cell>
        </row>
        <row r="21">
          <cell r="A21" t="str">
            <v>August 2009</v>
          </cell>
        </row>
        <row r="22">
          <cell r="A22" t="str">
            <v>September 2009</v>
          </cell>
        </row>
        <row r="23">
          <cell r="A23" t="str">
            <v>October 2009</v>
          </cell>
        </row>
        <row r="24">
          <cell r="A24" t="str">
            <v>November 2009</v>
          </cell>
        </row>
        <row r="25">
          <cell r="A25" t="str">
            <v>December 2009</v>
          </cell>
        </row>
      </sheetData>
      <sheetData sheetId="14"/>
      <sheetData sheetId="15"/>
      <sheetData sheetId="16"/>
      <sheetData sheetId="17" refreshError="1">
        <row r="2">
          <cell r="A2" t="str">
            <v>December 2008</v>
          </cell>
        </row>
        <row r="3">
          <cell r="A3" t="str">
            <v>January 2009</v>
          </cell>
        </row>
        <row r="4">
          <cell r="A4" t="str">
            <v>February 2009</v>
          </cell>
        </row>
        <row r="5">
          <cell r="A5" t="str">
            <v>March 2009</v>
          </cell>
        </row>
        <row r="6">
          <cell r="A6" t="str">
            <v>April 2009</v>
          </cell>
        </row>
        <row r="7">
          <cell r="A7" t="str">
            <v>May 2009</v>
          </cell>
        </row>
        <row r="8">
          <cell r="A8" t="str">
            <v>June 2009</v>
          </cell>
        </row>
        <row r="9">
          <cell r="A9" t="str">
            <v>July 2009</v>
          </cell>
        </row>
        <row r="10">
          <cell r="A10" t="str">
            <v>August 2009</v>
          </cell>
        </row>
        <row r="11">
          <cell r="A11" t="str">
            <v>September 2009</v>
          </cell>
        </row>
        <row r="12">
          <cell r="A12" t="str">
            <v>October 2009</v>
          </cell>
        </row>
        <row r="13">
          <cell r="A13" t="str">
            <v>November 2009</v>
          </cell>
        </row>
        <row r="14">
          <cell r="A14" t="str">
            <v>December 2009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Jnl breakdown"/>
      <sheetName val="_pcHiddenSheet3"/>
      <sheetName val="PROMOTION VOLS"/>
    </sheetNames>
    <sheetDataSet>
      <sheetData sheetId="0"/>
      <sheetData sheetId="1" refreshError="1">
        <row r="4">
          <cell r="A4" t="str">
            <v>__Amount_for_Monthly_1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EPHAN"/>
      <sheetName val="2409_10"/>
      <sheetName val="2410_10"/>
      <sheetName val="2410_10 xRAI"/>
      <sheetName val="2410_ K1 (2)"/>
      <sheetName val="CBP +_K1 (2)"/>
      <sheetName val="SALSA 4F_ K1  (2)"/>
      <sheetName val="TIRAMISU"/>
      <sheetName val="PROCESSATO"/>
      <sheetName val="FABB_ K1"/>
      <sheetName val="Invest Wolf"/>
      <sheetName val="2411_10"/>
      <sheetName val="2430_10"/>
      <sheetName val="2458_10"/>
      <sheetName val="2462_10"/>
      <sheetName val="Mellin x 6 IPO 4H"/>
      <sheetName val="Mellin x 6 IPO 8H"/>
      <sheetName val="2465_10"/>
      <sheetName val="2476_60"/>
      <sheetName val="2510_10"/>
      <sheetName val="2512_10"/>
      <sheetName val="2530_10"/>
      <sheetName val="2580_10"/>
      <sheetName val="Foglio1"/>
      <sheetName val="Foglio1 (2)"/>
      <sheetName val="FILONE MOZZARELLA K2"/>
      <sheetName val="FILONE MOZZARELLA K1,2 UK"/>
      <sheetName val="FILONE MOZZARELLA K4"/>
      <sheetName val="RAPE"/>
      <sheetName val="CUBETTATO"/>
      <sheetName val="TRASPORTI"/>
      <sheetName val="LABCHIM"/>
      <sheetName val="CAPIREP"/>
      <sheetName val="PROGRES"/>
      <sheetName val="2410_10_xRAI"/>
      <sheetName val="2410__K1_(2)"/>
      <sheetName val="CBP_+_K1_(2)"/>
      <sheetName val="SALSA_4F__K1__(2)"/>
      <sheetName val="FABB__K1"/>
      <sheetName val="Invest_Wolf"/>
      <sheetName val="Mellin_x_6_IPO_4H"/>
      <sheetName val="Mellin_x_6_IPO_8H"/>
      <sheetName val="Foglio1_(2)"/>
      <sheetName val="FILONE_MOZZARELLA_K2"/>
      <sheetName val="FILONE_MOZZARELLA_K1,2_UK"/>
      <sheetName val="FILONE_MOZZARELLA_K4"/>
      <sheetName val="2410_10_xRAI1"/>
      <sheetName val="2410__K1_(2)1"/>
      <sheetName val="CBP_+_K1_(2)1"/>
      <sheetName val="SALSA_4F__K1__(2)1"/>
      <sheetName val="FABB__K11"/>
      <sheetName val="Invest_Wolf1"/>
      <sheetName val="Mellin_x_6_IPO_4H1"/>
      <sheetName val="Mellin_x_6_IPO_8H1"/>
      <sheetName val="Foglio1_(2)1"/>
      <sheetName val="FILONE_MOZZARELLA_K21"/>
      <sheetName val="FILONE_MOZZARELLA_K1,2_UK1"/>
      <sheetName val="FILONE_MOZZARELLA_K41"/>
      <sheetName val="Liste"/>
      <sheetName val="MENU"/>
      <sheetName val="TABLE"/>
      <sheetName val="DATA"/>
    </sheetNames>
    <sheetDataSet>
      <sheetData sheetId="0" refreshError="1">
        <row r="2">
          <cell r="B2" t="str">
            <v xml:space="preserve"> Stabilimento di</v>
          </cell>
          <cell r="H2" t="str">
            <v>SCHEDA RILEVAZIONE TEMPI</v>
          </cell>
          <cell r="O2" t="str">
            <v xml:space="preserve"> Data :</v>
          </cell>
        </row>
        <row r="3">
          <cell r="B3" t="str">
            <v xml:space="preserve"> CERTOSA </v>
          </cell>
          <cell r="D3">
            <v>220</v>
          </cell>
          <cell r="F3" t="str">
            <v>Reparto :</v>
          </cell>
          <cell r="G3" t="str">
            <v>FUSI</v>
          </cell>
          <cell r="H3">
            <v>210</v>
          </cell>
          <cell r="I3" t="str">
            <v>PREPARAZIONE IMPASTI E FUSIONE</v>
          </cell>
          <cell r="O3" t="str">
            <v xml:space="preserve"> Gennaio 2004</v>
          </cell>
        </row>
        <row r="4">
          <cell r="B4" t="str">
            <v xml:space="preserve"> PRODUZIONE :</v>
          </cell>
          <cell r="D4" t="str">
            <v xml:space="preserve">CREMA BEL PAESE  NORMALE + BIANCO + CREMOZOLA </v>
          </cell>
        </row>
        <row r="5">
          <cell r="D5" t="str">
            <v>+ FILANTE + FILANTE x PIZZA + IDEA PIZZA + FORMAGGIO PER PIZZA</v>
          </cell>
        </row>
        <row r="6">
          <cell r="F6" t="str">
            <v>Persone</v>
          </cell>
          <cell r="G6" t="str">
            <v>Tempo impiegato</v>
          </cell>
          <cell r="J6" t="str">
            <v>Quantità</v>
          </cell>
          <cell r="L6" t="str">
            <v>Tempo</v>
          </cell>
          <cell r="M6" t="str">
            <v>Prodotti destinatari</v>
          </cell>
        </row>
        <row r="7">
          <cell r="D7" t="str">
            <v>OPERAZIONI</v>
          </cell>
          <cell r="F7" t="str">
            <v>occupate</v>
          </cell>
          <cell r="G7" t="str">
            <v>Ore</v>
          </cell>
          <cell r="H7" t="str">
            <v>Ore</v>
          </cell>
          <cell r="I7" t="str">
            <v>Totale</v>
          </cell>
          <cell r="L7" t="str">
            <v>in ore</v>
          </cell>
          <cell r="M7" t="str">
            <v>C.B.P.</v>
          </cell>
          <cell r="N7" t="str">
            <v>C.B.P +.</v>
          </cell>
          <cell r="P7" t="str">
            <v>Filante</v>
          </cell>
        </row>
        <row r="8">
          <cell r="F8" t="str">
            <v>Posizioni</v>
          </cell>
          <cell r="G8" t="str">
            <v>squadra</v>
          </cell>
          <cell r="H8" t="str">
            <v>squadra</v>
          </cell>
          <cell r="I8" t="str">
            <v>ore ind</v>
          </cell>
          <cell r="J8" t="str">
            <v>Kg</v>
          </cell>
          <cell r="K8" t="str">
            <v>Kg</v>
          </cell>
          <cell r="L8" t="str">
            <v>riferito a</v>
          </cell>
          <cell r="M8" t="str">
            <v>Normale</v>
          </cell>
          <cell r="N8" t="str">
            <v>Dolc. Crem.</v>
          </cell>
          <cell r="O8" t="str">
            <v>K 1</v>
          </cell>
          <cell r="P8" t="str">
            <v>Idea Pizza</v>
          </cell>
        </row>
        <row r="9">
          <cell r="F9" t="str">
            <v>occupate</v>
          </cell>
          <cell r="G9" t="str">
            <v>in '</v>
          </cell>
          <cell r="H9" t="str">
            <v>decimali</v>
          </cell>
          <cell r="I9" t="str">
            <v>decimali</v>
          </cell>
          <cell r="J9" t="str">
            <v>settimana</v>
          </cell>
          <cell r="K9" t="str">
            <v>giorno</v>
          </cell>
          <cell r="L9" t="str">
            <v>100 Kg</v>
          </cell>
          <cell r="N9" t="str">
            <v xml:space="preserve">4 F-Proc.-Tir. </v>
          </cell>
          <cell r="P9" t="str">
            <v>Rapè - Mozz.</v>
          </cell>
        </row>
        <row r="11">
          <cell r="G11" t="str">
            <v xml:space="preserve"> x C.B.P. Normale</v>
          </cell>
          <cell r="J11" t="str">
            <v xml:space="preserve"> x C.B.P. +  e  Dolcelatte Cremoso</v>
          </cell>
          <cell r="M11" t="str">
            <v xml:space="preserve">  x Filante + Idea Pizza + Filante Rapè</v>
          </cell>
        </row>
        <row r="12">
          <cell r="C12" t="str">
            <v xml:space="preserve"> Determinazione gg./anno lavorati</v>
          </cell>
          <cell r="G12" t="str">
            <v>gg/sett.</v>
          </cell>
          <cell r="H12" t="str">
            <v>sett/anno</v>
          </cell>
          <cell r="I12" t="str">
            <v>gg/anno</v>
          </cell>
          <cell r="J12" t="str">
            <v>gg/sett.</v>
          </cell>
          <cell r="K12" t="str">
            <v>sett/anno</v>
          </cell>
          <cell r="L12" t="str">
            <v>gg/anno</v>
          </cell>
          <cell r="M12" t="str">
            <v>gg/sett.</v>
          </cell>
          <cell r="N12" t="str">
            <v>sett/anno</v>
          </cell>
          <cell r="O12" t="str">
            <v>gg/anno</v>
          </cell>
        </row>
        <row r="15">
          <cell r="G15">
            <v>5</v>
          </cell>
          <cell r="H15">
            <v>50</v>
          </cell>
          <cell r="I15">
            <v>250</v>
          </cell>
          <cell r="J15">
            <v>5</v>
          </cell>
          <cell r="K15">
            <v>50</v>
          </cell>
          <cell r="L15">
            <v>250</v>
          </cell>
          <cell r="M15">
            <v>5</v>
          </cell>
          <cell r="N15">
            <v>50</v>
          </cell>
          <cell r="O15">
            <v>250</v>
          </cell>
        </row>
        <row r="16">
          <cell r="B16" t="str">
            <v>A</v>
          </cell>
          <cell r="C16" t="str">
            <v xml:space="preserve"> OPERAZIONI PRELIMINARI</v>
          </cell>
        </row>
        <row r="17">
          <cell r="M17" t="str">
            <v xml:space="preserve">Tempo in ore riferito a 100/kg </v>
          </cell>
        </row>
        <row r="18">
          <cell r="B18">
            <v>1</v>
          </cell>
          <cell r="C18" t="str">
            <v xml:space="preserve"> Rifornimento materie prime a reparto :</v>
          </cell>
        </row>
        <row r="19">
          <cell r="C19" t="str">
            <v xml:space="preserve"> - Scarico camions, pesatura palbox e stoccaggio in cella</v>
          </cell>
        </row>
        <row r="20">
          <cell r="C20" t="str">
            <v xml:space="preserve"> - Prelievo campioni x analisi, controllo</v>
          </cell>
        </row>
        <row r="21">
          <cell r="C21" t="str">
            <v xml:space="preserve">   rimanenze celle dinamica e formaggi</v>
          </cell>
          <cell r="F21">
            <v>2</v>
          </cell>
          <cell r="G21">
            <v>8</v>
          </cell>
          <cell r="H21">
            <v>16</v>
          </cell>
          <cell r="I21">
            <v>16</v>
          </cell>
          <cell r="K21">
            <v>59868</v>
          </cell>
          <cell r="L21">
            <v>2.6725462684572727E-2</v>
          </cell>
          <cell r="M21">
            <v>2.6725462684572727E-2</v>
          </cell>
          <cell r="N21">
            <v>2.6725462684572727E-2</v>
          </cell>
          <cell r="O21">
            <v>2.6725462684572727E-2</v>
          </cell>
          <cell r="P21">
            <v>2.6725462684572727E-2</v>
          </cell>
        </row>
        <row r="22">
          <cell r="B22">
            <v>2</v>
          </cell>
          <cell r="C22" t="str">
            <v xml:space="preserve"> Trasporto materie prime a reparto</v>
          </cell>
          <cell r="F22">
            <v>2</v>
          </cell>
          <cell r="G22">
            <v>8</v>
          </cell>
          <cell r="H22">
            <v>8</v>
          </cell>
          <cell r="I22">
            <v>16</v>
          </cell>
          <cell r="K22">
            <v>59868</v>
          </cell>
          <cell r="L22">
            <v>2.6725462684572727E-2</v>
          </cell>
          <cell r="M22">
            <v>2.6725462684572727E-2</v>
          </cell>
          <cell r="N22">
            <v>2.6725462684572727E-2</v>
          </cell>
          <cell r="O22">
            <v>2.6725462684572727E-2</v>
          </cell>
          <cell r="P22">
            <v>2.6725462684572727E-2</v>
          </cell>
        </row>
        <row r="23">
          <cell r="B23">
            <v>3</v>
          </cell>
          <cell r="C23" t="str">
            <v xml:space="preserve"> Lavaggio palbox m.p. + travaso da cartonbox altri</v>
          </cell>
          <cell r="F23">
            <v>2</v>
          </cell>
          <cell r="G23">
            <v>8</v>
          </cell>
          <cell r="H23">
            <v>8</v>
          </cell>
          <cell r="I23">
            <v>16</v>
          </cell>
          <cell r="K23">
            <v>59868</v>
          </cell>
          <cell r="L23">
            <v>2.6725462684572727E-2</v>
          </cell>
          <cell r="M23">
            <v>2.6725462684572727E-2</v>
          </cell>
          <cell r="N23">
            <v>2.6725462684572727E-2</v>
          </cell>
          <cell r="O23">
            <v>2.6725462684572727E-2</v>
          </cell>
          <cell r="P23">
            <v>2.6725462684572727E-2</v>
          </cell>
        </row>
        <row r="24">
          <cell r="C24" t="str">
            <v xml:space="preserve"> Analisi materie prime</v>
          </cell>
          <cell r="G24">
            <v>8</v>
          </cell>
          <cell r="H24">
            <v>0</v>
          </cell>
          <cell r="I24">
            <v>0</v>
          </cell>
          <cell r="K24">
            <v>22660</v>
          </cell>
          <cell r="L24">
            <v>0</v>
          </cell>
          <cell r="M24">
            <v>0</v>
          </cell>
        </row>
        <row r="25">
          <cell r="B25" t="str">
            <v>B</v>
          </cell>
        </row>
        <row r="26">
          <cell r="C26" t="str">
            <v xml:space="preserve"> PREPARAZIONI IMPASTI E FUSIONE</v>
          </cell>
        </row>
        <row r="27">
          <cell r="B27">
            <v>1</v>
          </cell>
          <cell r="C27" t="str">
            <v xml:space="preserve"> Impostazione ricette + carico + analisi</v>
          </cell>
          <cell r="F27">
            <v>2</v>
          </cell>
          <cell r="G27">
            <v>8</v>
          </cell>
          <cell r="H27">
            <v>8</v>
          </cell>
          <cell r="I27">
            <v>16</v>
          </cell>
          <cell r="K27">
            <v>22660</v>
          </cell>
          <cell r="L27">
            <v>7.0609002647837593E-2</v>
          </cell>
          <cell r="M27">
            <v>7.0609002647837593E-2</v>
          </cell>
        </row>
        <row r="29">
          <cell r="B29">
            <v>2</v>
          </cell>
          <cell r="C29" t="str">
            <v xml:space="preserve"> Assistenza impianto sterilizzazione e cremificazione</v>
          </cell>
          <cell r="F29">
            <v>2</v>
          </cell>
          <cell r="G29">
            <v>8</v>
          </cell>
          <cell r="H29">
            <v>8</v>
          </cell>
          <cell r="I29">
            <v>16</v>
          </cell>
          <cell r="K29">
            <v>22660</v>
          </cell>
          <cell r="L29">
            <v>7.0609002647837593E-2</v>
          </cell>
          <cell r="M29">
            <v>7.0609002647837593E-2</v>
          </cell>
        </row>
        <row r="30">
          <cell r="C30" t="str">
            <v xml:space="preserve"> Stephan + preparazione e carico caseina</v>
          </cell>
        </row>
        <row r="31">
          <cell r="B31">
            <v>3</v>
          </cell>
          <cell r="C31" t="str">
            <v xml:space="preserve"> Carico burro, fusione burro </v>
          </cell>
          <cell r="G31">
            <v>0</v>
          </cell>
          <cell r="H31">
            <v>0</v>
          </cell>
          <cell r="I31">
            <v>0</v>
          </cell>
          <cell r="K31">
            <v>22660</v>
          </cell>
          <cell r="L31">
            <v>0</v>
          </cell>
          <cell r="M31">
            <v>0</v>
          </cell>
        </row>
        <row r="33">
          <cell r="B33">
            <v>4</v>
          </cell>
          <cell r="C33" t="str">
            <v xml:space="preserve"> Assistenza e controllo cremificazione</v>
          </cell>
          <cell r="H33">
            <v>0</v>
          </cell>
          <cell r="I33">
            <v>0</v>
          </cell>
          <cell r="K33">
            <v>22660</v>
          </cell>
          <cell r="L33">
            <v>0</v>
          </cell>
          <cell r="M33">
            <v>0</v>
          </cell>
        </row>
        <row r="34">
          <cell r="B34">
            <v>5</v>
          </cell>
          <cell r="C34" t="str">
            <v xml:space="preserve"> Cottura in 1 Ks : addetti Stephan + pesatura sali di fusione</v>
          </cell>
          <cell r="H34">
            <v>0</v>
          </cell>
          <cell r="I34">
            <v>0</v>
          </cell>
          <cell r="K34">
            <v>22660</v>
          </cell>
          <cell r="L34">
            <v>0</v>
          </cell>
        </row>
        <row r="35">
          <cell r="B35">
            <v>6</v>
          </cell>
          <cell r="C35" t="str">
            <v xml:space="preserve"> Pressatura porzioni fusi + filante</v>
          </cell>
          <cell r="H35">
            <v>0</v>
          </cell>
          <cell r="I35">
            <v>0</v>
          </cell>
          <cell r="K35">
            <v>59868</v>
          </cell>
          <cell r="L35">
            <v>0</v>
          </cell>
          <cell r="M35">
            <v>0</v>
          </cell>
        </row>
        <row r="37">
          <cell r="B37">
            <v>7</v>
          </cell>
          <cell r="C37" t="str">
            <v xml:space="preserve"> Preparazione e cottura form. prefuso settimanale</v>
          </cell>
          <cell r="H37">
            <v>0</v>
          </cell>
          <cell r="I37">
            <v>0</v>
          </cell>
          <cell r="K37">
            <v>113300</v>
          </cell>
          <cell r="L37">
            <v>0</v>
          </cell>
          <cell r="M37">
            <v>0</v>
          </cell>
        </row>
        <row r="39">
          <cell r="B39">
            <v>8</v>
          </cell>
          <cell r="C39" t="str">
            <v xml:space="preserve"> Colatura linee + trasporto pasta a Stephan</v>
          </cell>
          <cell r="F39">
            <v>2</v>
          </cell>
          <cell r="G39">
            <v>8</v>
          </cell>
          <cell r="H39">
            <v>8</v>
          </cell>
          <cell r="I39">
            <v>16</v>
          </cell>
          <cell r="K39">
            <v>29528</v>
          </cell>
          <cell r="L39">
            <v>5.4185857491194797E-2</v>
          </cell>
          <cell r="M39">
            <v>5.4185857491194797E-2</v>
          </cell>
        </row>
        <row r="41">
          <cell r="B41">
            <v>9</v>
          </cell>
          <cell r="C41" t="str">
            <v xml:space="preserve"> Lavaggio iniziale e finale Stephan</v>
          </cell>
          <cell r="F41">
            <v>1</v>
          </cell>
          <cell r="G41">
            <v>8</v>
          </cell>
          <cell r="H41">
            <v>8</v>
          </cell>
          <cell r="I41">
            <v>8</v>
          </cell>
          <cell r="K41">
            <v>22660</v>
          </cell>
          <cell r="L41">
            <v>3.5304501323918797E-2</v>
          </cell>
          <cell r="M41">
            <v>3.5304501323918797E-2</v>
          </cell>
        </row>
        <row r="43">
          <cell r="B43">
            <v>10</v>
          </cell>
          <cell r="C43" t="str">
            <v xml:space="preserve"> Lavaggio iniziale + finale Combinator e linee, preparazione</v>
          </cell>
          <cell r="G43">
            <v>8</v>
          </cell>
          <cell r="H43">
            <v>8</v>
          </cell>
          <cell r="I43">
            <v>0</v>
          </cell>
          <cell r="K43">
            <v>29528</v>
          </cell>
          <cell r="L43">
            <v>0</v>
          </cell>
          <cell r="M43">
            <v>0</v>
          </cell>
        </row>
        <row r="44">
          <cell r="C44" t="str">
            <v xml:space="preserve"> macchine formatrici e lavaggio allibert</v>
          </cell>
        </row>
        <row r="46">
          <cell r="B46">
            <v>11</v>
          </cell>
          <cell r="C46" t="str">
            <v>Lavaggio ferri</v>
          </cell>
          <cell r="F46">
            <v>1</v>
          </cell>
          <cell r="G46">
            <v>8</v>
          </cell>
          <cell r="H46">
            <v>8</v>
          </cell>
          <cell r="I46">
            <v>8</v>
          </cell>
          <cell r="K46">
            <v>29528</v>
          </cell>
          <cell r="L46">
            <v>2.7092928745597399E-2</v>
          </cell>
          <cell r="M46">
            <v>2.7092928745597399E-2</v>
          </cell>
        </row>
        <row r="48">
          <cell r="B48">
            <v>12</v>
          </cell>
          <cell r="C48" t="str">
            <v>Travaso pasta a fusione da cartonbox a palbox</v>
          </cell>
          <cell r="H48">
            <v>0</v>
          </cell>
          <cell r="I48">
            <v>0</v>
          </cell>
          <cell r="K48">
            <v>29528</v>
          </cell>
          <cell r="L48">
            <v>0</v>
          </cell>
          <cell r="M48">
            <v>0</v>
          </cell>
        </row>
        <row r="49">
          <cell r="C49" t="str">
            <v xml:space="preserve"> Addetti Ks x Dolc. Cr. / CBP +/ 4 Form. / Process./ Tiramisù</v>
          </cell>
          <cell r="F49">
            <v>2</v>
          </cell>
          <cell r="G49">
            <v>8</v>
          </cell>
          <cell r="H49">
            <v>8</v>
          </cell>
          <cell r="I49">
            <v>16</v>
          </cell>
          <cell r="K49">
            <v>6868</v>
          </cell>
          <cell r="L49">
            <v>0.23296447291788003</v>
          </cell>
          <cell r="N49">
            <v>0.23296447291788003</v>
          </cell>
        </row>
        <row r="50">
          <cell r="C50" t="str">
            <v xml:space="preserve"> Capi reparto (vedi scheda allegato 3)</v>
          </cell>
          <cell r="L50">
            <v>1.2026458208057728E-2</v>
          </cell>
          <cell r="M50">
            <v>1.2026458208057728E-2</v>
          </cell>
          <cell r="N50">
            <v>1.2026458208057728E-2</v>
          </cell>
          <cell r="O50">
            <v>1.2026458208057728E-2</v>
          </cell>
          <cell r="P50">
            <v>1.2026458208057728E-2</v>
          </cell>
        </row>
        <row r="52">
          <cell r="C52" t="str">
            <v>NB  tener conto di 1 x 8 ore Magor</v>
          </cell>
          <cell r="F52">
            <v>1</v>
          </cell>
          <cell r="G52">
            <v>8</v>
          </cell>
          <cell r="H52">
            <v>8</v>
          </cell>
          <cell r="I52">
            <v>8</v>
          </cell>
        </row>
        <row r="56">
          <cell r="C56" t="str">
            <v xml:space="preserve"> TEMPO TOTALE</v>
          </cell>
          <cell r="E56" t="str">
            <v>ORE/100 KG.</v>
          </cell>
          <cell r="I56">
            <v>136</v>
          </cell>
          <cell r="L56">
            <v>0.58296861203604211</v>
          </cell>
          <cell r="M56">
            <v>0.35000413911816208</v>
          </cell>
          <cell r="N56">
            <v>0.32516731917965591</v>
          </cell>
          <cell r="O56">
            <v>9.2202846261775911E-2</v>
          </cell>
          <cell r="P56">
            <v>9.2202846261775911E-2</v>
          </cell>
        </row>
        <row r="60">
          <cell r="C60" t="str">
            <v xml:space="preserve"> Determinanti 2004</v>
          </cell>
          <cell r="F60" t="str">
            <v>KG/ANNO</v>
          </cell>
          <cell r="G60" t="str">
            <v>GG/ANNO</v>
          </cell>
          <cell r="H60" t="str">
            <v>KG/GIORNO</v>
          </cell>
        </row>
        <row r="61">
          <cell r="C61" t="str">
            <v xml:space="preserve"> C.B.P. Normale</v>
          </cell>
          <cell r="F61">
            <v>5665000</v>
          </cell>
          <cell r="G61">
            <v>250</v>
          </cell>
          <cell r="H61">
            <v>22660</v>
          </cell>
          <cell r="K61" t="str">
            <v xml:space="preserve"> SEGUE SU SCHEDE DI CONFEZIONAMENTO</v>
          </cell>
        </row>
        <row r="62">
          <cell r="C62" t="str">
            <v xml:space="preserve"> C.B.P. +,  Dolcelatte cremoso, Crema 4 formaggi, Processato</v>
          </cell>
          <cell r="F62">
            <v>1717000</v>
          </cell>
          <cell r="G62">
            <v>250</v>
          </cell>
          <cell r="H62">
            <v>6868</v>
          </cell>
          <cell r="K62" t="str">
            <v xml:space="preserve"> - FUSI PORZIONI</v>
          </cell>
        </row>
        <row r="63">
          <cell r="H63" t="str">
            <v/>
          </cell>
          <cell r="K63" t="str">
            <v xml:space="preserve"> - FILANTE</v>
          </cell>
        </row>
        <row r="64">
          <cell r="C64" t="str">
            <v xml:space="preserve"> Filante + Idea Pizza + Fil. Rapè + Filone Mozz.</v>
          </cell>
          <cell r="F64">
            <v>7585000</v>
          </cell>
          <cell r="G64">
            <v>250</v>
          </cell>
          <cell r="H64">
            <v>30340</v>
          </cell>
          <cell r="K64" t="str">
            <v xml:space="preserve"> - FILANTE x PIZZA</v>
          </cell>
        </row>
        <row r="65">
          <cell r="K65" t="str">
            <v xml:space="preserve"> - IDEA PIZZA</v>
          </cell>
        </row>
        <row r="66">
          <cell r="K66" t="str">
            <v xml:space="preserve"> - FORMAGGIO PER PIZZA</v>
          </cell>
        </row>
        <row r="68">
          <cell r="C68" t="str">
            <v xml:space="preserve"> TOTALI</v>
          </cell>
          <cell r="F68">
            <v>14967000</v>
          </cell>
          <cell r="G68">
            <v>248</v>
          </cell>
          <cell r="H68">
            <v>59868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cBookData"/>
      <sheetName val="pcQueryData"/>
      <sheetName val="_pcSlicerSheet"/>
      <sheetName val="_pcHiddenSheet1"/>
      <sheetName val="Vol and GP Report"/>
      <sheetName val="CUST LOOKUP"/>
      <sheetName val="_pcSlicerSheet1"/>
      <sheetName val="_pcHiddenSheet2"/>
      <sheetName val="TRADING REPORT"/>
      <sheetName val="_pcHiddenSheet3"/>
      <sheetName val="PROMOTION VOLS"/>
    </sheetNames>
    <sheetDataSet>
      <sheetData sheetId="0"/>
      <sheetData sheetId="1" refreshError="1">
        <row r="3">
          <cell r="A3" t="str">
            <v>_Amount_for_Monthly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mmaire"/>
      <sheetName val="synth"/>
      <sheetName val="pts attention"/>
      <sheetName val="taux de perte MP-MG"/>
      <sheetName val="perte MP-MG av quai"/>
      <sheetName val="rendements sérum"/>
      <sheetName val="dco"/>
      <sheetName val="charges"/>
      <sheetName val="Nrj ratios"/>
      <sheetName val="Prix Nrj"/>
      <sheetName val="Nrj présentat°"/>
      <sheetName val="Eau présentat°"/>
      <sheetName val="détail effectifs"/>
      <sheetName val="productivité"/>
      <sheetName val="pdvté.laval"/>
      <sheetName val="effectifs"/>
      <sheetName val="évolut° eff"/>
      <sheetName val="évolut° masse"/>
      <sheetName val="synthèse.perso"/>
      <sheetName val="eff &amp; frais perso"/>
      <sheetName val="tnp"/>
      <sheetName val="Prod chim"/>
      <sheetName val="Laboratoire"/>
      <sheetName val="analyses"/>
      <sheetName val="PTT EPI"/>
      <sheetName val="info et clean"/>
      <sheetName val="déchets"/>
      <sheetName val="stk ext"/>
      <sheetName val="Shéma palette"/>
      <sheetName val="Emballages"/>
      <sheetName val="Ecremeus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>
        <row r="2">
          <cell r="AR2">
            <v>0.83</v>
          </cell>
        </row>
        <row r="3">
          <cell r="AR3">
            <v>1.27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>
        <row r="6">
          <cell r="H6">
            <v>82589</v>
          </cell>
        </row>
      </sheetData>
      <sheetData sheetId="22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YNT"/>
      <sheetName val="PE"/>
      <sheetName val="U1"/>
      <sheetName val="DI"/>
      <sheetName val="VERIF"/>
      <sheetName val="SIG"/>
      <sheetName val="VOL"/>
      <sheetName val="ACTIVITE"/>
      <sheetName val="RDT"/>
      <sheetName val="FR22"/>
      <sheetName val="MIXM"/>
      <sheetName val="PRODté"/>
      <sheetName val="FACON"/>
      <sheetName val="PCI PPNC"/>
      <sheetName val="PCI PPC"/>
      <sheetName val="RAPE GALBANI"/>
      <sheetName val="INTERFA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/>
      <sheetData sheetId="11"/>
      <sheetData sheetId="12"/>
      <sheetData sheetId="13" refreshError="1"/>
      <sheetData sheetId="14"/>
      <sheetData sheetId="15" refreshError="1"/>
      <sheetData sheetId="1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cart Activité"/>
      <sheetName val="VOLUMES"/>
      <sheetName val="Grille"/>
    </sheetNames>
    <sheetDataSet>
      <sheetData sheetId="0"/>
      <sheetData sheetId="1"/>
      <sheetData sheetId="2" refreshError="1">
        <row r="3">
          <cell r="B3">
            <v>1</v>
          </cell>
          <cell r="C3" t="str">
            <v>JANVIER</v>
          </cell>
        </row>
        <row r="4">
          <cell r="B4">
            <v>2</v>
          </cell>
          <cell r="C4" t="str">
            <v>FÉVRIER</v>
          </cell>
        </row>
        <row r="5">
          <cell r="B5">
            <v>3</v>
          </cell>
          <cell r="C5" t="str">
            <v>MARS</v>
          </cell>
        </row>
        <row r="6">
          <cell r="B6">
            <v>4</v>
          </cell>
          <cell r="C6" t="str">
            <v>AVRIL</v>
          </cell>
        </row>
        <row r="7">
          <cell r="B7">
            <v>5</v>
          </cell>
          <cell r="C7" t="str">
            <v>MAI</v>
          </cell>
        </row>
        <row r="8">
          <cell r="B8">
            <v>6</v>
          </cell>
          <cell r="C8" t="str">
            <v>JUIN</v>
          </cell>
        </row>
        <row r="9">
          <cell r="B9">
            <v>7</v>
          </cell>
          <cell r="C9" t="str">
            <v>JUILLET</v>
          </cell>
        </row>
        <row r="10">
          <cell r="B10">
            <v>8</v>
          </cell>
          <cell r="C10" t="str">
            <v>AOÛT</v>
          </cell>
        </row>
        <row r="11">
          <cell r="B11">
            <v>9</v>
          </cell>
          <cell r="C11" t="str">
            <v>SEPTEMBRE</v>
          </cell>
        </row>
        <row r="12">
          <cell r="B12">
            <v>10</v>
          </cell>
          <cell r="C12" t="str">
            <v>OCTOBRE</v>
          </cell>
        </row>
        <row r="13">
          <cell r="B13">
            <v>11</v>
          </cell>
          <cell r="C13" t="str">
            <v>NOVEMBRE</v>
          </cell>
        </row>
        <row r="14">
          <cell r="B14">
            <v>12</v>
          </cell>
          <cell r="C14" t="str">
            <v>DÉCEMBRE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ECE93-D5CC-4EC1-8836-396C87E5120D}">
  <dimension ref="A1:E109"/>
  <sheetViews>
    <sheetView zoomScaleNormal="100" workbookViewId="0">
      <pane xSplit="1" ySplit="1" topLeftCell="B45" activePane="bottomRight" state="frozen"/>
      <selection pane="topRight" activeCell="B1" sqref="B1"/>
      <selection pane="bottomLeft" activeCell="A2" sqref="A2"/>
      <selection pane="bottomRight" activeCell="B59" sqref="B59"/>
    </sheetView>
  </sheetViews>
  <sheetFormatPr baseColWidth="10" defaultRowHeight="15" x14ac:dyDescent="0.25"/>
  <cols>
    <col min="1" max="1" width="44.140625" customWidth="1"/>
    <col min="2" max="5" width="15.28515625" customWidth="1"/>
  </cols>
  <sheetData>
    <row r="1" spans="1:5" ht="57" customHeight="1" x14ac:dyDescent="0.3">
      <c r="A1" s="25" t="s">
        <v>44</v>
      </c>
      <c r="B1" s="99" t="s">
        <v>81</v>
      </c>
      <c r="C1" s="99" t="s">
        <v>82</v>
      </c>
      <c r="D1" s="99" t="s">
        <v>83</v>
      </c>
      <c r="E1" s="99" t="s">
        <v>84</v>
      </c>
    </row>
    <row r="2" spans="1:5" ht="15.75" x14ac:dyDescent="0.25">
      <c r="A2" s="29" t="s">
        <v>40</v>
      </c>
      <c r="B2" s="2"/>
      <c r="C2" s="2"/>
      <c r="D2" s="2"/>
      <c r="E2" s="2"/>
    </row>
    <row r="3" spans="1:5" x14ac:dyDescent="0.25">
      <c r="A3" s="3" t="s">
        <v>41</v>
      </c>
      <c r="B3" s="4">
        <v>0.54949999999999999</v>
      </c>
      <c r="C3" s="4">
        <v>0.55630000000000002</v>
      </c>
      <c r="D3" s="4">
        <v>0.5635</v>
      </c>
      <c r="E3" s="4">
        <v>0.50470000000000004</v>
      </c>
    </row>
    <row r="4" spans="1:5" x14ac:dyDescent="0.25">
      <c r="A4" s="28" t="s">
        <v>42</v>
      </c>
      <c r="B4" s="26">
        <v>0.30280000000000001</v>
      </c>
      <c r="C4" s="26">
        <v>0.30049999999999999</v>
      </c>
      <c r="D4" s="26">
        <v>0.30930000000000002</v>
      </c>
      <c r="E4" s="26">
        <v>0.20219999999999999</v>
      </c>
    </row>
    <row r="5" spans="1:5" ht="15.75" x14ac:dyDescent="0.25">
      <c r="A5" s="91" t="s">
        <v>60</v>
      </c>
      <c r="B5" s="45"/>
      <c r="C5" s="45"/>
      <c r="D5" s="45"/>
      <c r="E5" s="45"/>
    </row>
    <row r="6" spans="1:5" x14ac:dyDescent="0.25">
      <c r="A6" s="39" t="s">
        <v>74</v>
      </c>
      <c r="B6" s="47">
        <v>0.49399999999999999</v>
      </c>
      <c r="C6" s="47">
        <v>0.49399999999999999</v>
      </c>
      <c r="D6" s="47">
        <v>1.375</v>
      </c>
      <c r="E6" s="47">
        <v>0.49399999999999999</v>
      </c>
    </row>
    <row r="7" spans="1:5" x14ac:dyDescent="0.25">
      <c r="A7" s="39" t="s">
        <v>75</v>
      </c>
      <c r="B7" s="47">
        <v>2.1000000000000001E-2</v>
      </c>
      <c r="C7" s="47">
        <v>2.1000000000000001E-2</v>
      </c>
      <c r="D7" s="47">
        <v>2.1000000000000001E-2</v>
      </c>
      <c r="E7" s="47">
        <v>2.1000000000000001E-2</v>
      </c>
    </row>
    <row r="8" spans="1:5" x14ac:dyDescent="0.25">
      <c r="A8" s="48" t="s">
        <v>61</v>
      </c>
      <c r="B8" s="49">
        <f>SUM(B6:B7)</f>
        <v>0.51500000000000001</v>
      </c>
      <c r="C8" s="49">
        <f>SUM(C6:C7)</f>
        <v>0.51500000000000001</v>
      </c>
      <c r="D8" s="49">
        <f>SUM(D6:D7)</f>
        <v>1.3959999999999999</v>
      </c>
      <c r="E8" s="49">
        <f>SUM(E6:E7)</f>
        <v>0.51500000000000001</v>
      </c>
    </row>
    <row r="9" spans="1:5" x14ac:dyDescent="0.25">
      <c r="A9" s="48"/>
      <c r="B9" s="49"/>
      <c r="C9" s="49"/>
      <c r="D9" s="49"/>
      <c r="E9" s="49"/>
    </row>
    <row r="10" spans="1:5" x14ac:dyDescent="0.25">
      <c r="A10" s="39" t="s">
        <v>68</v>
      </c>
      <c r="B10" s="92">
        <v>0.5</v>
      </c>
      <c r="C10" s="92">
        <v>0.5</v>
      </c>
      <c r="D10" s="92">
        <v>0.5</v>
      </c>
      <c r="E10" s="92">
        <v>0.5</v>
      </c>
    </row>
    <row r="11" spans="1:5" x14ac:dyDescent="0.25">
      <c r="A11" s="39" t="s">
        <v>69</v>
      </c>
      <c r="B11" s="93">
        <f>1-B10</f>
        <v>0.5</v>
      </c>
      <c r="C11" s="93">
        <f>1-C10</f>
        <v>0.5</v>
      </c>
      <c r="D11" s="93">
        <f>1-D10</f>
        <v>0.5</v>
      </c>
      <c r="E11" s="93">
        <f>1-E10</f>
        <v>0.5</v>
      </c>
    </row>
    <row r="12" spans="1:5" x14ac:dyDescent="0.25">
      <c r="A12" s="48" t="s">
        <v>76</v>
      </c>
      <c r="B12" s="50">
        <f t="shared" ref="B12:E13" si="0">B38*B19/1000</f>
        <v>0.25750000000000001</v>
      </c>
      <c r="C12" s="50">
        <f t="shared" si="0"/>
        <v>0.25750000000000001</v>
      </c>
      <c r="D12" s="50">
        <f t="shared" si="0"/>
        <v>0.69799999999999995</v>
      </c>
      <c r="E12" s="50">
        <f t="shared" si="0"/>
        <v>0.25750000000000001</v>
      </c>
    </row>
    <row r="13" spans="1:5" x14ac:dyDescent="0.25">
      <c r="A13" s="48" t="s">
        <v>77</v>
      </c>
      <c r="B13" s="51">
        <f t="shared" si="0"/>
        <v>0.25750000000000001</v>
      </c>
      <c r="C13" s="51">
        <f t="shared" si="0"/>
        <v>0.25750000000000001</v>
      </c>
      <c r="D13" s="51">
        <f t="shared" si="0"/>
        <v>0.69799999999999995</v>
      </c>
      <c r="E13" s="51">
        <f t="shared" si="0"/>
        <v>0.25750000000000001</v>
      </c>
    </row>
    <row r="14" spans="1:5" ht="15.75" x14ac:dyDescent="0.25">
      <c r="A14" s="91" t="s">
        <v>45</v>
      </c>
      <c r="B14" s="2"/>
      <c r="C14" s="2"/>
      <c r="D14" s="2"/>
      <c r="E14" s="2"/>
    </row>
    <row r="15" spans="1:5" x14ac:dyDescent="0.25">
      <c r="A15" s="48" t="s">
        <v>9</v>
      </c>
      <c r="B15" s="1"/>
      <c r="C15" s="1"/>
      <c r="D15" s="1"/>
      <c r="E15" s="1"/>
    </row>
    <row r="16" spans="1:5" x14ac:dyDescent="0.25">
      <c r="A16" s="42" t="s">
        <v>63</v>
      </c>
      <c r="B16" s="95">
        <v>0.04</v>
      </c>
      <c r="C16" s="95">
        <v>3.7600000000000001E-2</v>
      </c>
      <c r="D16" s="95">
        <v>6.8699999999999997E-2</v>
      </c>
      <c r="E16" s="95">
        <v>2.4E-2</v>
      </c>
    </row>
    <row r="17" spans="1:5" x14ac:dyDescent="0.25">
      <c r="A17" s="42" t="s">
        <v>64</v>
      </c>
      <c r="B17" s="95">
        <v>3.0993046097551175E-2</v>
      </c>
      <c r="C17" s="95">
        <v>3.0720329537532568E-2</v>
      </c>
      <c r="D17" s="95">
        <v>5.5090424047509655E-2</v>
      </c>
      <c r="E17" s="95">
        <v>3.254805380819209E-2</v>
      </c>
    </row>
    <row r="18" spans="1:5" x14ac:dyDescent="0.25">
      <c r="A18" s="100" t="s">
        <v>67</v>
      </c>
      <c r="B18" s="101">
        <f>B16/B17</f>
        <v>1.2906120900184923</v>
      </c>
      <c r="C18" s="101">
        <f>C16/C17</f>
        <v>1.2239452039100751</v>
      </c>
      <c r="D18" s="101">
        <f>D16/D17</f>
        <v>1.2470406824379048</v>
      </c>
      <c r="E18" s="101">
        <f>E16/E17</f>
        <v>0.73737127698736282</v>
      </c>
    </row>
    <row r="19" spans="1:5" x14ac:dyDescent="0.25">
      <c r="A19" s="42" t="s">
        <v>65</v>
      </c>
      <c r="B19" s="43">
        <f>B16*B25</f>
        <v>41.369261311999999</v>
      </c>
      <c r="C19" s="43">
        <f>C16*C25</f>
        <v>38.887208658483203</v>
      </c>
      <c r="D19" s="43">
        <f>D16*D25</f>
        <v>71.049455264320798</v>
      </c>
      <c r="E19" s="43">
        <f>E16*E25</f>
        <v>24.821995192320003</v>
      </c>
    </row>
    <row r="20" spans="1:5" x14ac:dyDescent="0.25">
      <c r="A20" s="42" t="s">
        <v>66</v>
      </c>
      <c r="B20" s="43">
        <f>B17*B25</f>
        <v>32.053985571611406</v>
      </c>
      <c r="C20" s="43">
        <f>C17*C25</f>
        <v>31.772017680409405</v>
      </c>
      <c r="D20" s="43">
        <f>D17*D25</f>
        <v>56.974448600524013</v>
      </c>
      <c r="E20" s="43">
        <f>E17*E25</f>
        <v>33.662818131096529</v>
      </c>
    </row>
    <row r="21" spans="1:5" x14ac:dyDescent="0.25">
      <c r="A21" s="42" t="s">
        <v>57</v>
      </c>
      <c r="B21" s="34">
        <v>48</v>
      </c>
      <c r="C21" s="34">
        <v>48</v>
      </c>
      <c r="D21" s="34">
        <v>48</v>
      </c>
      <c r="E21" s="34">
        <v>48</v>
      </c>
    </row>
    <row r="22" spans="1:5" x14ac:dyDescent="0.25">
      <c r="A22" s="42" t="s">
        <v>58</v>
      </c>
      <c r="B22" s="34">
        <v>9</v>
      </c>
      <c r="C22" s="34">
        <v>9</v>
      </c>
      <c r="D22" s="34">
        <v>9</v>
      </c>
      <c r="E22" s="34">
        <v>9</v>
      </c>
    </row>
    <row r="23" spans="1:5" x14ac:dyDescent="0.25">
      <c r="A23" s="42" t="s">
        <v>56</v>
      </c>
      <c r="B23" s="43">
        <f>B25-SUM(B19:B22)</f>
        <v>903.80828591638851</v>
      </c>
      <c r="C23" s="43">
        <f>C25-SUM(C19:C22)</f>
        <v>906.57504649310738</v>
      </c>
      <c r="D23" s="43">
        <f>D25-SUM(D19:D22)</f>
        <v>849.17486271915516</v>
      </c>
      <c r="E23" s="43">
        <f>E25-SUM(E19:E22)</f>
        <v>918.76498635658345</v>
      </c>
    </row>
    <row r="24" spans="1:5" x14ac:dyDescent="0.25">
      <c r="A24" s="42" t="s">
        <v>70</v>
      </c>
      <c r="B24" s="1">
        <v>20</v>
      </c>
      <c r="C24" s="1">
        <v>20</v>
      </c>
      <c r="D24" s="1">
        <v>20</v>
      </c>
      <c r="E24" s="1">
        <v>20</v>
      </c>
    </row>
    <row r="25" spans="1:5" x14ac:dyDescent="0.25">
      <c r="A25" s="42" t="s">
        <v>59</v>
      </c>
      <c r="B25" s="44">
        <f>-0.2307*10^(-2)*B24^2-0.2655*B24+1040.51-B16*(-0.478*10^(-4)*B24^2+0.969*10^(-2)*B24+0.967)</f>
        <v>1034.2315328</v>
      </c>
      <c r="C25" s="44">
        <f>-0.2307*10^(-2)*C24^2-0.2655*C24+1040.51-C16*(-0.478*10^(-4)*C24^2+0.969*10^(-2)*C24+0.967)</f>
        <v>1034.234272832</v>
      </c>
      <c r="D25" s="44">
        <f>-0.2307*10^(-2)*D24^2-0.2655*D24+1040.51-D16*(-0.478*10^(-4)*D24^2+0.969*10^(-2)*D24+0.967)</f>
        <v>1034.1987665839999</v>
      </c>
      <c r="E25" s="44">
        <f>-0.2307*10^(-2)*E24^2-0.2655*E24+1040.51-E16*(-0.478*10^(-4)*E24^2+0.969*10^(-2)*E24+0.967)</f>
        <v>1034.24979968</v>
      </c>
    </row>
    <row r="26" spans="1:5" x14ac:dyDescent="0.25">
      <c r="A26" s="48" t="s">
        <v>79</v>
      </c>
      <c r="B26" s="44"/>
      <c r="C26" s="44"/>
      <c r="D26" s="44"/>
      <c r="E26" s="44"/>
    </row>
    <row r="27" spans="1:5" x14ac:dyDescent="0.25">
      <c r="A27" s="42" t="s">
        <v>80</v>
      </c>
      <c r="B27" s="102">
        <v>6.5</v>
      </c>
      <c r="C27" s="102">
        <v>6.5</v>
      </c>
      <c r="D27" s="102">
        <v>6.5</v>
      </c>
      <c r="E27" s="102">
        <v>6.5</v>
      </c>
    </row>
    <row r="28" spans="1:5" x14ac:dyDescent="0.25">
      <c r="A28" s="42" t="s">
        <v>1</v>
      </c>
      <c r="B28" s="102">
        <v>4</v>
      </c>
      <c r="C28" s="102">
        <v>4</v>
      </c>
      <c r="D28" s="102">
        <v>4</v>
      </c>
      <c r="E28" s="102">
        <v>4</v>
      </c>
    </row>
    <row r="29" spans="1:5" x14ac:dyDescent="0.25">
      <c r="A29" s="42" t="s">
        <v>2</v>
      </c>
      <c r="B29" s="102">
        <v>8</v>
      </c>
      <c r="C29" s="102">
        <v>8</v>
      </c>
      <c r="D29" s="102">
        <v>8</v>
      </c>
      <c r="E29" s="102">
        <v>8</v>
      </c>
    </row>
    <row r="30" spans="1:5" x14ac:dyDescent="0.25">
      <c r="A30" s="42" t="s">
        <v>57</v>
      </c>
      <c r="B30" s="102">
        <v>48</v>
      </c>
      <c r="C30" s="102">
        <v>48</v>
      </c>
      <c r="D30" s="102">
        <v>48</v>
      </c>
      <c r="E30" s="102">
        <v>48</v>
      </c>
    </row>
    <row r="31" spans="1:5" x14ac:dyDescent="0.25">
      <c r="A31" s="42" t="s">
        <v>58</v>
      </c>
      <c r="B31" s="102"/>
      <c r="C31" s="102"/>
      <c r="D31" s="102"/>
      <c r="E31" s="102"/>
    </row>
    <row r="32" spans="1:5" x14ac:dyDescent="0.25">
      <c r="A32" s="42" t="s">
        <v>59</v>
      </c>
      <c r="B32" s="103">
        <v>1.03</v>
      </c>
      <c r="C32" s="103">
        <v>1.03</v>
      </c>
      <c r="D32" s="103">
        <v>1.03</v>
      </c>
      <c r="E32" s="103">
        <v>1.03</v>
      </c>
    </row>
    <row r="33" spans="1:5" x14ac:dyDescent="0.25">
      <c r="A33" s="48" t="s">
        <v>52</v>
      </c>
      <c r="B33" s="1"/>
      <c r="C33" s="1"/>
      <c r="D33" s="1"/>
      <c r="E33" s="1"/>
    </row>
    <row r="34" spans="1:5" x14ac:dyDescent="0.25">
      <c r="A34" s="42" t="s">
        <v>63</v>
      </c>
      <c r="B34" s="97">
        <v>0.43</v>
      </c>
      <c r="C34" s="97">
        <v>0.43</v>
      </c>
      <c r="D34" s="97">
        <v>0.43</v>
      </c>
      <c r="E34" s="97">
        <v>0.43</v>
      </c>
    </row>
    <row r="35" spans="1:5" x14ac:dyDescent="0.25">
      <c r="A35" s="42" t="s">
        <v>1</v>
      </c>
      <c r="B35" s="43">
        <f>B34*B48*1000</f>
        <v>423.62953279999999</v>
      </c>
      <c r="C35" s="43">
        <f>C34*C48*1000</f>
        <v>423.62953279999999</v>
      </c>
      <c r="D35" s="43">
        <f>D34*D48*1000</f>
        <v>423.62953279999999</v>
      </c>
      <c r="E35" s="43">
        <f>E34*E48*1000</f>
        <v>423.62953279999999</v>
      </c>
    </row>
    <row r="36" spans="1:5" x14ac:dyDescent="0.25">
      <c r="A36" s="42" t="s">
        <v>2</v>
      </c>
      <c r="B36" s="27">
        <v>5.91</v>
      </c>
      <c r="C36" s="27">
        <v>5.91</v>
      </c>
      <c r="D36" s="27">
        <v>5.91</v>
      </c>
      <c r="E36" s="27">
        <v>5.91</v>
      </c>
    </row>
    <row r="37" spans="1:5" x14ac:dyDescent="0.25">
      <c r="A37" s="94" t="s">
        <v>6</v>
      </c>
      <c r="B37" s="1"/>
      <c r="C37" s="1"/>
      <c r="D37" s="1"/>
      <c r="E37" s="1"/>
    </row>
    <row r="38" spans="1:5" x14ac:dyDescent="0.25">
      <c r="A38" s="42" t="s">
        <v>1</v>
      </c>
      <c r="B38" s="35">
        <f>B8/B19*B10*1000</f>
        <v>6.2244282791993406</v>
      </c>
      <c r="C38" s="35">
        <f>C8/C19*C10*1000</f>
        <v>6.6217146687340502</v>
      </c>
      <c r="D38" s="35">
        <f>D8/D19*D10*1000</f>
        <v>9.8241428791153247</v>
      </c>
      <c r="E38" s="35">
        <f>E8/E19*E10*1000</f>
        <v>10.373863905979292</v>
      </c>
    </row>
    <row r="39" spans="1:5" x14ac:dyDescent="0.25">
      <c r="A39" s="42" t="s">
        <v>2</v>
      </c>
      <c r="B39" s="36">
        <f>B8/B20*B11*1000</f>
        <v>8.0333223905876689</v>
      </c>
      <c r="C39" s="36">
        <f>C8/C20*C11*1000</f>
        <v>8.1046159104580333</v>
      </c>
      <c r="D39" s="36">
        <f>D8/D20*D11*1000</f>
        <v>12.251105840339457</v>
      </c>
      <c r="E39" s="36">
        <f>E8/E20*E11*1000</f>
        <v>7.6493892756450643</v>
      </c>
    </row>
    <row r="40" spans="1:5" ht="15.75" x14ac:dyDescent="0.25">
      <c r="A40" s="29" t="s">
        <v>62</v>
      </c>
      <c r="B40" s="2"/>
      <c r="C40" s="2"/>
      <c r="D40" s="2"/>
      <c r="E40" s="2"/>
    </row>
    <row r="41" spans="1:5" x14ac:dyDescent="0.25">
      <c r="A41" s="30" t="s">
        <v>51</v>
      </c>
      <c r="B41" s="1"/>
      <c r="C41" s="1"/>
      <c r="D41" s="1"/>
      <c r="E41" s="1"/>
    </row>
    <row r="42" spans="1:5" x14ac:dyDescent="0.25">
      <c r="A42" s="31" t="s">
        <v>48</v>
      </c>
      <c r="B42" s="33">
        <v>1</v>
      </c>
      <c r="C42" s="33">
        <v>1</v>
      </c>
      <c r="D42" s="33">
        <v>1</v>
      </c>
      <c r="E42" s="33">
        <v>1</v>
      </c>
    </row>
    <row r="43" spans="1:5" x14ac:dyDescent="0.25">
      <c r="A43" s="31" t="s">
        <v>49</v>
      </c>
      <c r="B43" s="96">
        <f>1-B42</f>
        <v>0</v>
      </c>
      <c r="C43" s="96">
        <f>1-C42</f>
        <v>0</v>
      </c>
      <c r="D43" s="96">
        <f>1-D42</f>
        <v>0</v>
      </c>
      <c r="E43" s="96">
        <f>1-E42</f>
        <v>0</v>
      </c>
    </row>
    <row r="44" spans="1:5" x14ac:dyDescent="0.25">
      <c r="A44" s="30" t="s">
        <v>50</v>
      </c>
      <c r="B44" s="1"/>
      <c r="C44" s="1"/>
      <c r="D44" s="1"/>
      <c r="E44" s="1"/>
    </row>
    <row r="45" spans="1:5" x14ac:dyDescent="0.25">
      <c r="A45" s="31" t="s">
        <v>46</v>
      </c>
      <c r="B45" s="96"/>
      <c r="C45" s="96"/>
      <c r="D45" s="96"/>
      <c r="E45" s="96"/>
    </row>
    <row r="46" spans="1:5" x14ac:dyDescent="0.25">
      <c r="A46" s="37" t="s">
        <v>47</v>
      </c>
      <c r="B46" s="38">
        <v>0.94650000000000001</v>
      </c>
      <c r="C46" s="38">
        <v>0.94650000000000001</v>
      </c>
      <c r="D46" s="38">
        <v>0.94650000000000001</v>
      </c>
      <c r="E46" s="38">
        <v>0.94650000000000001</v>
      </c>
    </row>
    <row r="47" spans="1:5" x14ac:dyDescent="0.25">
      <c r="A47" s="32" t="s">
        <v>53</v>
      </c>
      <c r="B47" s="2"/>
      <c r="C47" s="2"/>
      <c r="D47" s="2"/>
      <c r="E47" s="2"/>
    </row>
    <row r="48" spans="1:5" x14ac:dyDescent="0.25">
      <c r="A48" s="40" t="s">
        <v>54</v>
      </c>
      <c r="B48" s="46">
        <f>(-0.2307*10^(-2)*B24^2-0.2655*B24+1040.51-B34*100*(-0.478*10^(-4)*B24^2+0.969*10^(-2)*B24+0.967))/1000</f>
        <v>0.98518496</v>
      </c>
      <c r="C48" s="46">
        <f>(-0.2307*10^(-2)*C24^2-0.2655*C24+1040.51-C34*100*(-0.478*10^(-4)*C24^2+0.969*10^(-2)*C24+0.967))/1000</f>
        <v>0.98518496</v>
      </c>
      <c r="D48" s="46">
        <f>(-0.2307*10^(-2)*D24^2-0.2655*D24+1040.51-D34*100*(-0.478*10^(-4)*D24^2+0.969*10^(-2)*D24+0.967))/1000</f>
        <v>0.98518496</v>
      </c>
      <c r="E48" s="46">
        <f>(-0.2307*10^(-2)*E24^2-0.2655*E24+1040.51-E34*100*(-0.478*10^(-4)*E24^2+0.969*10^(-2)*E24+0.967))/1000</f>
        <v>0.98518496</v>
      </c>
    </row>
    <row r="50" spans="1:5" ht="18.75" x14ac:dyDescent="0.3">
      <c r="A50" s="25" t="s">
        <v>78</v>
      </c>
    </row>
    <row r="51" spans="1:5" x14ac:dyDescent="0.25">
      <c r="A51" s="32" t="s">
        <v>19</v>
      </c>
      <c r="B51" s="52"/>
      <c r="C51" s="52"/>
      <c r="D51" s="52"/>
      <c r="E51" s="52"/>
    </row>
    <row r="52" spans="1:5" x14ac:dyDescent="0.25">
      <c r="A52" s="53" t="s">
        <v>18</v>
      </c>
      <c r="B52" s="98">
        <f>'Std con datos de csv fab_queso'!B3</f>
        <v>0.54949999999999999</v>
      </c>
      <c r="C52" s="98">
        <f>'Std con datos de csv fab_queso'!C3</f>
        <v>0.55630000000000002</v>
      </c>
      <c r="D52" s="98">
        <f>'Std con datos de csv fab_queso'!D3</f>
        <v>0.5635</v>
      </c>
      <c r="E52" s="98">
        <f>'Std con datos de csv fab_queso'!E3</f>
        <v>0.50470000000000004</v>
      </c>
    </row>
    <row r="53" spans="1:5" x14ac:dyDescent="0.25">
      <c r="A53" s="53" t="s">
        <v>1</v>
      </c>
      <c r="B53" s="98">
        <f>'Std con datos de csv fab_queso'!B4</f>
        <v>0.30280000000000001</v>
      </c>
      <c r="C53" s="98">
        <f>'Std con datos de csv fab_queso'!C4</f>
        <v>0.30049999999999999</v>
      </c>
      <c r="D53" s="98">
        <f>'Std con datos de csv fab_queso'!D4</f>
        <v>0.30930000000000002</v>
      </c>
      <c r="E53" s="98">
        <f>'Std con datos de csv fab_queso'!E4</f>
        <v>0.20219999999999999</v>
      </c>
    </row>
    <row r="54" spans="1:5" x14ac:dyDescent="0.25">
      <c r="A54" s="54" t="s">
        <v>16</v>
      </c>
      <c r="B54" s="12">
        <f>B53/B52</f>
        <v>0.55104640582347597</v>
      </c>
      <c r="C54" s="12">
        <f>C53/C52</f>
        <v>0.54017616394031998</v>
      </c>
      <c r="D54" s="12">
        <f>D53/D52</f>
        <v>0.54889086069210291</v>
      </c>
      <c r="E54" s="12">
        <f>E53/E52</f>
        <v>0.40063404002377645</v>
      </c>
    </row>
    <row r="55" spans="1:5" x14ac:dyDescent="0.25">
      <c r="A55" s="53" t="s">
        <v>17</v>
      </c>
      <c r="B55" s="12">
        <f>(1-B52)/(1-B52*B54)</f>
        <v>0.64615605278255883</v>
      </c>
      <c r="C55" s="12">
        <f>(1-C52)/(1-C52*C54)</f>
        <v>0.63431022158684769</v>
      </c>
      <c r="D55" s="12">
        <f>(1-D52)/(1-D52*D54)</f>
        <v>0.63196756913276375</v>
      </c>
      <c r="E55" s="12">
        <f>(1-E52)/(1-E52*E54)</f>
        <v>0.62083228879418395</v>
      </c>
    </row>
    <row r="56" spans="1:5" x14ac:dyDescent="0.25">
      <c r="A56" s="53" t="s">
        <v>0</v>
      </c>
      <c r="B56" s="19">
        <f>B52-B53</f>
        <v>0.24669999999999997</v>
      </c>
      <c r="C56" s="19">
        <f>C52-C53</f>
        <v>0.25580000000000003</v>
      </c>
      <c r="D56" s="19">
        <f>D52-D53</f>
        <v>0.25419999999999998</v>
      </c>
      <c r="E56" s="19">
        <f>E52-E53</f>
        <v>0.30250000000000005</v>
      </c>
    </row>
    <row r="57" spans="1:5" x14ac:dyDescent="0.25">
      <c r="A57" s="55"/>
      <c r="B57" s="14"/>
      <c r="C57" s="14"/>
      <c r="D57" s="14"/>
      <c r="E57" s="14"/>
    </row>
    <row r="58" spans="1:5" x14ac:dyDescent="0.25">
      <c r="A58" s="55" t="s">
        <v>20</v>
      </c>
      <c r="B58" s="10">
        <f>B96</f>
        <v>32.053985571611406</v>
      </c>
      <c r="C58" s="10">
        <f>C96</f>
        <v>31.772017680409405</v>
      </c>
      <c r="D58" s="10">
        <f>D96</f>
        <v>56.974448600524013</v>
      </c>
      <c r="E58" s="10">
        <f>E96</f>
        <v>33.662818131096529</v>
      </c>
    </row>
    <row r="59" spans="1:5" x14ac:dyDescent="0.25">
      <c r="A59" s="55" t="s">
        <v>35</v>
      </c>
      <c r="B59" s="71">
        <v>0.96779999999999999</v>
      </c>
      <c r="C59" s="71">
        <v>0.95279999999999998</v>
      </c>
      <c r="D59" s="71">
        <v>0.93479999999999996</v>
      </c>
      <c r="E59" s="71">
        <v>0.97330000000000005</v>
      </c>
    </row>
    <row r="60" spans="1:5" x14ac:dyDescent="0.25">
      <c r="A60" s="55" t="s">
        <v>43</v>
      </c>
      <c r="B60" s="41">
        <f>B63/B66</f>
        <v>0.92039999999999966</v>
      </c>
      <c r="C60" s="41">
        <f>C63/C66</f>
        <v>0.91449999999999865</v>
      </c>
      <c r="D60" s="41">
        <f>D63/D66</f>
        <v>0.9120999999999998</v>
      </c>
      <c r="E60" s="41">
        <f>E63/E66</f>
        <v>0.88229999999999997</v>
      </c>
    </row>
    <row r="61" spans="1:5" x14ac:dyDescent="0.25">
      <c r="A61" s="55" t="s">
        <v>55</v>
      </c>
      <c r="B61" s="11">
        <f>B59*B58</f>
        <v>31.02184723620552</v>
      </c>
      <c r="C61" s="11">
        <f>C59*C58</f>
        <v>30.272378445894081</v>
      </c>
      <c r="D61" s="11">
        <f>D59*D58</f>
        <v>53.259714551769846</v>
      </c>
      <c r="E61" s="11">
        <f>E59*E58</f>
        <v>32.764020886996256</v>
      </c>
    </row>
    <row r="62" spans="1:5" x14ac:dyDescent="0.25">
      <c r="A62" s="55" t="s">
        <v>36</v>
      </c>
      <c r="B62" s="13">
        <f>B56*1000/B61</f>
        <v>7.9524600234662053</v>
      </c>
      <c r="C62" s="13">
        <f>C56*1000/C61</f>
        <v>8.4499472169718075</v>
      </c>
      <c r="D62" s="13">
        <f>D56*1000/D61</f>
        <v>4.7728381974881016</v>
      </c>
      <c r="E62" s="13">
        <f>E56*1000/E61</f>
        <v>9.2326885348818575</v>
      </c>
    </row>
    <row r="63" spans="1:5" x14ac:dyDescent="0.25">
      <c r="A63" s="55" t="s">
        <v>37</v>
      </c>
      <c r="B63" s="11">
        <f>B53*1000/B62</f>
        <v>38.076268111564787</v>
      </c>
      <c r="C63" s="11">
        <f>C53*1000/C62</f>
        <v>35.562352318182839</v>
      </c>
      <c r="D63" s="11">
        <f>D53*1000/D62</f>
        <v>64.804208146586987</v>
      </c>
      <c r="E63" s="11">
        <f>E53*1000/E62</f>
        <v>21.900446358183938</v>
      </c>
    </row>
    <row r="64" spans="1:5" x14ac:dyDescent="0.25">
      <c r="A64" s="55" t="s">
        <v>28</v>
      </c>
      <c r="B64" s="20">
        <f>B66-B63</f>
        <v>3.2929932004352125</v>
      </c>
      <c r="C64" s="20">
        <f>C66-C63</f>
        <v>3.3248563403003644</v>
      </c>
      <c r="D64" s="20">
        <f>D66-D63</f>
        <v>6.2452471177338111</v>
      </c>
      <c r="E64" s="20">
        <f>E66-E63</f>
        <v>2.9215488341360647</v>
      </c>
    </row>
    <row r="65" spans="1:5" x14ac:dyDescent="0.25">
      <c r="A65" s="55" t="s">
        <v>34</v>
      </c>
      <c r="B65" s="12">
        <f>B64/B66</f>
        <v>7.9600000000000309E-2</v>
      </c>
      <c r="C65" s="12">
        <f>C64/C66</f>
        <v>8.5500000000001297E-2</v>
      </c>
      <c r="D65" s="12">
        <f>D64/D66</f>
        <v>8.7900000000000186E-2</v>
      </c>
      <c r="E65" s="12">
        <f>E64/E66</f>
        <v>0.11770000000000001</v>
      </c>
    </row>
    <row r="66" spans="1:5" x14ac:dyDescent="0.25">
      <c r="A66" s="55" t="s">
        <v>29</v>
      </c>
      <c r="B66" s="11">
        <f>B93</f>
        <v>41.369261311999999</v>
      </c>
      <c r="C66" s="11">
        <f>C93</f>
        <v>38.887208658483203</v>
      </c>
      <c r="D66" s="11">
        <f>D93</f>
        <v>71.049455264320798</v>
      </c>
      <c r="E66" s="11">
        <f>E93</f>
        <v>24.821995192320003</v>
      </c>
    </row>
    <row r="67" spans="1:5" x14ac:dyDescent="0.25">
      <c r="A67" s="56" t="s">
        <v>33</v>
      </c>
      <c r="B67" s="23">
        <f>B66*B62</f>
        <v>328.9873967840071</v>
      </c>
      <c r="C67" s="23">
        <f>C66*C62</f>
        <v>328.59486057955212</v>
      </c>
      <c r="D67" s="23">
        <f>D66*D62</f>
        <v>339.10755399627237</v>
      </c>
      <c r="E67" s="23">
        <f>E66*E62</f>
        <v>229.17375042502547</v>
      </c>
    </row>
    <row r="68" spans="1:5" x14ac:dyDescent="0.25">
      <c r="A68" s="57" t="s">
        <v>32</v>
      </c>
      <c r="B68" s="24">
        <f>B58*B62</f>
        <v>254.90803885100226</v>
      </c>
      <c r="C68" s="24">
        <f>C58*C62</f>
        <v>268.47187237615452</v>
      </c>
      <c r="D68" s="24">
        <f>D58*D62</f>
        <v>271.92982456140351</v>
      </c>
      <c r="E68" s="24">
        <f>E58*E62</f>
        <v>310.79831501078803</v>
      </c>
    </row>
    <row r="69" spans="1:5" x14ac:dyDescent="0.25">
      <c r="A69" s="58" t="s">
        <v>30</v>
      </c>
      <c r="B69" s="9">
        <f>+B102/B62</f>
        <v>0</v>
      </c>
      <c r="C69" s="9">
        <f>+C102/C62</f>
        <v>0</v>
      </c>
      <c r="D69" s="9">
        <f>+D102/D62</f>
        <v>0</v>
      </c>
      <c r="E69" s="9">
        <f>+E102/E62</f>
        <v>0</v>
      </c>
    </row>
    <row r="70" spans="1:5" x14ac:dyDescent="0.25">
      <c r="A70" s="59" t="s">
        <v>85</v>
      </c>
      <c r="B70" s="104">
        <f>B64-B69</f>
        <v>3.2929932004352125</v>
      </c>
      <c r="C70" s="104">
        <f>C64-C69</f>
        <v>3.3248563403003644</v>
      </c>
      <c r="D70" s="104">
        <f>D64-D69</f>
        <v>6.2452471177338111</v>
      </c>
      <c r="E70" s="104">
        <f>E64-E69</f>
        <v>2.9215488341360647</v>
      </c>
    </row>
    <row r="71" spans="1:5" x14ac:dyDescent="0.25">
      <c r="A71" s="59" t="s">
        <v>86</v>
      </c>
      <c r="B71" s="15">
        <f>+B70/B66</f>
        <v>7.9600000000000309E-2</v>
      </c>
      <c r="C71" s="15">
        <f>+C70/C66</f>
        <v>8.5500000000001297E-2</v>
      </c>
      <c r="D71" s="15">
        <f>+D70/D66</f>
        <v>8.7900000000000186E-2</v>
      </c>
      <c r="E71" s="15">
        <f>+E70/E66</f>
        <v>0.11770000000000001</v>
      </c>
    </row>
    <row r="72" spans="1:5" x14ac:dyDescent="0.25">
      <c r="A72" s="60" t="s">
        <v>31</v>
      </c>
      <c r="B72" s="16">
        <f>+B66-B69</f>
        <v>41.369261311999999</v>
      </c>
      <c r="C72" s="16">
        <f>+C66-C69</f>
        <v>38.887208658483203</v>
      </c>
      <c r="D72" s="16">
        <f>+D66-D69</f>
        <v>71.049455264320798</v>
      </c>
      <c r="E72" s="16">
        <f>+E66-E69</f>
        <v>24.821995192320003</v>
      </c>
    </row>
    <row r="73" spans="1:5" x14ac:dyDescent="0.25">
      <c r="A73" s="61" t="s">
        <v>38</v>
      </c>
      <c r="B73" s="21">
        <f>B$72*B$62</f>
        <v>328.9873967840071</v>
      </c>
      <c r="C73" s="21">
        <f>C$72*C$62</f>
        <v>328.59486057955212</v>
      </c>
      <c r="D73" s="21">
        <f>D$72*D$62</f>
        <v>339.10755399627237</v>
      </c>
      <c r="E73" s="21">
        <f>E$72*E$62</f>
        <v>229.17375042502547</v>
      </c>
    </row>
    <row r="74" spans="1:5" x14ac:dyDescent="0.25">
      <c r="A74" s="61" t="s">
        <v>39</v>
      </c>
      <c r="B74" s="22">
        <f>B$58*B$62</f>
        <v>254.90803885100226</v>
      </c>
      <c r="C74" s="22">
        <f>C$58*C$62</f>
        <v>268.47187237615452</v>
      </c>
      <c r="D74" s="22">
        <f>D$58*D$62</f>
        <v>271.92982456140351</v>
      </c>
      <c r="E74" s="22">
        <f>E$58*E$62</f>
        <v>310.79831501078803</v>
      </c>
    </row>
    <row r="75" spans="1:5" x14ac:dyDescent="0.25">
      <c r="A75" s="62" t="s">
        <v>10</v>
      </c>
      <c r="B75" s="74"/>
      <c r="C75" s="74"/>
      <c r="D75" s="74"/>
      <c r="E75" s="74"/>
    </row>
    <row r="76" spans="1:5" x14ac:dyDescent="0.25">
      <c r="A76" s="72" t="s">
        <v>71</v>
      </c>
      <c r="B76" s="75">
        <f>'Std con datos de csv fab_queso'!B42</f>
        <v>1</v>
      </c>
      <c r="C76" s="75">
        <f>'Std con datos de csv fab_queso'!C42</f>
        <v>1</v>
      </c>
      <c r="D76" s="75">
        <f>'Std con datos de csv fab_queso'!D42</f>
        <v>1</v>
      </c>
      <c r="E76" s="75">
        <f>'Std con datos de csv fab_queso'!E42</f>
        <v>1</v>
      </c>
    </row>
    <row r="77" spans="1:5" x14ac:dyDescent="0.25">
      <c r="A77" s="72" t="s">
        <v>72</v>
      </c>
      <c r="B77" s="75">
        <f>'Std con datos de csv fab_queso'!B43</f>
        <v>0</v>
      </c>
      <c r="C77" s="75">
        <f>'Std con datos de csv fab_queso'!C43</f>
        <v>0</v>
      </c>
      <c r="D77" s="75">
        <f>'Std con datos de csv fab_queso'!D43</f>
        <v>0</v>
      </c>
      <c r="E77" s="75">
        <f>'Std con datos de csv fab_queso'!E43</f>
        <v>0</v>
      </c>
    </row>
    <row r="78" spans="1:5" x14ac:dyDescent="0.25">
      <c r="A78" s="73"/>
      <c r="B78" s="76">
        <f>SUM(B76:B77)</f>
        <v>1</v>
      </c>
      <c r="C78" s="76">
        <f>SUM(C76:C77)</f>
        <v>1</v>
      </c>
      <c r="D78" s="76">
        <f>SUM(D76:D77)</f>
        <v>1</v>
      </c>
      <c r="E78" s="76">
        <f>SUM(E76:E77)</f>
        <v>1</v>
      </c>
    </row>
    <row r="79" spans="1:5" x14ac:dyDescent="0.25">
      <c r="A79" s="62" t="s">
        <v>9</v>
      </c>
      <c r="B79" s="8"/>
      <c r="C79" s="8"/>
      <c r="D79" s="8"/>
      <c r="E79" s="8"/>
    </row>
    <row r="80" spans="1:5" x14ac:dyDescent="0.25">
      <c r="A80" s="72" t="s">
        <v>22</v>
      </c>
      <c r="B80" s="77">
        <f>'Std con datos de csv fab_queso'!B19</f>
        <v>41.369261311999999</v>
      </c>
      <c r="C80" s="77">
        <f>'Std con datos de csv fab_queso'!C19</f>
        <v>38.887208658483203</v>
      </c>
      <c r="D80" s="77">
        <f>'Std con datos de csv fab_queso'!D19</f>
        <v>71.049455264320798</v>
      </c>
      <c r="E80" s="77">
        <f>'Std con datos de csv fab_queso'!E19</f>
        <v>24.821995192320003</v>
      </c>
    </row>
    <row r="81" spans="1:5" x14ac:dyDescent="0.25">
      <c r="A81" s="72" t="s">
        <v>11</v>
      </c>
      <c r="B81" s="77">
        <f>'Std con datos de csv fab_queso'!B35</f>
        <v>423.62953279999999</v>
      </c>
      <c r="C81" s="77">
        <f>'Std con datos de csv fab_queso'!C35</f>
        <v>423.62953279999999</v>
      </c>
      <c r="D81" s="77">
        <f>'Std con datos de csv fab_queso'!D35</f>
        <v>423.62953279999999</v>
      </c>
      <c r="E81" s="77">
        <f>'Std con datos de csv fab_queso'!E35</f>
        <v>423.62953279999999</v>
      </c>
    </row>
    <row r="82" spans="1:5" x14ac:dyDescent="0.25">
      <c r="A82" s="72"/>
      <c r="B82" s="77"/>
      <c r="C82" s="77"/>
      <c r="D82" s="77"/>
      <c r="E82" s="77"/>
    </row>
    <row r="83" spans="1:5" x14ac:dyDescent="0.25">
      <c r="A83" s="72" t="s">
        <v>23</v>
      </c>
      <c r="B83" s="77">
        <f>'Std con datos de csv fab_queso'!B20</f>
        <v>32.053985571611406</v>
      </c>
      <c r="C83" s="77">
        <f>'Std con datos de csv fab_queso'!C20</f>
        <v>31.772017680409405</v>
      </c>
      <c r="D83" s="77">
        <f>'Std con datos de csv fab_queso'!D20</f>
        <v>56.974448600524013</v>
      </c>
      <c r="E83" s="77">
        <f>'Std con datos de csv fab_queso'!E20</f>
        <v>33.662818131096529</v>
      </c>
    </row>
    <row r="84" spans="1:5" x14ac:dyDescent="0.25">
      <c r="A84" s="72" t="s">
        <v>14</v>
      </c>
      <c r="B84" s="77">
        <f>'Std con datos de csv fab_queso'!B36</f>
        <v>5.91</v>
      </c>
      <c r="C84" s="77">
        <f>'Std con datos de csv fab_queso'!C36</f>
        <v>5.91</v>
      </c>
      <c r="D84" s="77">
        <f>'Std con datos de csv fab_queso'!D36</f>
        <v>5.91</v>
      </c>
      <c r="E84" s="77">
        <f>'Std con datos de csv fab_queso'!E36</f>
        <v>5.91</v>
      </c>
    </row>
    <row r="85" spans="1:5" x14ac:dyDescent="0.25">
      <c r="A85" s="83"/>
      <c r="B85" s="77"/>
      <c r="C85" s="77"/>
      <c r="D85" s="77"/>
      <c r="E85" s="77"/>
    </row>
    <row r="86" spans="1:5" x14ac:dyDescent="0.25">
      <c r="A86" s="69" t="s">
        <v>15</v>
      </c>
      <c r="B86" s="88">
        <f>+B93/B96</f>
        <v>1.2906120900184925</v>
      </c>
      <c r="C86" s="88">
        <f>+C93/C96</f>
        <v>1.2239452039100751</v>
      </c>
      <c r="D86" s="88">
        <f>+D93/D96</f>
        <v>1.2470406824379048</v>
      </c>
      <c r="E86" s="88">
        <f>+E93/E96</f>
        <v>0.73737127698736293</v>
      </c>
    </row>
    <row r="87" spans="1:5" x14ac:dyDescent="0.25">
      <c r="A87" s="87"/>
      <c r="B87" s="88"/>
      <c r="C87" s="88"/>
      <c r="D87" s="88"/>
      <c r="E87" s="88"/>
    </row>
    <row r="88" spans="1:5" x14ac:dyDescent="0.25">
      <c r="A88" s="53" t="s">
        <v>21</v>
      </c>
      <c r="B88" s="85">
        <f>'Std con datos de csv fab_queso'!B25/1000</f>
        <v>1.0342315328</v>
      </c>
      <c r="C88" s="85">
        <f>'Std con datos de csv fab_queso'!C25/1000</f>
        <v>1.034234272832</v>
      </c>
      <c r="D88" s="85">
        <f>'Std con datos de csv fab_queso'!D25/1000</f>
        <v>1.034198766584</v>
      </c>
      <c r="E88" s="85">
        <f>'Std con datos de csv fab_queso'!E25/1000</f>
        <v>1.03424979968</v>
      </c>
    </row>
    <row r="89" spans="1:5" x14ac:dyDescent="0.25">
      <c r="A89" s="53" t="s">
        <v>8</v>
      </c>
      <c r="B89" s="86">
        <f>'Std con datos de csv fab_queso'!B48</f>
        <v>0.98518496</v>
      </c>
      <c r="C89" s="86">
        <f>'Std con datos de csv fab_queso'!C48</f>
        <v>0.98518496</v>
      </c>
      <c r="D89" s="86">
        <f>'Std con datos de csv fab_queso'!D48</f>
        <v>0.98518496</v>
      </c>
      <c r="E89" s="86">
        <f>'Std con datos de csv fab_queso'!E48</f>
        <v>0.98518496</v>
      </c>
    </row>
    <row r="90" spans="1:5" x14ac:dyDescent="0.25">
      <c r="A90" s="64" t="s">
        <v>12</v>
      </c>
      <c r="B90" s="84"/>
      <c r="C90" s="84"/>
      <c r="D90" s="84"/>
      <c r="E90" s="84"/>
    </row>
    <row r="91" spans="1:5" x14ac:dyDescent="0.25">
      <c r="A91" s="63" t="s">
        <v>22</v>
      </c>
      <c r="B91" s="18">
        <f t="shared" ref="B91:E92" si="1">(B80*B76)</f>
        <v>41.369261311999999</v>
      </c>
      <c r="C91" s="18">
        <f t="shared" si="1"/>
        <v>38.887208658483203</v>
      </c>
      <c r="D91" s="18">
        <f t="shared" si="1"/>
        <v>71.049455264320798</v>
      </c>
      <c r="E91" s="18">
        <f t="shared" si="1"/>
        <v>24.821995192320003</v>
      </c>
    </row>
    <row r="92" spans="1:5" x14ac:dyDescent="0.25">
      <c r="A92" s="63" t="s">
        <v>13</v>
      </c>
      <c r="B92" s="18">
        <f t="shared" si="1"/>
        <v>0</v>
      </c>
      <c r="C92" s="18">
        <f t="shared" si="1"/>
        <v>0</v>
      </c>
      <c r="D92" s="18">
        <f t="shared" si="1"/>
        <v>0</v>
      </c>
      <c r="E92" s="18">
        <f t="shared" si="1"/>
        <v>0</v>
      </c>
    </row>
    <row r="93" spans="1:5" x14ac:dyDescent="0.25">
      <c r="A93" s="63"/>
      <c r="B93" s="18">
        <f>SUM(B91:B92)</f>
        <v>41.369261311999999</v>
      </c>
      <c r="C93" s="18">
        <f>SUM(C91:C92)</f>
        <v>38.887208658483203</v>
      </c>
      <c r="D93" s="18">
        <f>SUM(D91:D92)</f>
        <v>71.049455264320798</v>
      </c>
      <c r="E93" s="18">
        <f>SUM(E91:E92)</f>
        <v>24.821995192320003</v>
      </c>
    </row>
    <row r="94" spans="1:5" x14ac:dyDescent="0.25">
      <c r="A94" s="63" t="s">
        <v>23</v>
      </c>
      <c r="B94" s="18">
        <f t="shared" ref="B94:E95" si="2">B83*B76</f>
        <v>32.053985571611406</v>
      </c>
      <c r="C94" s="18">
        <f t="shared" si="2"/>
        <v>31.772017680409405</v>
      </c>
      <c r="D94" s="18">
        <f t="shared" si="2"/>
        <v>56.974448600524013</v>
      </c>
      <c r="E94" s="18">
        <f t="shared" si="2"/>
        <v>33.662818131096529</v>
      </c>
    </row>
    <row r="95" spans="1:5" x14ac:dyDescent="0.25">
      <c r="A95" s="63" t="s">
        <v>14</v>
      </c>
      <c r="B95" s="18">
        <f t="shared" si="2"/>
        <v>0</v>
      </c>
      <c r="C95" s="18">
        <f t="shared" si="2"/>
        <v>0</v>
      </c>
      <c r="D95" s="18">
        <f t="shared" si="2"/>
        <v>0</v>
      </c>
      <c r="E95" s="18">
        <f t="shared" si="2"/>
        <v>0</v>
      </c>
    </row>
    <row r="96" spans="1:5" x14ac:dyDescent="0.25">
      <c r="A96" s="82"/>
      <c r="B96" s="18">
        <f>SUM(B94:B95)</f>
        <v>32.053985571611406</v>
      </c>
      <c r="C96" s="18">
        <f>SUM(C94:C95)</f>
        <v>31.772017680409405</v>
      </c>
      <c r="D96" s="18">
        <f>SUM(D94:D95)</f>
        <v>56.974448600524013</v>
      </c>
      <c r="E96" s="18">
        <f>SUM(E94:E95)</f>
        <v>33.662818131096529</v>
      </c>
    </row>
    <row r="97" spans="1:5" x14ac:dyDescent="0.25">
      <c r="A97" s="79" t="s">
        <v>73</v>
      </c>
      <c r="B97" s="78">
        <f>SUMPRODUCT(B88:B89,B76:B77)</f>
        <v>1.0342315328</v>
      </c>
      <c r="C97" s="78">
        <f>SUMPRODUCT(C88:C89,C76:C77)</f>
        <v>1.034234272832</v>
      </c>
      <c r="D97" s="78">
        <f>SUMPRODUCT(D88:D89,D76:D77)</f>
        <v>1.034198766584</v>
      </c>
      <c r="E97" s="78">
        <f>SUMPRODUCT(E88:E89,E76:E77)</f>
        <v>1.03424979968</v>
      </c>
    </row>
    <row r="98" spans="1:5" x14ac:dyDescent="0.25">
      <c r="A98" s="80"/>
      <c r="B98" s="81"/>
      <c r="C98" s="81"/>
      <c r="D98" s="81"/>
      <c r="E98" s="81"/>
    </row>
    <row r="99" spans="1:5" x14ac:dyDescent="0.25">
      <c r="A99" s="64" t="s">
        <v>7</v>
      </c>
      <c r="B99" s="8"/>
      <c r="C99" s="8"/>
      <c r="D99" s="8"/>
      <c r="E99" s="8"/>
    </row>
    <row r="100" spans="1:5" x14ac:dyDescent="0.25">
      <c r="A100" s="63" t="s">
        <v>24</v>
      </c>
      <c r="B100" s="16">
        <f>+B67*(B91)/B93</f>
        <v>328.9873967840071</v>
      </c>
      <c r="C100" s="16">
        <f>+C67*(C91)/C93</f>
        <v>328.59486057955212</v>
      </c>
      <c r="D100" s="16">
        <f>+D67*(D91)/D93</f>
        <v>339.10755399627237</v>
      </c>
      <c r="E100" s="16">
        <f>+E67*(E91)/E93</f>
        <v>229.17375042502547</v>
      </c>
    </row>
    <row r="101" spans="1:5" x14ac:dyDescent="0.25">
      <c r="A101" s="63" t="s">
        <v>25</v>
      </c>
      <c r="B101" s="16">
        <f>+B68*(B94)/B96</f>
        <v>254.90803885100226</v>
      </c>
      <c r="C101" s="16">
        <f>+C68*(C94)/C96</f>
        <v>268.47187237615452</v>
      </c>
      <c r="D101" s="16">
        <f>+D68*(D94)/D96</f>
        <v>271.92982456140351</v>
      </c>
      <c r="E101" s="16">
        <f>+E68*(E94)/E96</f>
        <v>310.79831501078803</v>
      </c>
    </row>
    <row r="102" spans="1:5" x14ac:dyDescent="0.25">
      <c r="A102" s="63" t="s">
        <v>26</v>
      </c>
      <c r="B102" s="16">
        <f>+B$67*(B92)/B$93</f>
        <v>0</v>
      </c>
      <c r="C102" s="16">
        <f>+C$67*(C92)/C$93</f>
        <v>0</v>
      </c>
      <c r="D102" s="16">
        <f>+D$67*(D92)/D$93</f>
        <v>0</v>
      </c>
      <c r="E102" s="16">
        <f>+E$67*(E92)/E$93</f>
        <v>0</v>
      </c>
    </row>
    <row r="103" spans="1:5" x14ac:dyDescent="0.25">
      <c r="A103" s="65" t="s">
        <v>27</v>
      </c>
      <c r="B103" s="17">
        <f>+B$68*(B95)/B$96</f>
        <v>0</v>
      </c>
      <c r="C103" s="17">
        <f>+C$68*(C95)/C$96</f>
        <v>0</v>
      </c>
      <c r="D103" s="17">
        <f>+D$68*(D95)/D$96</f>
        <v>0</v>
      </c>
      <c r="E103" s="17">
        <f>+E$68*(E95)/E$96</f>
        <v>0</v>
      </c>
    </row>
    <row r="104" spans="1:5" x14ac:dyDescent="0.25">
      <c r="A104" s="66" t="s">
        <v>6</v>
      </c>
      <c r="B104" s="74"/>
      <c r="C104" s="74"/>
      <c r="D104" s="74"/>
      <c r="E104" s="74"/>
    </row>
    <row r="105" spans="1:5" x14ac:dyDescent="0.25">
      <c r="A105" s="67" t="s">
        <v>1</v>
      </c>
      <c r="B105" s="89">
        <f>'Std con datos de csv fab_queso'!B38</f>
        <v>6.2244282791993406</v>
      </c>
      <c r="C105" s="89">
        <f>'Std con datos de csv fab_queso'!C38</f>
        <v>6.6217146687340502</v>
      </c>
      <c r="D105" s="89">
        <f>'Std con datos de csv fab_queso'!D38</f>
        <v>9.8241428791153247</v>
      </c>
      <c r="E105" s="89">
        <f>'Std con datos de csv fab_queso'!E38</f>
        <v>10.373863905979292</v>
      </c>
    </row>
    <row r="106" spans="1:5" x14ac:dyDescent="0.25">
      <c r="A106" s="67" t="s">
        <v>2</v>
      </c>
      <c r="B106" s="90">
        <f>'Std con datos de csv fab_queso'!B39</f>
        <v>8.0333223905876689</v>
      </c>
      <c r="C106" s="90">
        <f>'Std con datos de csv fab_queso'!C39</f>
        <v>8.1046159104580333</v>
      </c>
      <c r="D106" s="90">
        <f>'Std con datos de csv fab_queso'!D39</f>
        <v>12.251105840339457</v>
      </c>
      <c r="E106" s="90">
        <f>'Std con datos de csv fab_queso'!E39</f>
        <v>7.6493892756450643</v>
      </c>
    </row>
    <row r="107" spans="1:5" x14ac:dyDescent="0.25">
      <c r="A107" s="68" t="s">
        <v>5</v>
      </c>
      <c r="B107" s="7">
        <f t="shared" ref="B107:E108" si="3">B100*B105/1000</f>
        <v>2.0477584560425481</v>
      </c>
      <c r="C107" s="7">
        <f t="shared" si="3"/>
        <v>2.1758614083702406</v>
      </c>
      <c r="D107" s="7">
        <f t="shared" si="3"/>
        <v>3.3314410618466948</v>
      </c>
      <c r="E107" s="7">
        <f t="shared" si="3"/>
        <v>2.377417297732078</v>
      </c>
    </row>
    <row r="108" spans="1:5" x14ac:dyDescent="0.25">
      <c r="A108" s="69" t="s">
        <v>4</v>
      </c>
      <c r="B108" s="6">
        <f t="shared" si="3"/>
        <v>2.0477584560425477</v>
      </c>
      <c r="C108" s="6">
        <f t="shared" si="3"/>
        <v>2.1758614083702406</v>
      </c>
      <c r="D108" s="6">
        <f t="shared" si="3"/>
        <v>3.3314410618466948</v>
      </c>
      <c r="E108" s="6">
        <f t="shared" si="3"/>
        <v>2.377417297732078</v>
      </c>
    </row>
    <row r="109" spans="1:5" x14ac:dyDescent="0.25">
      <c r="A109" s="70" t="s">
        <v>3</v>
      </c>
      <c r="B109" s="5">
        <f>SUM(B107:B108)</f>
        <v>4.0955169120850954</v>
      </c>
      <c r="C109" s="5">
        <f>SUM(C107:C108)</f>
        <v>4.3517228167404811</v>
      </c>
      <c r="D109" s="5">
        <f>SUM(D107:D108)</f>
        <v>6.6628821236933895</v>
      </c>
      <c r="E109" s="5">
        <f>SUM(E107:E108)</f>
        <v>4.754834595464156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F61A9-8AE9-42B4-98AA-B9B33D0F6B55}">
  <dimension ref="A1:B91"/>
  <sheetViews>
    <sheetView tabSelected="1" zoomScaleNormal="100" workbookViewId="0">
      <pane xSplit="1" ySplit="1" topLeftCell="B55" activePane="bottomRight" state="frozen"/>
      <selection pane="topRight" activeCell="B1" sqref="B1"/>
      <selection pane="bottomLeft" activeCell="A2" sqref="A2"/>
      <selection pane="bottomRight" activeCell="C89" sqref="C89"/>
    </sheetView>
  </sheetViews>
  <sheetFormatPr baseColWidth="10" defaultRowHeight="15" x14ac:dyDescent="0.25"/>
  <cols>
    <col min="1" max="1" width="44.140625" customWidth="1"/>
    <col min="2" max="2" width="15.28515625" customWidth="1"/>
  </cols>
  <sheetData>
    <row r="1" spans="1:2" ht="57" customHeight="1" x14ac:dyDescent="0.3">
      <c r="A1" s="25"/>
      <c r="B1" s="99" t="s">
        <v>87</v>
      </c>
    </row>
    <row r="2" spans="1:2" ht="15.75" x14ac:dyDescent="0.25">
      <c r="A2" s="29" t="s">
        <v>40</v>
      </c>
      <c r="B2" s="2"/>
    </row>
    <row r="3" spans="1:2" x14ac:dyDescent="0.25">
      <c r="A3" s="3" t="s">
        <v>41</v>
      </c>
      <c r="B3" s="4">
        <v>0.55000000000000004</v>
      </c>
    </row>
    <row r="4" spans="1:2" x14ac:dyDescent="0.25">
      <c r="A4" s="28" t="s">
        <v>42</v>
      </c>
      <c r="B4" s="26">
        <v>0.28000000000000003</v>
      </c>
    </row>
    <row r="5" spans="1:2" ht="15.75" x14ac:dyDescent="0.25">
      <c r="A5" s="91" t="s">
        <v>45</v>
      </c>
      <c r="B5" s="2"/>
    </row>
    <row r="6" spans="1:2" x14ac:dyDescent="0.25">
      <c r="A6" s="48" t="s">
        <v>9</v>
      </c>
      <c r="B6" s="1"/>
    </row>
    <row r="7" spans="1:2" x14ac:dyDescent="0.25">
      <c r="A7" s="42" t="s">
        <v>63</v>
      </c>
      <c r="B7" s="95">
        <v>3.3399999999999999E-2</v>
      </c>
    </row>
    <row r="8" spans="1:2" x14ac:dyDescent="0.25">
      <c r="A8" s="42" t="s">
        <v>64</v>
      </c>
      <c r="B8" s="95">
        <v>3.1099999999999999E-2</v>
      </c>
    </row>
    <row r="9" spans="1:2" x14ac:dyDescent="0.25">
      <c r="A9" s="100" t="s">
        <v>67</v>
      </c>
      <c r="B9" s="101">
        <f>B7/B8</f>
        <v>1.0739549839228295</v>
      </c>
    </row>
    <row r="10" spans="1:2" x14ac:dyDescent="0.25">
      <c r="A10" s="42" t="s">
        <v>65</v>
      </c>
      <c r="B10" s="43">
        <f>B7*B16</f>
        <v>34.543584867459195</v>
      </c>
    </row>
    <row r="11" spans="1:2" x14ac:dyDescent="0.25">
      <c r="A11" s="42" t="s">
        <v>66</v>
      </c>
      <c r="B11" s="43">
        <f>B8*B16</f>
        <v>32.164835011316796</v>
      </c>
    </row>
    <row r="12" spans="1:2" x14ac:dyDescent="0.25">
      <c r="A12" s="42" t="s">
        <v>57</v>
      </c>
      <c r="B12" s="34">
        <v>48</v>
      </c>
    </row>
    <row r="13" spans="1:2" x14ac:dyDescent="0.25">
      <c r="A13" s="42" t="s">
        <v>58</v>
      </c>
      <c r="B13" s="34">
        <v>9</v>
      </c>
    </row>
    <row r="14" spans="1:2" x14ac:dyDescent="0.25">
      <c r="A14" s="42" t="s">
        <v>56</v>
      </c>
      <c r="B14" s="43">
        <f>B16-SUM(B10:B13)</f>
        <v>910.53064800922391</v>
      </c>
    </row>
    <row r="15" spans="1:2" x14ac:dyDescent="0.25">
      <c r="A15" s="42" t="s">
        <v>70</v>
      </c>
      <c r="B15" s="1">
        <v>20</v>
      </c>
    </row>
    <row r="16" spans="1:2" x14ac:dyDescent="0.25">
      <c r="A16" s="42" t="s">
        <v>59</v>
      </c>
      <c r="B16" s="44">
        <f>-0.2307*10^(-2)*B15^2-0.2655*B15+1040.51-B7*(-0.478*10^(-4)*B15^2+0.969*10^(-2)*B15+0.967)</f>
        <v>1034.2390678879999</v>
      </c>
    </row>
    <row r="17" spans="1:2" x14ac:dyDescent="0.25">
      <c r="A17" s="48" t="s">
        <v>79</v>
      </c>
      <c r="B17" s="44"/>
    </row>
    <row r="18" spans="1:2" x14ac:dyDescent="0.25">
      <c r="A18" s="42" t="s">
        <v>80</v>
      </c>
      <c r="B18" s="102">
        <v>6.5</v>
      </c>
    </row>
    <row r="19" spans="1:2" x14ac:dyDescent="0.25">
      <c r="A19" s="42" t="s">
        <v>1</v>
      </c>
      <c r="B19" s="102">
        <v>4</v>
      </c>
    </row>
    <row r="20" spans="1:2" x14ac:dyDescent="0.25">
      <c r="A20" s="42" t="s">
        <v>2</v>
      </c>
      <c r="B20" s="102">
        <v>8</v>
      </c>
    </row>
    <row r="21" spans="1:2" x14ac:dyDescent="0.25">
      <c r="A21" s="42" t="s">
        <v>57</v>
      </c>
      <c r="B21" s="102">
        <v>48</v>
      </c>
    </row>
    <row r="22" spans="1:2" x14ac:dyDescent="0.25">
      <c r="A22" s="42" t="s">
        <v>58</v>
      </c>
      <c r="B22" s="102"/>
    </row>
    <row r="23" spans="1:2" x14ac:dyDescent="0.25">
      <c r="A23" s="42" t="s">
        <v>59</v>
      </c>
      <c r="B23" s="103">
        <v>1.03</v>
      </c>
    </row>
    <row r="24" spans="1:2" x14ac:dyDescent="0.25">
      <c r="A24" s="48" t="s">
        <v>52</v>
      </c>
      <c r="B24" s="1"/>
    </row>
    <row r="25" spans="1:2" x14ac:dyDescent="0.25">
      <c r="A25" s="42" t="s">
        <v>63</v>
      </c>
      <c r="B25" s="97">
        <v>0.43</v>
      </c>
    </row>
    <row r="26" spans="1:2" x14ac:dyDescent="0.25">
      <c r="A26" s="42" t="s">
        <v>1</v>
      </c>
      <c r="B26" s="43">
        <f>B25*B36*1000</f>
        <v>423.62953279999999</v>
      </c>
    </row>
    <row r="27" spans="1:2" x14ac:dyDescent="0.25">
      <c r="A27" s="42" t="s">
        <v>2</v>
      </c>
      <c r="B27" s="27">
        <v>5.91</v>
      </c>
    </row>
    <row r="28" spans="1:2" ht="15.75" x14ac:dyDescent="0.25">
      <c r="A28" s="29" t="s">
        <v>62</v>
      </c>
      <c r="B28" s="2"/>
    </row>
    <row r="29" spans="1:2" x14ac:dyDescent="0.25">
      <c r="A29" s="30" t="s">
        <v>51</v>
      </c>
      <c r="B29" s="1"/>
    </row>
    <row r="30" spans="1:2" x14ac:dyDescent="0.25">
      <c r="A30" s="31" t="s">
        <v>48</v>
      </c>
      <c r="B30" s="33">
        <v>1</v>
      </c>
    </row>
    <row r="31" spans="1:2" x14ac:dyDescent="0.25">
      <c r="A31" s="31" t="s">
        <v>49</v>
      </c>
      <c r="B31" s="96">
        <f>1-B30</f>
        <v>0</v>
      </c>
    </row>
    <row r="32" spans="1:2" x14ac:dyDescent="0.25">
      <c r="A32" s="30" t="s">
        <v>50</v>
      </c>
      <c r="B32" s="1"/>
    </row>
    <row r="33" spans="1:2" x14ac:dyDescent="0.25">
      <c r="A33" s="31" t="s">
        <v>46</v>
      </c>
      <c r="B33" s="96"/>
    </row>
    <row r="34" spans="1:2" x14ac:dyDescent="0.25">
      <c r="A34" s="37" t="s">
        <v>47</v>
      </c>
      <c r="B34" s="38">
        <v>0.94650000000000001</v>
      </c>
    </row>
    <row r="35" spans="1:2" x14ac:dyDescent="0.25">
      <c r="A35" s="32" t="s">
        <v>53</v>
      </c>
      <c r="B35" s="2"/>
    </row>
    <row r="36" spans="1:2" x14ac:dyDescent="0.25">
      <c r="A36" s="40" t="s">
        <v>54</v>
      </c>
      <c r="B36" s="46">
        <f>(-0.2307*10^(-2)*B15^2-0.2655*B15+1040.51-B25*100*(-0.478*10^(-4)*B15^2+0.969*10^(-2)*B15+0.967))/1000</f>
        <v>0.98518496</v>
      </c>
    </row>
    <row r="38" spans="1:2" ht="18.75" x14ac:dyDescent="0.3">
      <c r="A38" s="25" t="s">
        <v>78</v>
      </c>
    </row>
    <row r="39" spans="1:2" x14ac:dyDescent="0.25">
      <c r="A39" s="32" t="s">
        <v>19</v>
      </c>
      <c r="B39" s="52"/>
    </row>
    <row r="40" spans="1:2" x14ac:dyDescent="0.25">
      <c r="A40" s="53" t="s">
        <v>18</v>
      </c>
      <c r="B40" s="98">
        <f>'Std con datos de csv fab_qu (2)'!B3</f>
        <v>0.55000000000000004</v>
      </c>
    </row>
    <row r="41" spans="1:2" x14ac:dyDescent="0.25">
      <c r="A41" s="53" t="s">
        <v>1</v>
      </c>
      <c r="B41" s="98">
        <f>'Std con datos de csv fab_qu (2)'!B4</f>
        <v>0.28000000000000003</v>
      </c>
    </row>
    <row r="42" spans="1:2" x14ac:dyDescent="0.25">
      <c r="A42" s="54" t="s">
        <v>16</v>
      </c>
      <c r="B42" s="12">
        <f>B41/B40</f>
        <v>0.50909090909090915</v>
      </c>
    </row>
    <row r="43" spans="1:2" x14ac:dyDescent="0.25">
      <c r="A43" s="53" t="s">
        <v>17</v>
      </c>
      <c r="B43" s="12">
        <f>(1-B40)/(1-B40*B42)</f>
        <v>0.625</v>
      </c>
    </row>
    <row r="44" spans="1:2" x14ac:dyDescent="0.25">
      <c r="A44" s="53" t="s">
        <v>0</v>
      </c>
      <c r="B44" s="19">
        <f>B40-B41</f>
        <v>0.27</v>
      </c>
    </row>
    <row r="45" spans="1:2" x14ac:dyDescent="0.25">
      <c r="A45" s="55"/>
      <c r="B45" s="14"/>
    </row>
    <row r="46" spans="1:2" x14ac:dyDescent="0.25">
      <c r="A46" s="55" t="s">
        <v>20</v>
      </c>
      <c r="B46" s="10">
        <f>B84</f>
        <v>32.164835011316796</v>
      </c>
    </row>
    <row r="47" spans="1:2" x14ac:dyDescent="0.25">
      <c r="A47" s="55" t="s">
        <v>35</v>
      </c>
      <c r="B47" s="71">
        <v>0.96779999999999999</v>
      </c>
    </row>
    <row r="48" spans="1:2" x14ac:dyDescent="0.25">
      <c r="A48" s="55" t="s">
        <v>43</v>
      </c>
      <c r="B48" s="41">
        <f>B51/B54</f>
        <v>0.93453120425815051</v>
      </c>
    </row>
    <row r="49" spans="1:2" x14ac:dyDescent="0.25">
      <c r="A49" s="55" t="s">
        <v>55</v>
      </c>
      <c r="B49" s="11">
        <f>B47*B46</f>
        <v>31.129127323952396</v>
      </c>
    </row>
    <row r="50" spans="1:2" x14ac:dyDescent="0.25">
      <c r="A50" s="55" t="s">
        <v>36</v>
      </c>
      <c r="B50" s="13">
        <f>B44*1000/B49</f>
        <v>8.6735486411226095</v>
      </c>
    </row>
    <row r="51" spans="1:2" x14ac:dyDescent="0.25">
      <c r="A51" s="55" t="s">
        <v>37</v>
      </c>
      <c r="B51" s="11">
        <f>B41*1000/B50</f>
        <v>32.282057965580265</v>
      </c>
    </row>
    <row r="52" spans="1:2" x14ac:dyDescent="0.25">
      <c r="A52" s="55" t="s">
        <v>28</v>
      </c>
      <c r="B52" s="20">
        <f>B54-B51</f>
        <v>2.2615269018789306</v>
      </c>
    </row>
    <row r="53" spans="1:2" x14ac:dyDescent="0.25">
      <c r="A53" s="55" t="s">
        <v>34</v>
      </c>
      <c r="B53" s="12">
        <f>B52/B54</f>
        <v>6.5468795741849536E-2</v>
      </c>
    </row>
    <row r="54" spans="1:2" x14ac:dyDescent="0.25">
      <c r="A54" s="55" t="s">
        <v>29</v>
      </c>
      <c r="B54" s="11">
        <f>B81</f>
        <v>34.543584867459195</v>
      </c>
    </row>
    <row r="55" spans="1:2" x14ac:dyDescent="0.25">
      <c r="A55" s="56" t="s">
        <v>33</v>
      </c>
      <c r="B55" s="23">
        <f>B54*B50</f>
        <v>299.61546358665424</v>
      </c>
    </row>
    <row r="56" spans="1:2" x14ac:dyDescent="0.25">
      <c r="A56" s="57" t="s">
        <v>32</v>
      </c>
      <c r="B56" s="24">
        <f>B46*B50</f>
        <v>278.98326100433974</v>
      </c>
    </row>
    <row r="57" spans="1:2" x14ac:dyDescent="0.25">
      <c r="A57" s="58" t="s">
        <v>30</v>
      </c>
      <c r="B57" s="9">
        <f>+B90/B50</f>
        <v>0</v>
      </c>
    </row>
    <row r="58" spans="1:2" x14ac:dyDescent="0.25">
      <c r="A58" s="59" t="s">
        <v>85</v>
      </c>
      <c r="B58" s="104">
        <f>B52-B57</f>
        <v>2.2615269018789306</v>
      </c>
    </row>
    <row r="59" spans="1:2" x14ac:dyDescent="0.25">
      <c r="A59" s="59" t="s">
        <v>86</v>
      </c>
      <c r="B59" s="15">
        <f>+B58/B54</f>
        <v>6.5468795741849536E-2</v>
      </c>
    </row>
    <row r="60" spans="1:2" x14ac:dyDescent="0.25">
      <c r="A60" s="60" t="s">
        <v>31</v>
      </c>
      <c r="B60" s="16">
        <f>+B54-B57</f>
        <v>34.543584867459195</v>
      </c>
    </row>
    <row r="61" spans="1:2" x14ac:dyDescent="0.25">
      <c r="A61" s="61" t="s">
        <v>38</v>
      </c>
      <c r="B61" s="21">
        <f>B$60*B$50</f>
        <v>299.61546358665424</v>
      </c>
    </row>
    <row r="62" spans="1:2" x14ac:dyDescent="0.25">
      <c r="A62" s="61" t="s">
        <v>39</v>
      </c>
      <c r="B62" s="22">
        <f>B$46*B$50</f>
        <v>278.98326100433974</v>
      </c>
    </row>
    <row r="63" spans="1:2" x14ac:dyDescent="0.25">
      <c r="A63" s="62" t="s">
        <v>10</v>
      </c>
      <c r="B63" s="74"/>
    </row>
    <row r="64" spans="1:2" x14ac:dyDescent="0.25">
      <c r="A64" s="72" t="s">
        <v>71</v>
      </c>
      <c r="B64" s="75">
        <f>'Std con datos de csv fab_qu (2)'!B30</f>
        <v>1</v>
      </c>
    </row>
    <row r="65" spans="1:2" x14ac:dyDescent="0.25">
      <c r="A65" s="72" t="s">
        <v>72</v>
      </c>
      <c r="B65" s="75">
        <f>'Std con datos de csv fab_qu (2)'!B31</f>
        <v>0</v>
      </c>
    </row>
    <row r="66" spans="1:2" x14ac:dyDescent="0.25">
      <c r="A66" s="73"/>
      <c r="B66" s="76">
        <f>SUM(B64:B65)</f>
        <v>1</v>
      </c>
    </row>
    <row r="67" spans="1:2" x14ac:dyDescent="0.25">
      <c r="A67" s="62" t="s">
        <v>9</v>
      </c>
      <c r="B67" s="8"/>
    </row>
    <row r="68" spans="1:2" x14ac:dyDescent="0.25">
      <c r="A68" s="72" t="s">
        <v>22</v>
      </c>
      <c r="B68" s="77">
        <f>'Std con datos de csv fab_qu (2)'!B10</f>
        <v>34.543584867459195</v>
      </c>
    </row>
    <row r="69" spans="1:2" x14ac:dyDescent="0.25">
      <c r="A69" s="72" t="s">
        <v>11</v>
      </c>
      <c r="B69" s="77">
        <f>'Std con datos de csv fab_qu (2)'!B26</f>
        <v>423.62953279999999</v>
      </c>
    </row>
    <row r="70" spans="1:2" x14ac:dyDescent="0.25">
      <c r="A70" s="72"/>
      <c r="B70" s="77"/>
    </row>
    <row r="71" spans="1:2" x14ac:dyDescent="0.25">
      <c r="A71" s="72" t="s">
        <v>23</v>
      </c>
      <c r="B71" s="77">
        <f>'Std con datos de csv fab_qu (2)'!B11</f>
        <v>32.164835011316796</v>
      </c>
    </row>
    <row r="72" spans="1:2" x14ac:dyDescent="0.25">
      <c r="A72" s="72" t="s">
        <v>14</v>
      </c>
      <c r="B72" s="77">
        <f>'Std con datos de csv fab_qu (2)'!B27</f>
        <v>5.91</v>
      </c>
    </row>
    <row r="73" spans="1:2" x14ac:dyDescent="0.25">
      <c r="A73" s="83"/>
      <c r="B73" s="77"/>
    </row>
    <row r="74" spans="1:2" x14ac:dyDescent="0.25">
      <c r="A74" s="69" t="s">
        <v>15</v>
      </c>
      <c r="B74" s="88">
        <f>+B81/B84</f>
        <v>1.0739549839228295</v>
      </c>
    </row>
    <row r="75" spans="1:2" x14ac:dyDescent="0.25">
      <c r="A75" s="87"/>
      <c r="B75" s="88"/>
    </row>
    <row r="76" spans="1:2" x14ac:dyDescent="0.25">
      <c r="A76" s="53" t="s">
        <v>21</v>
      </c>
      <c r="B76" s="85">
        <f>'Std con datos de csv fab_qu (2)'!B16/1000</f>
        <v>1.034239067888</v>
      </c>
    </row>
    <row r="77" spans="1:2" x14ac:dyDescent="0.25">
      <c r="A77" s="53" t="s">
        <v>8</v>
      </c>
      <c r="B77" s="86">
        <f>'Std con datos de csv fab_qu (2)'!B36</f>
        <v>0.98518496</v>
      </c>
    </row>
    <row r="78" spans="1:2" x14ac:dyDescent="0.25">
      <c r="A78" s="64" t="s">
        <v>12</v>
      </c>
      <c r="B78" s="84"/>
    </row>
    <row r="79" spans="1:2" x14ac:dyDescent="0.25">
      <c r="A79" s="63" t="s">
        <v>22</v>
      </c>
      <c r="B79" s="18">
        <f t="shared" ref="B79:B80" si="0">(B68*B64)</f>
        <v>34.543584867459195</v>
      </c>
    </row>
    <row r="80" spans="1:2" x14ac:dyDescent="0.25">
      <c r="A80" s="63" t="s">
        <v>13</v>
      </c>
      <c r="B80" s="18">
        <f t="shared" si="0"/>
        <v>0</v>
      </c>
    </row>
    <row r="81" spans="1:2" x14ac:dyDescent="0.25">
      <c r="A81" s="63"/>
      <c r="B81" s="18">
        <f>SUM(B79:B80)</f>
        <v>34.543584867459195</v>
      </c>
    </row>
    <row r="82" spans="1:2" x14ac:dyDescent="0.25">
      <c r="A82" s="63" t="s">
        <v>23</v>
      </c>
      <c r="B82" s="18">
        <f t="shared" ref="B82:B83" si="1">B71*B64</f>
        <v>32.164835011316796</v>
      </c>
    </row>
    <row r="83" spans="1:2" x14ac:dyDescent="0.25">
      <c r="A83" s="63" t="s">
        <v>14</v>
      </c>
      <c r="B83" s="18">
        <f t="shared" si="1"/>
        <v>0</v>
      </c>
    </row>
    <row r="84" spans="1:2" x14ac:dyDescent="0.25">
      <c r="A84" s="82"/>
      <c r="B84" s="18">
        <f>SUM(B82:B83)</f>
        <v>32.164835011316796</v>
      </c>
    </row>
    <row r="85" spans="1:2" x14ac:dyDescent="0.25">
      <c r="A85" s="79" t="s">
        <v>73</v>
      </c>
      <c r="B85" s="78">
        <f>SUMPRODUCT(B76:B77,B64:B65)</f>
        <v>1.034239067888</v>
      </c>
    </row>
    <row r="86" spans="1:2" x14ac:dyDescent="0.25">
      <c r="A86" s="80"/>
      <c r="B86" s="81"/>
    </row>
    <row r="87" spans="1:2" x14ac:dyDescent="0.25">
      <c r="A87" s="64" t="s">
        <v>7</v>
      </c>
      <c r="B87" s="8"/>
    </row>
    <row r="88" spans="1:2" x14ac:dyDescent="0.25">
      <c r="A88" s="63" t="s">
        <v>24</v>
      </c>
      <c r="B88" s="16">
        <f>+B55*(B79)/B81</f>
        <v>299.61546358665424</v>
      </c>
    </row>
    <row r="89" spans="1:2" x14ac:dyDescent="0.25">
      <c r="A89" s="63" t="s">
        <v>25</v>
      </c>
      <c r="B89" s="16">
        <f>+B56*(B82)/B84</f>
        <v>278.98326100433974</v>
      </c>
    </row>
    <row r="90" spans="1:2" x14ac:dyDescent="0.25">
      <c r="A90" s="63" t="s">
        <v>26</v>
      </c>
      <c r="B90" s="16">
        <f>+B$55*(B80)/B$81</f>
        <v>0</v>
      </c>
    </row>
    <row r="91" spans="1:2" x14ac:dyDescent="0.25">
      <c r="A91" s="65" t="s">
        <v>27</v>
      </c>
      <c r="B91" s="17">
        <f>+B$56*(B83)/B$84</f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Std con datos de csv fab_queso</vt:lpstr>
      <vt:lpstr>Std con datos de csv fab_qu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Riera</dc:creator>
  <cp:lastModifiedBy>Juan Riera</cp:lastModifiedBy>
  <dcterms:created xsi:type="dcterms:W3CDTF">2021-08-17T11:04:57Z</dcterms:created>
  <dcterms:modified xsi:type="dcterms:W3CDTF">2025-11-06T12:40:02Z</dcterms:modified>
</cp:coreProperties>
</file>